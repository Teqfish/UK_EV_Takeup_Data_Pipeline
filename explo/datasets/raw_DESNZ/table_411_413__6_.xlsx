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ables/table3.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xl/tables/table1.xml" ContentType="application/vnd.openxmlformats-officedocument.spreadsheetml.table+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6.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externalLinks/_rels/externalLink1.xml.rels" ContentType="application/vnd.openxmlformats-package.relationships+xml"/>
  <Override PartName="/xl/externalLinks/externalLink1.xml" ContentType="application/vnd.openxmlformats-officedocument.spreadsheetml.externalLink+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png" ContentType="image/png"/>
  <Override PartName="/xl/media/image2.svg" ContentType="image/svg"/>
  <Override PartName="/xl/media/image3.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Cover Sheet" sheetId="1" state="visible" r:id="rId3"/>
    <sheet name="Contents" sheetId="2" state="visible" r:id="rId4"/>
    <sheet name="4.1.1" sheetId="3" state="visible" r:id="rId5"/>
    <sheet name="4.1.1 (Quarterly)" sheetId="4" state="visible" r:id="rId6"/>
    <sheet name="4.1.2" sheetId="5" state="visible" r:id="rId7"/>
    <sheet name="4.1.2 (excl VAT)" sheetId="6" state="visible" r:id="rId8"/>
    <sheet name="4.1.3" sheetId="7" state="visible" r:id="rId9"/>
    <sheet name="Charts" sheetId="8" state="visible" r:id="rId10"/>
    <sheet name="Methodology" sheetId="9" state="visible" r:id="rId11"/>
    <sheet name="chart_data" sheetId="10" state="hidden" r:id="rId12"/>
  </sheets>
  <externalReferences>
    <externalReference r:id="rId13"/>
  </externalReferences>
  <definedNames>
    <definedName function="false" hidden="false" name="Chart1" vbProcedure="false">#REF!</definedName>
    <definedName function="false" hidden="false" name="customers" vbProcedure="false">'[1]Source Data'!$A$1:$H$6272</definedName>
    <definedName function="false" hidden="false" name="INPUT_BOX" vbProcedure="false">#REF!</definedName>
    <definedName function="false" hidden="false" name="source" vbProcedure="false">'[1]Source Data'!$A$1:$H$6272</definedName>
    <definedName function="false" hidden="false" name="t25Q2" vbProcedure="false">#REF!</definedName>
    <definedName function="false" hidden="false" name="t29full" vbProcedure="false">#REF!</definedName>
    <definedName function="false" hidden="false" name="table_25_Q2" vbProcedure="false">#REF!</definedName>
    <definedName function="false" hidden="false" name="table_29_full" vbProcedure="false">#REF!</definedName>
    <definedName function="false" hidden="false" name="Table_6.5_no_footnotes"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<sst xmlns="http://schemas.openxmlformats.org/spreadsheetml/2006/main" count="1647" uniqueCount="215">
  <si>
    <r>
      <rPr>
        <b val="true"/>
        <sz val="18"/>
        <rFont val="Arial"/>
        <family val="2"/>
        <charset val="1"/>
      </rPr>
      <t xml:space="preserve">Energy Prices </t>
    </r>
    <r>
      <rPr>
        <sz val="18"/>
        <rFont val="Arial"/>
        <family val="2"/>
        <charset val="1"/>
      </rPr>
      <t xml:space="preserve">Road Fuels and Other Petroleum Products</t>
    </r>
  </si>
  <si>
    <t xml:space="preserve">Typical retail prices of petroleum products and crude oil price index</t>
  </si>
  <si>
    <r>
      <rPr>
        <b val="true"/>
        <sz val="11"/>
        <rFont val="Arial"/>
        <family val="2"/>
        <charset val="1"/>
      </rPr>
      <t xml:space="preserve">Publication date:</t>
    </r>
    <r>
      <rPr>
        <sz val="11"/>
        <rFont val="Arial"/>
        <family val="2"/>
        <charset val="1"/>
      </rPr>
      <t xml:space="preserve"> 26/02/2026</t>
    </r>
  </si>
  <si>
    <r>
      <rPr>
        <b val="true"/>
        <sz val="11"/>
        <rFont val="Arial"/>
        <family val="2"/>
        <charset val="1"/>
      </rPr>
      <t xml:space="preserve">Data period: </t>
    </r>
    <r>
      <rPr>
        <sz val="11"/>
        <rFont val="Arial"/>
        <family val="2"/>
        <charset val="1"/>
      </rPr>
      <t xml:space="preserve">New monthly road fuels data for February 2026 and crude oil data for January 2026</t>
    </r>
  </si>
  <si>
    <r>
      <rPr>
        <b val="true"/>
        <sz val="11"/>
        <rFont val="Arial"/>
        <family val="2"/>
        <charset val="1"/>
      </rPr>
      <t xml:space="preserve">Next update:</t>
    </r>
    <r>
      <rPr>
        <sz val="11"/>
        <rFont val="Arial"/>
        <family val="2"/>
        <charset val="1"/>
      </rPr>
      <t xml:space="preserve"> 31/03/2026</t>
    </r>
  </si>
  <si>
    <t xml:space="preserve">About this data</t>
  </si>
  <si>
    <t xml:space="preserve">Data in these tables show monthly, quarterly and annual road fuel prices, heating oil prices and a crude oil price index.</t>
  </si>
  <si>
    <t xml:space="preserve">Data are shown in current (cash) terms with and without tax.</t>
  </si>
  <si>
    <t xml:space="preserve">Monthly and quarterly data are available back to 1989 and annual data back to 1977 on the historic data sheets.</t>
  </si>
  <si>
    <r>
      <rPr>
        <b val="true"/>
        <sz val="11"/>
        <rFont val="Arial"/>
        <family val="2"/>
        <charset val="1"/>
      </rPr>
      <t xml:space="preserve">Table 4.1.1</t>
    </r>
    <r>
      <rPr>
        <sz val="11"/>
        <rFont val="Arial"/>
        <family val="2"/>
        <charset val="1"/>
      </rPr>
      <t xml:space="preserve"> shows mid-month </t>
    </r>
    <r>
      <rPr>
        <b val="true"/>
        <sz val="11"/>
        <rFont val="Arial"/>
        <family val="2"/>
        <charset val="1"/>
      </rPr>
      <t xml:space="preserve">monthly </t>
    </r>
    <r>
      <rPr>
        <sz val="11"/>
        <rFont val="Arial"/>
        <family val="2"/>
        <charset val="1"/>
      </rPr>
      <t xml:space="preserve">figures of this series in the </t>
    </r>
    <r>
      <rPr>
        <b val="true"/>
        <sz val="11"/>
        <rFont val="Arial"/>
        <family val="2"/>
        <charset val="1"/>
      </rPr>
      <t xml:space="preserve">original units </t>
    </r>
    <r>
      <rPr>
        <sz val="11"/>
        <rFont val="Arial"/>
        <family val="2"/>
        <charset val="1"/>
      </rPr>
      <t xml:space="preserve">used for each fuel type (data is available back to 1989)</t>
    </r>
  </si>
  <si>
    <r>
      <rPr>
        <b val="true"/>
        <sz val="11"/>
        <rFont val="Arial"/>
        <family val="2"/>
        <charset val="1"/>
      </rPr>
      <t xml:space="preserve">Table 4.1.1 (Quarterly)</t>
    </r>
    <r>
      <rPr>
        <sz val="11"/>
        <rFont val="Arial"/>
        <family val="2"/>
        <charset val="1"/>
      </rPr>
      <t xml:space="preserve"> shows quarterly figures of this series in a comparable unit of measurement across fuel types (pence per kilowatt hour) (data is available back to 1989)</t>
    </r>
  </si>
  <si>
    <r>
      <rPr>
        <b val="true"/>
        <sz val="11"/>
        <rFont val="Arial"/>
        <family val="2"/>
        <charset val="1"/>
      </rPr>
      <t xml:space="preserve">Table 4.1.2</t>
    </r>
    <r>
      <rPr>
        <sz val="11"/>
        <rFont val="Arial"/>
        <family val="2"/>
        <charset val="1"/>
      </rPr>
      <t xml:space="preserve"> shows the annual typical retail prices of petroleum products and a crude oil price index (data is available back to 1977)</t>
    </r>
  </si>
  <si>
    <r>
      <rPr>
        <b val="true"/>
        <sz val="11"/>
        <rFont val="Arial"/>
        <family val="2"/>
        <charset val="1"/>
      </rPr>
      <t xml:space="preserve">Table 4.1.3</t>
    </r>
    <r>
      <rPr>
        <sz val="11"/>
        <rFont val="Arial"/>
        <family val="2"/>
        <charset val="1"/>
      </rPr>
      <t xml:space="preserve"> shows</t>
    </r>
    <r>
      <rPr>
        <b val="true"/>
        <sz val="11"/>
        <rFont val="Arial"/>
        <family val="2"/>
        <charset val="1"/>
      </rPr>
      <t xml:space="preserve"> </t>
    </r>
    <r>
      <rPr>
        <sz val="11"/>
        <rFont val="Arial"/>
        <family val="2"/>
        <charset val="1"/>
      </rPr>
      <t xml:space="preserve">figures for the typical January retail prices of petroleum products and a crude oil price (data is available back to 1954)</t>
    </r>
  </si>
  <si>
    <t xml:space="preserve">Further information</t>
  </si>
  <si>
    <t xml:space="preserve">Quarterly Energy Prices Publication (opens in a new window)</t>
  </si>
  <si>
    <t xml:space="preserve">Monthly and annual prices of road fuels and petroleum products website (opens in a new window)</t>
  </si>
  <si>
    <t xml:space="preserve">Road fuel price statistics data sources and methodologies (opens in a new window)</t>
  </si>
  <si>
    <t xml:space="preserve">Revision policy and standards for official statistics (opens in a new window)</t>
  </si>
  <si>
    <t xml:space="preserve">Digest of United Kingdom Energy Statistics (DUKES): glossary and acronyms (opens in a new window)</t>
  </si>
  <si>
    <t xml:space="preserve">Contacts</t>
  </si>
  <si>
    <t xml:space="preserve">Energy Prices Statistics Team</t>
  </si>
  <si>
    <t xml:space="preserve">020 7215 1445</t>
  </si>
  <si>
    <t xml:space="preserve">energyprices.stats@energysecurity.gov.uk </t>
  </si>
  <si>
    <t xml:space="preserve">Press Office (media enquiries)</t>
  </si>
  <si>
    <t xml:space="preserve">020 7215 1000</t>
  </si>
  <si>
    <t xml:space="preserve">newsdesk@energysecurity.gov.uk </t>
  </si>
  <si>
    <t xml:space="preserve">Contents</t>
  </si>
  <si>
    <t xml:space="preserve">Tables</t>
  </si>
  <si>
    <t xml:space="preserve">Table 4.1.1: Monthly retail prices of petroleum products and a crude oil price index</t>
  </si>
  <si>
    <t xml:space="preserve">Table 4.1.1: Typical retail prices of petroleum products and a crude oil price index (quarterly)</t>
  </si>
  <si>
    <t xml:space="preserve">Table 4.1.2: Annual retail prices of petroleum products and a crude oil price index</t>
  </si>
  <si>
    <t xml:space="preserve">Table 4.1.2: Typical retail prices of petroleum products excluding VAT and duty</t>
  </si>
  <si>
    <t xml:space="preserve">Table 4.1.3: Typical January retail prices of petroleum products and a crude oil price index</t>
  </si>
  <si>
    <t xml:space="preserve">Charts</t>
  </si>
  <si>
    <t xml:space="preserve">Methodology</t>
  </si>
  <si>
    <t xml:space="preserve">Methodology notes</t>
  </si>
  <si>
    <t xml:space="preserve">Table 4.1.1 Typical retail prices of petroleum products and a crude oil price index (monthly)</t>
  </si>
  <si>
    <t xml:space="preserve">Note 1. These estimates are generally representative of prices paid on or about the 15th of the month.  Estimates are based on information provided by oil marketing companies until December 1994.  From January 1995, data from super/hypermarket chains have been included.  The very latest data for motor  spirit and diesel are provisional, based on a smaller sample than used for preceding months.</t>
  </si>
  <si>
    <t xml:space="preserve">Note 2. Data for Premium Unleaded and Diesel are sourced from a larger sample than the Weekly Prices statistics.  As such they will be slightly different than the weekly published figures. </t>
  </si>
  <si>
    <t xml:space="preserve">Note 3. These estimates are for deliveries of 2,000 to 5,000 litres; such deliveries attracted 8 per cent VAT  from 1 April 1994. With effect from 1 September 1997 the rate of VAT was reduced to 5 per cent. </t>
  </si>
  <si>
    <t xml:space="preserve">Note 4. Price index for supplies received by refineries in the UK from both indigenous and imported sources. It represents the average for the month calculated in sterling on a cif basis.</t>
  </si>
  <si>
    <t xml:space="preserve">Blank cells in this table represent months where data were not reported or avaliable</t>
  </si>
  <si>
    <r>
      <rPr>
        <sz val="12"/>
        <rFont val="Arial"/>
        <family val="2"/>
        <charset val="1"/>
      </rPr>
      <t xml:space="preserve">An</t>
    </r>
    <r>
      <rPr>
        <b val="true"/>
        <sz val="12"/>
        <rFont val="Arial"/>
        <family val="2"/>
        <charset val="1"/>
      </rPr>
      <t xml:space="preserve"> r</t>
    </r>
    <r>
      <rPr>
        <sz val="12"/>
        <rFont val="Arial"/>
        <family val="2"/>
        <charset val="1"/>
      </rPr>
      <t xml:space="preserve"> indicates revised data. An r in the date column indicates all data in the row has been revised. An r in a cell indicates that just that cell has been revised.</t>
    </r>
  </si>
  <si>
    <t xml:space="preserve">Freeze panes are turned on. To turn off freeze panes select the 'View' ribbon then 'Freeze Panes' then 'Unfreeze Panes' or use [Alt,W,F]</t>
  </si>
  <si>
    <t xml:space="preserve">Source: Department for Energy Security and Net Zero</t>
  </si>
  <si>
    <t xml:space="preserve">Year</t>
  </si>
  <si>
    <t xml:space="preserve">Month</t>
  </si>
  <si>
    <r>
      <rPr>
        <b val="true"/>
        <sz val="10"/>
        <rFont val="Arial"/>
        <family val="2"/>
        <charset val="1"/>
      </rPr>
      <t xml:space="preserve">Motor spirit:
</t>
    </r>
    <r>
      <rPr>
        <sz val="10"/>
        <rFont val="Arial"/>
        <family val="2"/>
        <charset val="1"/>
      </rPr>
      <t xml:space="preserve">4 star / LRP
(Pence per litre)
[Note 1]</t>
    </r>
  </si>
  <si>
    <r>
      <rPr>
        <b val="true"/>
        <sz val="10"/>
        <rFont val="Arial"/>
        <family val="2"/>
        <charset val="1"/>
      </rPr>
      <t xml:space="preserve">Motor spirit: </t>
    </r>
    <r>
      <rPr>
        <sz val="10"/>
        <rFont val="Arial"/>
        <family val="2"/>
        <charset val="1"/>
      </rPr>
      <t xml:space="preserve">Super unleaded 
(Pence per litre)
[Note 1]</t>
    </r>
  </si>
  <si>
    <r>
      <rPr>
        <b val="true"/>
        <sz val="10"/>
        <rFont val="Arial"/>
        <family val="2"/>
        <charset val="1"/>
      </rPr>
      <t xml:space="preserve">Motor spirit: </t>
    </r>
    <r>
      <rPr>
        <sz val="10"/>
        <rFont val="Arial"/>
        <family val="2"/>
        <charset val="1"/>
      </rPr>
      <t xml:space="preserve">Premium unleaded / ULSP
(Pence per litre)
[Note 1, 2]</t>
    </r>
  </si>
  <si>
    <r>
      <rPr>
        <b val="true"/>
        <sz val="10"/>
        <rFont val="Arial"/>
        <family val="2"/>
        <charset val="1"/>
      </rPr>
      <t xml:space="preserve">Derv:</t>
    </r>
    <r>
      <rPr>
        <sz val="10"/>
        <rFont val="Arial"/>
        <family val="2"/>
        <charset val="1"/>
      </rPr>
      <t xml:space="preserve"> Diesel / ULSD
(Pence per litre)
[Note 1, 2]</t>
    </r>
  </si>
  <si>
    <r>
      <rPr>
        <b val="true"/>
        <sz val="10"/>
        <rFont val="Arial"/>
        <family val="2"/>
        <charset val="1"/>
      </rPr>
      <t xml:space="preserve">Standard grade burning oil
</t>
    </r>
    <r>
      <rPr>
        <sz val="10"/>
        <rFont val="Arial"/>
        <family val="2"/>
        <charset val="1"/>
      </rPr>
      <t xml:space="preserve">(Pence per litre)
[Note 1]</t>
    </r>
  </si>
  <si>
    <r>
      <rPr>
        <b val="true"/>
        <sz val="10"/>
        <rFont val="Arial"/>
        <family val="2"/>
        <charset val="1"/>
      </rPr>
      <t xml:space="preserve">Gas oil
</t>
    </r>
    <r>
      <rPr>
        <sz val="10"/>
        <rFont val="Arial"/>
        <family val="2"/>
        <charset val="1"/>
      </rPr>
      <t xml:space="preserve">(Pence per litre)
[Note 1, 3]</t>
    </r>
  </si>
  <si>
    <r>
      <rPr>
        <b val="true"/>
        <sz val="10"/>
        <rFont val="Arial"/>
        <family val="2"/>
        <charset val="1"/>
      </rPr>
      <t xml:space="preserve">Crude oil acquired by refineries
</t>
    </r>
    <r>
      <rPr>
        <sz val="10"/>
        <rFont val="Arial"/>
        <family val="2"/>
        <charset val="1"/>
      </rPr>
      <t xml:space="preserve">2010 = 100
[Note 4]</t>
    </r>
  </si>
  <si>
    <r>
      <rPr>
        <b val="true"/>
        <sz val="10"/>
        <rFont val="Arial"/>
        <family val="2"/>
        <charset val="1"/>
      </rPr>
      <t xml:space="preserve">ULSP to ULSD Differential </t>
    </r>
    <r>
      <rPr>
        <sz val="10"/>
        <rFont val="Arial"/>
        <family val="2"/>
        <charset val="1"/>
      </rPr>
      <t xml:space="preserve">(Pence per litre)</t>
    </r>
  </si>
  <si>
    <r>
      <rPr>
        <b val="true"/>
        <sz val="10"/>
        <rFont val="Arial"/>
        <family val="2"/>
        <charset val="1"/>
      </rPr>
      <t xml:space="preserve">Historic Indices: </t>
    </r>
    <r>
      <rPr>
        <sz val="10"/>
        <rFont val="Arial"/>
        <family val="2"/>
        <charset val="1"/>
      </rPr>
      <t xml:space="preserve">Crude oil acquired by refineries
2005 = 100</t>
    </r>
  </si>
  <si>
    <r>
      <rPr>
        <b val="true"/>
        <sz val="10"/>
        <rFont val="Arial"/>
        <family val="2"/>
        <charset val="1"/>
      </rPr>
      <t xml:space="preserve">Historic Indices: </t>
    </r>
    <r>
      <rPr>
        <sz val="10"/>
        <rFont val="Arial"/>
        <family val="2"/>
        <charset val="1"/>
      </rPr>
      <t xml:space="preserve">Crude oil acquired by refineries
2000 = 100</t>
    </r>
  </si>
  <si>
    <r>
      <rPr>
        <b val="true"/>
        <sz val="10"/>
        <rFont val="Arial"/>
        <family val="2"/>
        <charset val="1"/>
      </rPr>
      <t xml:space="preserve">Historic Indices: </t>
    </r>
    <r>
      <rPr>
        <sz val="10"/>
        <rFont val="Arial"/>
        <family val="2"/>
        <charset val="1"/>
      </rPr>
      <t xml:space="preserve">Crude oil acquired by refineries
1995 = 100</t>
    </r>
  </si>
  <si>
    <t xml:space="preserve">Month / Year</t>
  </si>
  <si>
    <t xml:space="preserve">January</t>
  </si>
  <si>
    <t xml:space="preserve">February</t>
  </si>
  <si>
    <t xml:space="preserve">March</t>
  </si>
  <si>
    <t xml:space="preserve">April</t>
  </si>
  <si>
    <t xml:space="preserve">May</t>
  </si>
  <si>
    <t xml:space="preserve">June</t>
  </si>
  <si>
    <t xml:space="preserve">July</t>
  </si>
  <si>
    <t xml:space="preserve">August</t>
  </si>
  <si>
    <t xml:space="preserve">September</t>
  </si>
  <si>
    <t xml:space="preserve">October</t>
  </si>
  <si>
    <t xml:space="preserve">November</t>
  </si>
  <si>
    <t xml:space="preserve">December</t>
  </si>
  <si>
    <t xml:space="preserve">..  </t>
  </si>
  <si>
    <t xml:space="preserve">Table 4.1.1 Typical retail prices of petroleum products and a crude oil price index (quarterly)</t>
  </si>
  <si>
    <t xml:space="preserve">Note 3. These estimates are for deliveries of 2,000 to 5,000 litres; such deliveries attracted 8 per cent VAT  from 1 April 1994.  With effect from 1 September 1997 the rate of VAT was reduced to 5 per cent. </t>
  </si>
  <si>
    <t xml:space="preserve">Blank cells in this table represent quarters where data were not reported or avaliable</t>
  </si>
  <si>
    <t xml:space="preserve">Quarter</t>
  </si>
  <si>
    <r>
      <rPr>
        <b val="true"/>
        <sz val="10"/>
        <rFont val="Arial"/>
        <family val="2"/>
        <charset val="1"/>
      </rPr>
      <t xml:space="preserve">Motor spirit:
</t>
    </r>
    <r>
      <rPr>
        <sz val="10"/>
        <rFont val="Arial"/>
        <family val="2"/>
        <charset val="1"/>
      </rPr>
      <t xml:space="preserve">4 star / LRP
(Pence per litre
[Note 1]</t>
    </r>
  </si>
  <si>
    <r>
      <rPr>
        <b val="true"/>
        <sz val="10"/>
        <rFont val="Arial"/>
        <family val="2"/>
        <charset val="1"/>
      </rPr>
      <t xml:space="preserve">Motor spirit: </t>
    </r>
    <r>
      <rPr>
        <sz val="10"/>
        <rFont val="Arial"/>
        <family val="2"/>
        <charset val="1"/>
      </rPr>
      <t xml:space="preserve">Super unleaded
(Pence per litre)
[Note 1]</t>
    </r>
  </si>
  <si>
    <r>
      <rPr>
        <b val="true"/>
        <sz val="10"/>
        <rFont val="Arial"/>
        <family val="2"/>
        <charset val="1"/>
      </rPr>
      <t xml:space="preserve">Derv: </t>
    </r>
    <r>
      <rPr>
        <sz val="10"/>
        <rFont val="Arial"/>
        <family val="2"/>
        <charset val="1"/>
      </rPr>
      <t xml:space="preserve">Diesel / ULSD
(Pence per litre)
[Note 1, 2]</t>
    </r>
  </si>
  <si>
    <r>
      <rPr>
        <b val="true"/>
        <sz val="10"/>
        <rFont val="Arial"/>
        <family val="2"/>
        <charset val="1"/>
      </rPr>
      <t xml:space="preserve">Crude oil acquired by refineries 
</t>
    </r>
    <r>
      <rPr>
        <sz val="10"/>
        <rFont val="Arial"/>
        <family val="2"/>
        <charset val="1"/>
      </rPr>
      <t xml:space="preserve">2010 = 100
[Note 4]</t>
    </r>
    <r>
      <rPr>
        <b val="true"/>
        <sz val="10"/>
        <rFont val="Arial"/>
        <family val="2"/>
        <charset val="1"/>
      </rPr>
      <t xml:space="preserve"> [r]</t>
    </r>
  </si>
  <si>
    <t xml:space="preserve">Jan to Mar</t>
  </si>
  <si>
    <t xml:space="preserve">Apr to Jun</t>
  </si>
  <si>
    <t xml:space="preserve">Jul to Sep</t>
  </si>
  <si>
    <t xml:space="preserve">Oct to Dec</t>
  </si>
  <si>
    <t xml:space="preserve">Quarter 2 </t>
  </si>
  <si>
    <t xml:space="preserve">Quarter 3 </t>
  </si>
  <si>
    <t xml:space="preserve">Quarter 4 </t>
  </si>
  <si>
    <t xml:space="preserve">Table 4.1.2 Typical retail prices of petroleum products and a crude oil price index (annual)</t>
  </si>
  <si>
    <t xml:space="preserve">Note 1. Estimates are based on information provided by oil marketing companies until December 1994.  From January 1995, data from super/hypermarket chains have been included. </t>
  </si>
  <si>
    <t xml:space="preserve">Note 2. From October 1999, Four Star prices represent 'Lead Replacement Petrol' (LRP).  Pump prices for both petrols are broadly the same.</t>
  </si>
  <si>
    <t xml:space="preserve">Note 3. The LRP series has been discontinued from September 2005 due to the low volume of sales.</t>
  </si>
  <si>
    <t xml:space="preserve">Note 4. From April 2001, Premium unleaded prices represent Ultra Low Sulphur Petrol (ULSP), which now accounts for virtually all Premium unleaded sold.  The pump prices for both fuels were broadly the same.</t>
  </si>
  <si>
    <t xml:space="preserve">Note 5. From July 1999, diesel prices represent average prices for Ultra Low Sulphur Diesel which now accounts for virtually all diesel sold. Prices for the period March - June 1999 represent a mixture of both types of diesel as companies switched to only selling ULSD.  Pump prices for both diesels are broadly the same.</t>
  </si>
  <si>
    <t xml:space="preserve">Note 6. These estimates are for deliveries of up to 1,000 litres; such deliveries attract 8 per cent VAT from 1 April 1994.  With effect from 1 September 1997 the rate of VAT has been reduced to 5 per cent. </t>
  </si>
  <si>
    <t xml:space="preserve">Note 7. These estimates are for deliveries of 2,000 to 5,000 litres; such deliveries attract 8 per cent VAT from 1 April  1994.  With effect from 1 September 1997 the rate of VAT has been reduced to 5 per cent. </t>
  </si>
  <si>
    <t xml:space="preserve">Note 8. Price index for supplies received by refineries in the UK from both indigenous and imported sources.  It represents the average for the month calculated in sterling on a cif basis.</t>
  </si>
  <si>
    <t xml:space="preserve">Blank cells represent quarters where data was not reported in this table.</t>
  </si>
  <si>
    <t xml:space="preserve">Motor spirit:
4 star / LRP
(Pence per litre)
[Note 1, 2, 3]</t>
  </si>
  <si>
    <r>
      <rPr>
        <b val="true"/>
        <sz val="10"/>
        <rFont val="Arial"/>
        <family val="2"/>
        <charset val="1"/>
      </rPr>
      <t xml:space="preserve">Motor spirit:
</t>
    </r>
    <r>
      <rPr>
        <sz val="10"/>
        <rFont val="Arial"/>
        <family val="2"/>
        <charset val="1"/>
      </rPr>
      <t xml:space="preserve">Super unleaded
(Pence per litre)
[Note 1]</t>
    </r>
  </si>
  <si>
    <t xml:space="preserve">Motor spirit:
Premium unleaded / ULSP
(Pence per litre)
[Note 1, 4]</t>
  </si>
  <si>
    <r>
      <rPr>
        <b val="true"/>
        <sz val="10"/>
        <rFont val="Arial"/>
        <family val="2"/>
        <charset val="1"/>
      </rPr>
      <t xml:space="preserve">Derv: </t>
    </r>
    <r>
      <rPr>
        <sz val="10"/>
        <rFont val="Arial"/>
        <family val="2"/>
        <charset val="1"/>
      </rPr>
      <t xml:space="preserve">Diesel / ULSD
(Pence per litre)
[Note 1, 5]</t>
    </r>
  </si>
  <si>
    <r>
      <rPr>
        <b val="true"/>
        <sz val="10"/>
        <rFont val="Arial"/>
        <family val="2"/>
        <charset val="1"/>
      </rPr>
      <t xml:space="preserve">Standard grade burning oil
</t>
    </r>
    <r>
      <rPr>
        <sz val="10"/>
        <rFont val="Arial"/>
        <family val="2"/>
        <charset val="1"/>
      </rPr>
      <t xml:space="preserve">(Pence per litre)
[Note 1, 6]</t>
    </r>
  </si>
  <si>
    <r>
      <rPr>
        <b val="true"/>
        <sz val="10"/>
        <rFont val="Arial"/>
        <family val="2"/>
        <charset val="1"/>
      </rPr>
      <t xml:space="preserve">Gas oil
</t>
    </r>
    <r>
      <rPr>
        <sz val="10"/>
        <rFont val="Arial"/>
        <family val="2"/>
        <charset val="1"/>
      </rPr>
      <t xml:space="preserve">(Pence per litre)
[Note 1, 7]</t>
    </r>
  </si>
  <si>
    <r>
      <rPr>
        <b val="true"/>
        <sz val="10"/>
        <rFont val="Arial"/>
        <family val="2"/>
        <charset val="1"/>
      </rPr>
      <t xml:space="preserve">Crude oil acquired by refineries 
</t>
    </r>
    <r>
      <rPr>
        <sz val="10"/>
        <rFont val="Arial"/>
        <family val="2"/>
        <charset val="1"/>
      </rPr>
      <t xml:space="preserve">2010 = 100
[Note 8]</t>
    </r>
    <r>
      <rPr>
        <b val="true"/>
        <sz val="10"/>
        <rFont val="Arial"/>
        <family val="2"/>
        <charset val="1"/>
      </rPr>
      <t xml:space="preserve"> [r]</t>
    </r>
  </si>
  <si>
    <t xml:space="preserve">.. </t>
  </si>
  <si>
    <t xml:space="preserve">2000</t>
  </si>
  <si>
    <t xml:space="preserve">Typical retail prices of petroleum products excluding VAT and duty</t>
  </si>
  <si>
    <t xml:space="preserve">Blank cells represent either times when there was no change in VAT or duty or are periods between time aggregations.  The aggregation is recorded in the final month of the period.  4 star/LRP time series ended in August 2005, ULSP to ULSD differential started in February 2008.  </t>
  </si>
  <si>
    <t xml:space="preserve">VAT or duty change note </t>
  </si>
  <si>
    <r>
      <rPr>
        <b val="true"/>
        <sz val="10"/>
        <rFont val="Arial"/>
        <family val="2"/>
        <charset val="1"/>
      </rPr>
      <t xml:space="preserve">4 Star/LRP: </t>
    </r>
    <r>
      <rPr>
        <sz val="10"/>
        <rFont val="Arial"/>
        <family val="2"/>
        <charset val="1"/>
      </rPr>
      <t xml:space="preserve">Ex VAT
(Monthly)
(Pence per litre)</t>
    </r>
  </si>
  <si>
    <r>
      <rPr>
        <b val="true"/>
        <sz val="10"/>
        <rFont val="Arial"/>
        <family val="2"/>
        <charset val="1"/>
      </rPr>
      <t xml:space="preserve">4 Star/LRP:
</t>
    </r>
    <r>
      <rPr>
        <sz val="10"/>
        <rFont val="Arial"/>
        <family val="2"/>
        <charset val="1"/>
      </rPr>
      <t xml:space="preserve">Ex VAT &amp; Duty
(Monthly)
(Pence per litre)</t>
    </r>
  </si>
  <si>
    <r>
      <rPr>
        <b val="true"/>
        <sz val="10"/>
        <rFont val="Arial"/>
        <family val="2"/>
        <charset val="1"/>
      </rPr>
      <t xml:space="preserve">4 Star/LRP:
</t>
    </r>
    <r>
      <rPr>
        <sz val="10"/>
        <rFont val="Arial"/>
        <family val="2"/>
        <charset val="1"/>
      </rPr>
      <t xml:space="preserve">Ex VAT &amp; Duty
(Quarterly Average)
(Pence per litre)</t>
    </r>
  </si>
  <si>
    <r>
      <rPr>
        <b val="true"/>
        <sz val="10"/>
        <rFont val="Arial"/>
        <family val="2"/>
        <charset val="1"/>
      </rPr>
      <t xml:space="preserve">Derv (Diesel / ULSD): </t>
    </r>
    <r>
      <rPr>
        <sz val="10"/>
        <rFont val="Arial"/>
        <family val="2"/>
        <charset val="1"/>
      </rPr>
      <t xml:space="preserve">Diesel / ULSD Ex VAT
(Monthly)
(Pence per litre)</t>
    </r>
  </si>
  <si>
    <r>
      <rPr>
        <b val="true"/>
        <sz val="10"/>
        <rFont val="Arial"/>
        <family val="2"/>
        <charset val="1"/>
      </rPr>
      <t xml:space="preserve">Derv (Diesel / ULSD):</t>
    </r>
    <r>
      <rPr>
        <sz val="10"/>
        <rFont val="Arial"/>
        <family val="2"/>
        <charset val="1"/>
      </rPr>
      <t xml:space="preserve"> Ex VAT &amp; Duty
(Monthly)
(Pence per litre)</t>
    </r>
  </si>
  <si>
    <r>
      <rPr>
        <b val="true"/>
        <sz val="10"/>
        <rFont val="Arial"/>
        <family val="2"/>
        <charset val="1"/>
      </rPr>
      <t xml:space="preserve">Derv (Diesel / ULSD): </t>
    </r>
    <r>
      <rPr>
        <sz val="10"/>
        <rFont val="Arial"/>
        <family val="2"/>
        <charset val="1"/>
      </rPr>
      <t xml:space="preserve">Ex VAT &amp; Duty
(Quarterly Average)
(Pence per litre)</t>
    </r>
  </si>
  <si>
    <r>
      <rPr>
        <b val="true"/>
        <sz val="10"/>
        <rFont val="Arial"/>
        <family val="2"/>
        <charset val="1"/>
      </rPr>
      <t xml:space="preserve">ULSP (Premium Unleaded): </t>
    </r>
    <r>
      <rPr>
        <sz val="10"/>
        <rFont val="Arial"/>
        <family val="2"/>
        <charset val="1"/>
      </rPr>
      <t xml:space="preserve">Ex VAT
(Monthly)
(Pence per litre)</t>
    </r>
  </si>
  <si>
    <r>
      <rPr>
        <b val="true"/>
        <sz val="10"/>
        <rFont val="Arial"/>
        <family val="2"/>
        <charset val="1"/>
      </rPr>
      <t xml:space="preserve">ULSP (Premium Unleaded):</t>
    </r>
    <r>
      <rPr>
        <sz val="10"/>
        <rFont val="Arial"/>
        <family val="2"/>
        <charset val="1"/>
      </rPr>
      <t xml:space="preserve"> Ex VAT &amp; Duty
(Monthly)
(Pence per litre)</t>
    </r>
  </si>
  <si>
    <r>
      <rPr>
        <b val="true"/>
        <sz val="10"/>
        <rFont val="Arial"/>
        <family val="2"/>
        <charset val="1"/>
      </rPr>
      <t xml:space="preserve">ULSP (Premium Unleaded):</t>
    </r>
    <r>
      <rPr>
        <sz val="10"/>
        <rFont val="Arial"/>
        <family val="2"/>
        <charset val="1"/>
      </rPr>
      <t xml:space="preserve"> Ex VAT &amp; Duty
(Quarterly Average)
(Pence per litre)</t>
    </r>
  </si>
  <si>
    <r>
      <rPr>
        <b val="true"/>
        <sz val="10"/>
        <rFont val="Arial"/>
        <family val="2"/>
        <charset val="1"/>
      </rPr>
      <t xml:space="preserve">Standard grade burning oil (kerosene):</t>
    </r>
    <r>
      <rPr>
        <sz val="10"/>
        <rFont val="Arial"/>
        <family val="2"/>
        <charset val="1"/>
      </rPr>
      <t xml:space="preserve"> Ex VAT
(Monthly)
(Pence per litre)</t>
    </r>
  </si>
  <si>
    <r>
      <rPr>
        <b val="true"/>
        <sz val="10"/>
        <rFont val="Arial"/>
        <family val="2"/>
        <charset val="1"/>
      </rPr>
      <t xml:space="preserve">Standard grade burning oil (kerosene):</t>
    </r>
    <r>
      <rPr>
        <sz val="10"/>
        <rFont val="Arial"/>
        <family val="2"/>
        <charset val="1"/>
      </rPr>
      <t xml:space="preserve"> Ex VAT &amp; Duty 
(Monthly)
(Pence per litre)</t>
    </r>
  </si>
  <si>
    <r>
      <rPr>
        <b val="true"/>
        <sz val="10"/>
        <rFont val="Arial"/>
        <family val="2"/>
        <charset val="1"/>
      </rPr>
      <t xml:space="preserve">Standard grade burning oil (kerosene): </t>
    </r>
    <r>
      <rPr>
        <sz val="10"/>
        <rFont val="Arial"/>
        <family val="2"/>
        <charset val="1"/>
      </rPr>
      <t xml:space="preserve">Ex VAT &amp; Duty 
(Quarterly Average)
(Pence per litre)</t>
    </r>
  </si>
  <si>
    <r>
      <rPr>
        <b val="true"/>
        <sz val="10"/>
        <rFont val="Arial"/>
        <family val="2"/>
        <charset val="1"/>
      </rPr>
      <t xml:space="preserve">Gas oil:</t>
    </r>
    <r>
      <rPr>
        <sz val="10"/>
        <rFont val="Arial"/>
        <family val="2"/>
        <charset val="1"/>
      </rPr>
      <t xml:space="preserve"> Ex VAT 
(Monthly)
(Pence per litre)</t>
    </r>
  </si>
  <si>
    <r>
      <rPr>
        <b val="true"/>
        <sz val="10"/>
        <rFont val="Arial"/>
        <family val="2"/>
        <charset val="1"/>
      </rPr>
      <t xml:space="preserve">Gas oil:</t>
    </r>
    <r>
      <rPr>
        <sz val="10"/>
        <rFont val="Arial"/>
        <family val="2"/>
        <charset val="1"/>
      </rPr>
      <t xml:space="preserve"> Ex VAT &amp; Duty
(Monthly)
(Pence per litre)</t>
    </r>
  </si>
  <si>
    <r>
      <rPr>
        <b val="true"/>
        <sz val="10"/>
        <rFont val="Arial"/>
        <family val="2"/>
        <charset val="1"/>
      </rPr>
      <t xml:space="preserve">Gas oil:</t>
    </r>
    <r>
      <rPr>
        <sz val="10"/>
        <rFont val="Arial"/>
        <family val="2"/>
        <charset val="1"/>
      </rPr>
      <t xml:space="preserve"> Ex VAT &amp; Duty
(Quarterly Average)
(Pence per litre)</t>
    </r>
  </si>
  <si>
    <r>
      <rPr>
        <b val="true"/>
        <sz val="10"/>
        <rFont val="Arial"/>
        <family val="2"/>
        <charset val="1"/>
      </rPr>
      <t xml:space="preserve">Annual Average Derv:</t>
    </r>
    <r>
      <rPr>
        <sz val="10"/>
        <rFont val="Arial"/>
        <family val="2"/>
        <charset val="1"/>
      </rPr>
      <t xml:space="preserve"> Ex VAT
(Pence per litre)</t>
    </r>
  </si>
  <si>
    <r>
      <rPr>
        <b val="true"/>
        <sz val="10"/>
        <rFont val="Arial"/>
        <family val="2"/>
        <charset val="1"/>
      </rPr>
      <t xml:space="preserve">Annual Average Derv:</t>
    </r>
    <r>
      <rPr>
        <sz val="10"/>
        <rFont val="Arial"/>
        <family val="2"/>
        <charset val="1"/>
      </rPr>
      <t xml:space="preserve"> Ex VAT &amp; Duty
(Pence per litre)</t>
    </r>
  </si>
  <si>
    <r>
      <rPr>
        <b val="true"/>
        <sz val="10"/>
        <rFont val="Arial"/>
        <family val="2"/>
        <charset val="1"/>
      </rPr>
      <t xml:space="preserve">Annual Average ULSP:</t>
    </r>
    <r>
      <rPr>
        <sz val="10"/>
        <rFont val="Arial"/>
        <family val="2"/>
        <charset val="1"/>
      </rPr>
      <t xml:space="preserve"> Ex VAT
(Pence per litre)</t>
    </r>
  </si>
  <si>
    <r>
      <rPr>
        <b val="true"/>
        <sz val="10"/>
        <rFont val="Arial"/>
        <family val="2"/>
        <charset val="1"/>
      </rPr>
      <t xml:space="preserve">Annual Average ULSP: </t>
    </r>
    <r>
      <rPr>
        <sz val="10"/>
        <rFont val="Arial"/>
        <family val="2"/>
        <charset val="1"/>
      </rPr>
      <t xml:space="preserve">Ex VAT &amp; Duty
(Pence per litre)</t>
    </r>
  </si>
  <si>
    <t xml:space="preserve">LRP duty changed</t>
  </si>
  <si>
    <t xml:space="preserve">Duty &amp; VAT</t>
  </si>
  <si>
    <t xml:space="preserve">Duty Rate </t>
  </si>
  <si>
    <t xml:space="preserve">VAT</t>
  </si>
  <si>
    <t xml:space="preserve">VAT &amp; Duty</t>
  </si>
  <si>
    <t xml:space="preserve">Table 4.1.3 Typical retail prices of petroleum products from 1954, United Kingdom</t>
  </si>
  <si>
    <t xml:space="preserve">The estimates are generally representative of prices paid (inclusive of taxes) at the pump on or about the 15th of the month.  Estimates are based on information provided by oil companies from 1977 until the 15th of the month.</t>
  </si>
  <si>
    <t xml:space="preserve">Estimates are based on information provided by oil companies from 1977 until 1994.  From January 1995 data from super/hypermarket chains have been included.</t>
  </si>
  <si>
    <t xml:space="preserve">For rates of duty and VAT see Annex C.</t>
  </si>
  <si>
    <t xml:space="preserve">Note 1. From October 1999 Four Star prices represent ‘Lead Replacement Petrol’ (LRP) which had replaced Four Star at 95 per cent of outlets at that time.  Leaded petrol has now been  phased out.</t>
  </si>
  <si>
    <t xml:space="preserve">Note 1. Pump prices for both petrols are broadly the same.  The LRP series has been discontinued from September 2005 due to the low volume of sales.</t>
  </si>
  <si>
    <t xml:space="preserve">Note 2. From April 2001, Premium unleaded prices represent Ultra Low Sulphur Petrol (ULSP), which now accounts for virtually all Premium unleaded sold.  The pump prices for both fuels were broadly the same.</t>
  </si>
  <si>
    <t xml:space="preserve">Note 3. From July 1999  diesel prices represent average prices for Ultra Low Sulphur Diesel which now accounts for virtually all diesel sold.  Pump prices for both diesels are broadly the same.</t>
  </si>
  <si>
    <t xml:space="preserve">Note 4. Typical prices for deliveries of up to 1,000 litres of standard grade burning oil and between 2,000 and 5,000 litres of gas oil.</t>
  </si>
  <si>
    <t xml:space="preserve">Note 4. Prior to 1977, prices were for deliveries of 900 litres of standard grade burning oil and 2,275 litres of gas oil.  Since April 1994  prices include VAT at a rate of 8% until September 1997 when the applicable rate was reduced to 5%.</t>
  </si>
  <si>
    <t xml:space="preserve">In the table r indicates revised data. An r in the date column indicates all data in the row has been revised.</t>
  </si>
  <si>
    <r>
      <rPr>
        <b val="true"/>
        <sz val="10"/>
        <rFont val="Arial"/>
        <family val="2"/>
        <charset val="1"/>
      </rPr>
      <t xml:space="preserve">Motor spirit:
</t>
    </r>
    <r>
      <rPr>
        <sz val="10"/>
        <rFont val="Arial"/>
        <family val="2"/>
        <charset val="1"/>
      </rPr>
      <t xml:space="preserve">2 star
(Pence per litre)</t>
    </r>
  </si>
  <si>
    <r>
      <rPr>
        <b val="true"/>
        <sz val="10"/>
        <rFont val="Arial"/>
        <family val="2"/>
        <charset val="1"/>
      </rPr>
      <t xml:space="preserve">Motor spirit:
</t>
    </r>
    <r>
      <rPr>
        <sz val="10"/>
        <rFont val="Arial"/>
        <family val="2"/>
        <charset val="1"/>
      </rPr>
      <t xml:space="preserve">4 star/LRP
(Pence per litre)
[Note 1]</t>
    </r>
  </si>
  <si>
    <r>
      <rPr>
        <b val="true"/>
        <sz val="10"/>
        <rFont val="Arial"/>
        <family val="2"/>
        <charset val="1"/>
      </rPr>
      <t xml:space="preserve">Motor spirit</t>
    </r>
    <r>
      <rPr>
        <sz val="10"/>
        <rFont val="Arial"/>
        <family val="2"/>
        <charset val="1"/>
      </rPr>
      <t xml:space="preserve">: Super unleaded (Pence per litre)</t>
    </r>
  </si>
  <si>
    <r>
      <rPr>
        <b val="true"/>
        <sz val="10"/>
        <rFont val="Arial"/>
        <family val="2"/>
        <charset val="1"/>
      </rPr>
      <t xml:space="preserve">Motor spirit: </t>
    </r>
    <r>
      <rPr>
        <sz val="10"/>
        <rFont val="Arial"/>
        <family val="2"/>
        <charset val="1"/>
      </rPr>
      <t xml:space="preserve">Premium unleaded / ULSP
(Pence per litre)
[Note 2]</t>
    </r>
  </si>
  <si>
    <r>
      <rPr>
        <b val="true"/>
        <sz val="10"/>
        <rFont val="Arial"/>
        <family val="2"/>
        <charset val="1"/>
      </rPr>
      <t xml:space="preserve">Derv:</t>
    </r>
    <r>
      <rPr>
        <sz val="10"/>
        <rFont val="Arial"/>
        <family val="2"/>
        <charset val="1"/>
      </rPr>
      <t xml:space="preserve"> Diesel / ULSD
(Pence per litre)
[Note 3]</t>
    </r>
  </si>
  <si>
    <r>
      <rPr>
        <b val="true"/>
        <sz val="10"/>
        <rFont val="Arial"/>
        <family val="2"/>
        <charset val="1"/>
      </rPr>
      <t xml:space="preserve">Standard grade burning oil
</t>
    </r>
    <r>
      <rPr>
        <sz val="10"/>
        <rFont val="Arial"/>
        <family val="2"/>
        <charset val="1"/>
      </rPr>
      <t xml:space="preserve">(Pence per litre)
[Note 4]</t>
    </r>
  </si>
  <si>
    <r>
      <rPr>
        <b val="true"/>
        <sz val="10"/>
        <rFont val="Arial"/>
        <family val="2"/>
        <charset val="1"/>
      </rPr>
      <t xml:space="preserve">Gas oil
</t>
    </r>
    <r>
      <rPr>
        <sz val="10"/>
        <rFont val="Arial"/>
        <family val="2"/>
        <charset val="1"/>
      </rPr>
      <t xml:space="preserve">(Pence per litre)
[Note 4]</t>
    </r>
  </si>
  <si>
    <t xml:space="preserve">..</t>
  </si>
  <si>
    <t xml:space="preserve">Charts 4.1.1 to 4.1.4 Typical Prices of Petroleum Products and 4.2.1 Index of Crude Oil Prices</t>
  </si>
  <si>
    <t xml:space="preserve">Chart 4.1.1</t>
  </si>
  <si>
    <t xml:space="preserve">Chart 4.1.3</t>
  </si>
  <si>
    <t xml:space="preserve">Chart 4.2.1</t>
  </si>
  <si>
    <t xml:space="preserve">Chart 4.1.2</t>
  </si>
  <si>
    <t xml:space="preserve">Chart 4.1.4</t>
  </si>
  <si>
    <t xml:space="preserve">Return to Contents Page</t>
  </si>
  <si>
    <t xml:space="preserve">Notes for Tables 4.1.1 to 4.1.3</t>
  </si>
  <si>
    <t xml:space="preserve">The data published in these tables are national average prices calculated from prices supplied by a sample of motor fuel companies and supermarkets.</t>
  </si>
  <si>
    <t xml:space="preserve">Notes</t>
  </si>
  <si>
    <t xml:space="preserve">Because of the different pricing policies companies in the road fuels market have, average prices presented here will differ to what companies may charge and prices can differ dependant on the area of the country they are charged in.</t>
  </si>
  <si>
    <t xml:space="preserve">Since 1 September 2021, the Unleaded figure reported inlcudes the new standard "E10" grade. This was implemented in Great Britain by companies as soon as the legislation was in place.</t>
  </si>
  <si>
    <t xml:space="preserve">On 1 November 2022 "E10" was also rolled out in Northern Ireland. Therefore, between 1 September 2021 and 31 October 2022 the unleaded average included differing grades under the umbrella of “unleaded” in our releases.</t>
  </si>
  <si>
    <t xml:space="preserve">Crude oil prices are shown in Table 4.1.1 as an index based on a “basket” of both indigenous and imported crude oil prices that are used as an input, along with other fuel prices, for the Producer Prices Index (produced by ONS).</t>
  </si>
  <si>
    <t xml:space="preserve">Link to Producer Prices Index</t>
  </si>
  <si>
    <t xml:space="preserve">The index represents the average price paid by refineries for the month and is calculated in sterling on a Cost, Insurance and Freight (CIF) basis.</t>
  </si>
  <si>
    <t xml:space="preserve">Link to Asymmetries in Trade Data - A UK Perspective report</t>
  </si>
  <si>
    <t xml:space="preserve">Provisional monthly crude oil prices are usually revised in the month following their original publication, with revisions being marked with an “r”.</t>
  </si>
  <si>
    <t xml:space="preserve">Historic Data</t>
  </si>
  <si>
    <t xml:space="preserve">Prior to 1977 price data were collated from a variety of sources. They were largely sourced from published scheduled wholesale prices of the oil companies to which retailers margins were added.</t>
  </si>
  <si>
    <t xml:space="preserve">From January 1995 sales by super/hyper markets were included in the price estimates.</t>
  </si>
  <si>
    <t xml:space="preserve">Change p/litre</t>
  </si>
  <si>
    <t xml:space="preserve">% Change </t>
  </si>
  <si>
    <r>
      <rPr>
        <sz val="9"/>
        <rFont val="Arial"/>
        <family val="2"/>
        <charset val="1"/>
      </rPr>
      <t xml:space="preserve">Motor spirit</t>
    </r>
    <r>
      <rPr>
        <vertAlign val="superscript"/>
        <sz val="9"/>
        <rFont val="Arial"/>
        <family val="2"/>
        <charset val="1"/>
      </rPr>
      <t xml:space="preserve">1</t>
    </r>
  </si>
  <si>
    <r>
      <rPr>
        <sz val="9"/>
        <rFont val="Arial"/>
        <family val="2"/>
        <charset val="1"/>
      </rPr>
      <t xml:space="preserve">Derv</t>
    </r>
    <r>
      <rPr>
        <vertAlign val="superscript"/>
        <sz val="9"/>
        <rFont val="Arial"/>
        <family val="2"/>
        <charset val="1"/>
      </rPr>
      <t xml:space="preserve">1</t>
    </r>
  </si>
  <si>
    <t xml:space="preserve">Standard grade </t>
  </si>
  <si>
    <r>
      <rPr>
        <sz val="9"/>
        <rFont val="Arial"/>
        <family val="2"/>
        <charset val="1"/>
      </rPr>
      <t xml:space="preserve">Gas oil</t>
    </r>
    <r>
      <rPr>
        <vertAlign val="superscript"/>
        <sz val="9"/>
        <rFont val="Arial"/>
        <family val="2"/>
        <charset val="1"/>
      </rPr>
      <t xml:space="preserve">1,3</t>
    </r>
  </si>
  <si>
    <t xml:space="preserve">Crude oil acquired </t>
  </si>
  <si>
    <t xml:space="preserve">MTH</t>
  </si>
  <si>
    <t xml:space="preserve">YR</t>
  </si>
  <si>
    <t xml:space="preserve">4 star / LRP</t>
  </si>
  <si>
    <t xml:space="preserve">Super </t>
  </si>
  <si>
    <t xml:space="preserve">Premium </t>
  </si>
  <si>
    <r>
      <rPr>
        <sz val="8"/>
        <rFont val="Arial"/>
        <family val="2"/>
        <charset val="1"/>
      </rPr>
      <t xml:space="preserve">burning oil</t>
    </r>
    <r>
      <rPr>
        <vertAlign val="superscript"/>
        <sz val="8"/>
        <rFont val="Arial"/>
        <family val="2"/>
        <charset val="1"/>
      </rPr>
      <t xml:space="preserve">1,2</t>
    </r>
  </si>
  <si>
    <t xml:space="preserve">by refineries </t>
  </si>
  <si>
    <t xml:space="preserve">ULSP to ULSD</t>
  </si>
  <si>
    <t xml:space="preserve">Super</t>
  </si>
  <si>
    <t xml:space="preserve">SGBO</t>
  </si>
  <si>
    <t xml:space="preserve">GAS Oil</t>
  </si>
  <si>
    <t xml:space="preserve">unleaded </t>
  </si>
  <si>
    <t xml:space="preserve">Differential</t>
  </si>
  <si>
    <t xml:space="preserve">Historic Indices</t>
  </si>
  <si>
    <r>
      <rPr>
        <sz val="9"/>
        <rFont val="Arial"/>
        <family val="2"/>
        <charset val="1"/>
      </rPr>
      <t xml:space="preserve">Derv</t>
    </r>
    <r>
      <rPr>
        <vertAlign val="superscript"/>
        <sz val="9"/>
        <rFont val="Arial"/>
        <family val="2"/>
        <charset val="1"/>
      </rPr>
      <t xml:space="preserve">2</t>
    </r>
  </si>
  <si>
    <t xml:space="preserve">Price</t>
  </si>
  <si>
    <t xml:space="preserve">Pence per litre</t>
  </si>
  <si>
    <t xml:space="preserve">2010 = 100</t>
  </si>
  <si>
    <t xml:space="preserve">2005 = 100</t>
  </si>
  <si>
    <t xml:space="preserve">2000 = 100</t>
  </si>
  <si>
    <t xml:space="preserve">1995 = 100</t>
  </si>
  <si>
    <t xml:space="preserve">Excluding VAT and Duty</t>
  </si>
  <si>
    <t xml:space="preserve">p/litre</t>
  </si>
  <si>
    <t xml:space="preserve">%</t>
  </si>
  <si>
    <t xml:space="preserve">ULSP Pump price</t>
  </si>
  <si>
    <t xml:space="preserve">Excluding vat and duty</t>
  </si>
  <si>
    <t xml:space="preserve">DERV Pump price</t>
  </si>
  <si>
    <t xml:space="preserve">SUPERUNLEADED Pump price</t>
  </si>
  <si>
    <t xml:space="preserve">SGBO Including VAT (no duty)</t>
  </si>
  <si>
    <t xml:space="preserve">GAS OIL including VAT and duty</t>
  </si>
  <si>
    <t xml:space="preserve">  </t>
  </si>
  <si>
    <t xml:space="preserve">Mthly (pence per litre)</t>
  </si>
  <si>
    <t xml:space="preserve">Mthly %</t>
  </si>
  <si>
    <t xml:space="preserve">Annual (pence per litre)</t>
  </si>
  <si>
    <t xml:space="preserve">Annual %</t>
  </si>
</sst>
</file>

<file path=xl/styles.xml><?xml version="1.0" encoding="utf-8"?>
<styleSheet xmlns="http://schemas.openxmlformats.org/spreadsheetml/2006/main">
  <numFmts count="23">
    <numFmt numFmtId="164" formatCode="General"/>
    <numFmt numFmtId="165" formatCode="_-* #,##0.00_-;\-* #,##0.00_-;_-* \-??_-;_-@_-"/>
    <numFmt numFmtId="166" formatCode="0%"/>
    <numFmt numFmtId="167" formatCode="dd\-mmm\-yyyy"/>
    <numFmt numFmtId="168" formatCode="_-* #,##0.0_-;\-* #,##0.0_-;_-* \-??_-;_-@_-"/>
    <numFmt numFmtId="169" formatCode="m&quot;ar&quot;"/>
    <numFmt numFmtId="170" formatCode="0.00"/>
    <numFmt numFmtId="171" formatCode="0.0"/>
    <numFmt numFmtId="172" formatCode="mmmm"/>
    <numFmt numFmtId="173" formatCode="#,##0.00\ "/>
    <numFmt numFmtId="174" formatCode="#,##0.0\ "/>
    <numFmt numFmtId="175" formatCode="mmm\ yyyy"/>
    <numFmt numFmtId="176" formatCode="0.00\ "/>
    <numFmt numFmtId="177" formatCode="0.0\ "/>
    <numFmt numFmtId="178" formatCode="0.0%"/>
    <numFmt numFmtId="179" formatCode="mmm\-yy"/>
    <numFmt numFmtId="180" formatCode="0.00\r"/>
    <numFmt numFmtId="181" formatCode="@&quot;  &quot;"/>
    <numFmt numFmtId="182" formatCode="0;;;@"/>
    <numFmt numFmtId="183" formatCode="#,##0.0"/>
    <numFmt numFmtId="184" formatCode="0.00%"/>
    <numFmt numFmtId="185" formatCode="0"/>
    <numFmt numFmtId="186" formatCode="0.000%"/>
  </numFmts>
  <fonts count="44">
    <font>
      <sz val="10"/>
      <name val="Arial"/>
      <family val="0"/>
      <charset val="1"/>
    </font>
    <font>
      <sz val="10"/>
      <name val="Arial"/>
      <family val="0"/>
    </font>
    <font>
      <sz val="10"/>
      <name val="Arial"/>
      <family val="0"/>
    </font>
    <font>
      <sz val="10"/>
      <name val="Arial"/>
      <family val="0"/>
    </font>
    <font>
      <sz val="10"/>
      <name val="Arial"/>
      <family val="2"/>
      <charset val="1"/>
    </font>
    <font>
      <u val="single"/>
      <sz val="9"/>
      <color rgb="FF0000FF"/>
      <name val="Arial"/>
      <family val="2"/>
      <charset val="1"/>
    </font>
    <font>
      <u val="single"/>
      <sz val="10"/>
      <color theme="10"/>
      <name val="Arial"/>
      <family val="2"/>
      <charset val="1"/>
    </font>
    <font>
      <sz val="10"/>
      <color theme="1"/>
      <name val="Arial"/>
      <family val="2"/>
      <charset val="1"/>
    </font>
    <font>
      <b val="true"/>
      <sz val="18"/>
      <name val="Arial"/>
      <family val="2"/>
      <charset val="1"/>
    </font>
    <font>
      <sz val="18"/>
      <name val="Arial"/>
      <family val="2"/>
      <charset val="1"/>
    </font>
    <font>
      <sz val="12"/>
      <name val="Arial"/>
      <family val="2"/>
      <charset val="1"/>
    </font>
    <font>
      <b val="true"/>
      <sz val="14"/>
      <name val="Arial"/>
      <family val="2"/>
      <charset val="1"/>
    </font>
    <font>
      <b val="true"/>
      <sz val="11"/>
      <name val="Arial"/>
      <family val="2"/>
      <charset val="1"/>
    </font>
    <font>
      <sz val="11"/>
      <name val="Arial"/>
      <family val="2"/>
      <charset val="1"/>
    </font>
    <font>
      <sz val="12"/>
      <name val="MS Sans Serif"/>
      <family val="2"/>
      <charset val="1"/>
    </font>
    <font>
      <b val="true"/>
      <sz val="12"/>
      <name val="Arial"/>
      <family val="2"/>
      <charset val="1"/>
    </font>
    <font>
      <sz val="11"/>
      <color theme="3"/>
      <name val="Arial"/>
      <family val="2"/>
      <charset val="1"/>
    </font>
    <font>
      <u val="single"/>
      <sz val="12"/>
      <color rgb="FF0000FF"/>
      <name val="Arial"/>
      <family val="2"/>
      <charset val="1"/>
    </font>
    <font>
      <sz val="12"/>
      <color theme="3"/>
      <name val="Arial"/>
      <family val="2"/>
      <charset val="1"/>
    </font>
    <font>
      <b val="true"/>
      <sz val="10"/>
      <name val="Arial"/>
      <family val="2"/>
      <charset val="1"/>
    </font>
    <font>
      <sz val="9"/>
      <name val="Arial"/>
      <family val="2"/>
      <charset val="1"/>
    </font>
    <font>
      <sz val="8"/>
      <name val="Arial"/>
      <family val="2"/>
      <charset val="1"/>
    </font>
    <font>
      <b val="true"/>
      <sz val="8"/>
      <name val="Arial"/>
      <family val="2"/>
      <charset val="1"/>
    </font>
    <font>
      <sz val="9"/>
      <color rgb="FFFF0000"/>
      <name val="Arial"/>
      <family val="2"/>
      <charset val="1"/>
    </font>
    <font>
      <sz val="9"/>
      <color theme="1"/>
      <name val="Arial"/>
      <family val="2"/>
      <charset val="1"/>
    </font>
    <font>
      <b val="true"/>
      <sz val="9"/>
      <name val="Arial"/>
      <family val="2"/>
      <charset val="1"/>
    </font>
    <font>
      <i val="true"/>
      <sz val="9"/>
      <name val="Arial"/>
      <family val="2"/>
      <charset val="1"/>
    </font>
    <font>
      <i val="true"/>
      <sz val="10"/>
      <name val="Arial"/>
      <family val="2"/>
      <charset val="1"/>
    </font>
    <font>
      <i val="true"/>
      <sz val="9"/>
      <color rgb="FF000000"/>
      <name val="Arial"/>
      <family val="0"/>
    </font>
    <font>
      <sz val="9"/>
      <color rgb="FF000000"/>
      <name val="Arial"/>
      <family val="0"/>
    </font>
    <font>
      <b val="true"/>
      <sz val="12"/>
      <color rgb="FF000000"/>
      <name val="Arial"/>
      <family val="2"/>
      <charset val="1"/>
    </font>
    <font>
      <b val="true"/>
      <sz val="11"/>
      <color theme="3"/>
      <name val="Arial"/>
      <family val="2"/>
      <charset val="1"/>
    </font>
    <font>
      <b val="true"/>
      <sz val="11"/>
      <color rgb="FF000000"/>
      <name val="Arial"/>
      <family val="2"/>
    </font>
    <font>
      <sz val="10"/>
      <color rgb="FF000000"/>
      <name val="Arial"/>
      <family val="2"/>
    </font>
    <font>
      <b val="true"/>
      <sz val="10"/>
      <color rgb="FF000000"/>
      <name val="Arial"/>
      <family val="2"/>
    </font>
    <font>
      <sz val="8"/>
      <color rgb="FF000000"/>
      <name val="Arial"/>
      <family val="2"/>
    </font>
    <font>
      <sz val="9"/>
      <color rgb="FF000000"/>
      <name val="Arial"/>
      <family val="2"/>
    </font>
    <font>
      <sz val="11"/>
      <color rgb="FF000000"/>
      <name val="Arial"/>
      <family val="2"/>
      <charset val="1"/>
    </font>
    <font>
      <vertAlign val="superscript"/>
      <sz val="9"/>
      <name val="Arial"/>
      <family val="2"/>
      <charset val="1"/>
    </font>
    <font>
      <vertAlign val="superscript"/>
      <sz val="8"/>
      <name val="Arial"/>
      <family val="2"/>
      <charset val="1"/>
    </font>
    <font>
      <sz val="10"/>
      <color theme="0"/>
      <name val="Arial"/>
      <family val="2"/>
      <charset val="1"/>
    </font>
    <font>
      <b val="true"/>
      <sz val="9"/>
      <color theme="0"/>
      <name val="Arial"/>
      <family val="2"/>
      <charset val="1"/>
    </font>
    <font>
      <b val="true"/>
      <i val="true"/>
      <sz val="10"/>
      <name val="Arial"/>
      <family val="2"/>
      <charset val="1"/>
    </font>
    <font>
      <u val="single"/>
      <sz val="10"/>
      <color rgb="FF0000FF"/>
      <name val="Arial"/>
      <family val="2"/>
      <charset val="1"/>
    </font>
  </fonts>
  <fills count="6">
    <fill>
      <patternFill patternType="none"/>
    </fill>
    <fill>
      <patternFill patternType="gray125"/>
    </fill>
    <fill>
      <patternFill patternType="solid">
        <fgColor theme="0"/>
        <bgColor rgb="FFFFFFCC"/>
      </patternFill>
    </fill>
    <fill>
      <patternFill patternType="solid">
        <fgColor theme="2" tint="-0.25"/>
        <bgColor rgb="FFB3A2C7"/>
      </patternFill>
    </fill>
    <fill>
      <patternFill patternType="solid">
        <fgColor theme="2" tint="-0.75"/>
        <bgColor rgb="FF404040"/>
      </patternFill>
    </fill>
    <fill>
      <patternFill patternType="solid">
        <fgColor rgb="FFFFC000"/>
        <bgColor rgb="FFFF9900"/>
      </patternFill>
    </fill>
  </fills>
  <borders count="6">
    <border diagonalUp="false" diagonalDown="false">
      <left/>
      <right/>
      <top/>
      <bottom/>
      <diagonal/>
    </border>
    <border diagonalUp="false" diagonalDown="false">
      <left/>
      <right/>
      <top/>
      <bottom style="thick">
        <color theme="4"/>
      </bottom>
      <diagonal/>
    </border>
    <border diagonalUp="false" diagonalDown="false">
      <left/>
      <right/>
      <top/>
      <bottom style="thin"/>
      <diagonal/>
    </border>
    <border diagonalUp="false" diagonalDown="false">
      <left style="thin"/>
      <right style="thin"/>
      <top/>
      <bottom/>
      <diagonal/>
    </border>
    <border diagonalUp="false" diagonalDown="false">
      <left/>
      <right/>
      <top style="thin"/>
      <bottom style="thin"/>
      <diagonal/>
    </border>
    <border diagonalUp="false" diagonalDown="false">
      <left style="thin"/>
      <right style="thin"/>
      <top style="thin"/>
      <bottom style="thin"/>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false" applyAlignment="true" applyProtection="false">
      <alignment horizontal="general" vertical="bottom" textRotation="0" wrapText="false" indent="0" shrinkToFit="false"/>
    </xf>
    <xf numFmtId="164" fontId="15" fillId="0" borderId="1" applyFont="true" applyBorder="true" applyAlignment="true" applyProtection="false">
      <alignment horizontal="general" vertical="bottom" textRotation="0" wrapText="false" indent="0" shrinkToFit="false"/>
    </xf>
  </cellStyleXfs>
  <cellXfs count="225">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7" fontId="10"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6" fillId="0" borderId="0" xfId="20" applyFont="true" applyBorder="true" applyAlignment="true" applyProtection="true">
      <alignment horizontal="left" vertical="center" textRotation="0" wrapText="false" indent="0" shrinkToFit="false"/>
      <protection locked="true" hidden="false"/>
    </xf>
    <xf numFmtId="164" fontId="16" fillId="0" borderId="0" xfId="20" applyFont="true" applyBorder="true" applyAlignment="true" applyProtection="true">
      <alignment horizontal="general"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7" fillId="0" borderId="0" xfId="20" applyFont="true" applyBorder="tru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6" fillId="0" borderId="0" xfId="23" applyFont="true" applyBorder="true" applyAlignment="true" applyProtection="true">
      <alignment horizontal="left"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8" fillId="0" borderId="0" xfId="20" applyFont="true" applyBorder="true" applyAlignment="true" applyProtection="tru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8" fontId="4" fillId="0" borderId="0" xfId="15"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left"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9" fontId="19" fillId="0" borderId="0" xfId="0" applyFont="true" applyBorder="false" applyAlignment="true" applyProtection="false">
      <alignment horizontal="general" vertical="bottom" textRotation="0" wrapText="true" indent="0" shrinkToFit="false"/>
      <protection locked="true" hidden="false"/>
    </xf>
    <xf numFmtId="170" fontId="19" fillId="0" borderId="0" xfId="0" applyFont="true" applyBorder="false" applyAlignment="true" applyProtection="false">
      <alignment horizontal="right" vertical="bottom" textRotation="0" wrapText="true" indent="0" shrinkToFit="false"/>
      <protection locked="true" hidden="false"/>
    </xf>
    <xf numFmtId="171" fontId="19" fillId="0" borderId="0" xfId="0" applyFont="true" applyBorder="false" applyAlignment="true" applyProtection="false">
      <alignment horizontal="right" vertical="bottom" textRotation="0" wrapText="true" indent="0" shrinkToFit="false"/>
      <protection locked="true" hidden="false"/>
    </xf>
    <xf numFmtId="164" fontId="19" fillId="0" borderId="0" xfId="0" applyFont="true" applyBorder="false" applyAlignment="true" applyProtection="false">
      <alignment horizontal="right" vertical="bottom"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72" fontId="4" fillId="0" borderId="0" xfId="0" applyFont="true" applyBorder="false" applyAlignment="true" applyProtection="false">
      <alignment horizontal="left" vertical="center" textRotation="0" wrapText="false" indent="0" shrinkToFit="false"/>
      <protection locked="true" hidden="false"/>
    </xf>
    <xf numFmtId="173" fontId="20" fillId="0" borderId="0" xfId="0" applyFont="true" applyBorder="false" applyAlignment="true" applyProtection="false">
      <alignment horizontal="right" vertical="center" textRotation="0" wrapText="false" indent="0" shrinkToFit="false"/>
      <protection locked="true" hidden="false"/>
    </xf>
    <xf numFmtId="170" fontId="20" fillId="0" borderId="0" xfId="0" applyFont="true" applyBorder="false" applyAlignment="true" applyProtection="false">
      <alignment horizontal="right" vertical="center" textRotation="0" wrapText="false" indent="0" shrinkToFit="false"/>
      <protection locked="true" hidden="false"/>
    </xf>
    <xf numFmtId="174" fontId="20" fillId="0" borderId="0" xfId="0" applyFont="true" applyBorder="false" applyAlignment="true" applyProtection="false">
      <alignment horizontal="right" vertical="center" textRotation="0" wrapText="false" indent="0" shrinkToFit="false"/>
      <protection locked="true" hidden="false"/>
    </xf>
    <xf numFmtId="164" fontId="4" fillId="0" borderId="0" xfId="0" applyFont="true" applyBorder="false" applyAlignment="true" applyProtection="false">
      <alignment horizontal="right" vertical="center" textRotation="0" wrapText="false" indent="0" shrinkToFit="false"/>
      <protection locked="true" hidden="false"/>
    </xf>
    <xf numFmtId="171" fontId="21" fillId="0" borderId="0" xfId="0" applyFont="true" applyBorder="false" applyAlignment="true" applyProtection="false">
      <alignment horizontal="right" vertical="center" textRotation="0" wrapText="false" indent="0" shrinkToFit="false"/>
      <protection locked="true" hidden="false"/>
    </xf>
    <xf numFmtId="175" fontId="4" fillId="0" borderId="0" xfId="0" applyFont="true" applyBorder="false" applyAlignment="true" applyProtection="false">
      <alignment horizontal="right" vertical="center" textRotation="0" wrapText="false" indent="0" shrinkToFit="false"/>
      <protection locked="true" hidden="false"/>
    </xf>
    <xf numFmtId="171" fontId="22" fillId="0" borderId="0" xfId="0" applyFont="true" applyBorder="false" applyAlignment="true" applyProtection="false">
      <alignment horizontal="right" vertical="center" textRotation="0" wrapText="false" indent="0" shrinkToFit="false"/>
      <protection locked="true" hidden="false"/>
    </xf>
    <xf numFmtId="176" fontId="20" fillId="0" borderId="0" xfId="0" applyFont="true" applyBorder="false" applyAlignment="true" applyProtection="false">
      <alignment horizontal="right" vertical="center" textRotation="0" wrapText="false" indent="0" shrinkToFit="false"/>
      <protection locked="true" hidden="false"/>
    </xf>
    <xf numFmtId="173" fontId="20" fillId="0" borderId="0" xfId="19" applyFont="true" applyBorder="true" applyAlignment="true" applyProtection="true">
      <alignment horizontal="right" vertical="center" textRotation="0" wrapText="false" indent="0" shrinkToFit="false"/>
      <protection locked="true" hidden="false"/>
    </xf>
    <xf numFmtId="170" fontId="20" fillId="0" borderId="0" xfId="19" applyFont="true" applyBorder="true" applyAlignment="true" applyProtection="true">
      <alignment horizontal="right" vertical="center" textRotation="0" wrapText="false" indent="0" shrinkToFit="false"/>
      <protection locked="true" hidden="false"/>
    </xf>
    <xf numFmtId="177" fontId="20" fillId="0" borderId="0" xfId="0" applyFont="true" applyBorder="false" applyAlignment="true" applyProtection="false">
      <alignment horizontal="right" vertical="center" textRotation="0" wrapText="false" indent="0" shrinkToFit="false"/>
      <protection locked="true" hidden="false"/>
    </xf>
    <xf numFmtId="176" fontId="20" fillId="0" borderId="0" xfId="19" applyFont="true" applyBorder="true" applyAlignment="true" applyProtection="true">
      <alignment horizontal="right" vertical="center" textRotation="0" wrapText="false" indent="0" shrinkToFit="false"/>
      <protection locked="true" hidden="false"/>
    </xf>
    <xf numFmtId="171" fontId="4" fillId="0" borderId="0" xfId="0" applyFont="true" applyBorder="false" applyAlignment="true" applyProtection="false">
      <alignment horizontal="right" vertical="center" textRotation="0" wrapText="false" indent="0" shrinkToFit="false"/>
      <protection locked="true" hidden="false"/>
    </xf>
    <xf numFmtId="164" fontId="20" fillId="0" borderId="0" xfId="0" applyFont="true" applyBorder="false" applyAlignment="true" applyProtection="false">
      <alignment horizontal="right" vertical="center" textRotation="0" wrapText="false" indent="0" shrinkToFit="false"/>
      <protection locked="true" hidden="false"/>
    </xf>
    <xf numFmtId="171" fontId="20" fillId="0" borderId="0" xfId="0" applyFont="true" applyBorder="false" applyAlignment="true" applyProtection="false">
      <alignment horizontal="right" vertical="center" textRotation="0" wrapText="false" indent="0" shrinkToFit="false"/>
      <protection locked="true" hidden="false"/>
    </xf>
    <xf numFmtId="178" fontId="20" fillId="0" borderId="0" xfId="0" applyFont="true" applyBorder="false" applyAlignment="true" applyProtection="false">
      <alignment horizontal="right" vertical="center" textRotation="0" wrapText="false" indent="0" shrinkToFit="false"/>
      <protection locked="true" hidden="false"/>
    </xf>
    <xf numFmtId="171" fontId="23" fillId="0" borderId="0" xfId="0" applyFont="true" applyBorder="false" applyAlignment="true" applyProtection="false">
      <alignment horizontal="right" vertical="center" textRotation="0" wrapText="false" indent="0" shrinkToFit="false"/>
      <protection locked="true" hidden="false"/>
    </xf>
    <xf numFmtId="170" fontId="24" fillId="0" borderId="0" xfId="0" applyFont="true" applyBorder="false" applyAlignment="true" applyProtection="false">
      <alignment horizontal="right" vertical="center" textRotation="0" wrapText="false" indent="0" shrinkToFit="false"/>
      <protection locked="true" hidden="false"/>
    </xf>
    <xf numFmtId="178" fontId="20" fillId="0" borderId="0" xfId="0" applyFont="true" applyBorder="false" applyAlignment="false" applyProtection="false">
      <alignment horizontal="general" vertical="bottom" textRotation="0" wrapText="false" indent="0" shrinkToFit="false"/>
      <protection locked="true" hidden="false"/>
    </xf>
    <xf numFmtId="178" fontId="20" fillId="0" borderId="0" xfId="0" applyFont="true" applyBorder="false" applyAlignment="true" applyProtection="false">
      <alignment horizontal="right" vertical="bottom" textRotation="0" wrapText="false" indent="0" shrinkToFit="false"/>
      <protection locked="true" hidden="false"/>
    </xf>
    <xf numFmtId="175" fontId="4" fillId="0" borderId="0" xfId="0" applyFont="true" applyBorder="false" applyAlignment="false" applyProtection="false">
      <alignment horizontal="general" vertical="bottom" textRotation="0" wrapText="false" indent="0" shrinkToFit="false"/>
      <protection locked="true" hidden="false"/>
    </xf>
    <xf numFmtId="170" fontId="20" fillId="0" borderId="0" xfId="0" applyFont="true" applyBorder="false" applyAlignment="false" applyProtection="false">
      <alignment horizontal="general" vertical="bottom" textRotation="0" wrapText="false" indent="0" shrinkToFit="false"/>
      <protection locked="true" hidden="false"/>
    </xf>
    <xf numFmtId="179" fontId="20" fillId="0" borderId="0" xfId="0" applyFont="true" applyBorder="false" applyAlignment="false" applyProtection="false">
      <alignment horizontal="general" vertical="bottom" textRotation="0" wrapText="false" indent="0" shrinkToFit="false"/>
      <protection locked="true" hidden="false"/>
    </xf>
    <xf numFmtId="170" fontId="20" fillId="0" borderId="0" xfId="0" applyFont="true" applyBorder="false" applyAlignment="true" applyProtection="false">
      <alignment horizontal="right" vertical="bottom" textRotation="0" wrapText="false" indent="0" shrinkToFit="false"/>
      <protection locked="true" hidden="false"/>
    </xf>
    <xf numFmtId="178" fontId="20" fillId="0" borderId="0" xfId="19" applyFont="true" applyBorder="true" applyAlignment="true" applyProtection="tru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70" fontId="20" fillId="0" borderId="0" xfId="19" applyFont="true" applyBorder="true" applyAlignment="true" applyProtection="true">
      <alignment horizontal="right" vertical="bottom" textRotation="0" wrapText="false" indent="0" shrinkToFit="false"/>
      <protection locked="true" hidden="false"/>
    </xf>
    <xf numFmtId="180" fontId="20"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70" fontId="4" fillId="0" borderId="0" xfId="0" applyFont="true" applyBorder="false" applyAlignment="true" applyProtection="false">
      <alignment horizontal="right" vertical="center" textRotation="0" wrapText="false" indent="0" shrinkToFit="false"/>
      <protection locked="true" hidden="false"/>
    </xf>
    <xf numFmtId="181" fontId="20" fillId="0" borderId="0" xfId="0" applyFont="true" applyBorder="false" applyAlignment="true" applyProtection="false">
      <alignment horizontal="right" vertical="center" textRotation="0" wrapText="false" indent="0" shrinkToFit="false"/>
      <protection locked="true" hidden="false"/>
    </xf>
    <xf numFmtId="164" fontId="15" fillId="2" borderId="0" xfId="30" applyFont="true" applyBorder="true" applyAlignment="true" applyProtection="true">
      <alignment horizontal="left" vertical="center" textRotation="0" wrapText="false" indent="0" shrinkToFit="false"/>
      <protection locked="true" hidden="false"/>
    </xf>
    <xf numFmtId="164" fontId="15" fillId="2" borderId="0" xfId="0" applyFont="true" applyBorder="false" applyAlignment="true" applyProtection="false">
      <alignment horizontal="left" vertical="center" textRotation="0" wrapText="false" indent="0" shrinkToFit="false"/>
      <protection locked="true" hidden="false"/>
    </xf>
    <xf numFmtId="164" fontId="15" fillId="2" borderId="0" xfId="0" applyFont="true" applyBorder="false" applyAlignment="true" applyProtection="false">
      <alignment horizontal="left" vertical="center"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left" vertical="center" textRotation="0" wrapText="false" indent="0" shrinkToFit="false"/>
      <protection locked="true" hidden="false"/>
    </xf>
    <xf numFmtId="164" fontId="19" fillId="2" borderId="0" xfId="0" applyFont="true" applyBorder="false" applyAlignment="true" applyProtection="false">
      <alignment horizontal="left" vertical="bottom" textRotation="0" wrapText="true" indent="0" shrinkToFit="false"/>
      <protection locked="true" hidden="false"/>
    </xf>
    <xf numFmtId="170" fontId="19" fillId="2" borderId="0" xfId="0" applyFont="true" applyBorder="false" applyAlignment="true" applyProtection="false">
      <alignment horizontal="right" vertical="bottom" textRotation="0" wrapText="true" indent="0" shrinkToFit="false"/>
      <protection locked="true" hidden="false"/>
    </xf>
    <xf numFmtId="171" fontId="19" fillId="2" borderId="0" xfId="0" applyFont="true" applyBorder="false" applyAlignment="true" applyProtection="false">
      <alignment horizontal="right" vertical="bottom" textRotation="0" wrapText="tru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73" fontId="20" fillId="2" borderId="0" xfId="0" applyFont="true" applyBorder="false" applyAlignment="true" applyProtection="false">
      <alignment horizontal="right" vertical="center" textRotation="0" wrapText="false" indent="0" shrinkToFit="false"/>
      <protection locked="true" hidden="false"/>
    </xf>
    <xf numFmtId="171" fontId="20" fillId="2" borderId="0" xfId="0" applyFont="true" applyBorder="false" applyAlignment="true" applyProtection="false">
      <alignment horizontal="right" vertical="center" textRotation="0" wrapText="false" indent="0" shrinkToFit="false"/>
      <protection locked="true" hidden="false"/>
    </xf>
    <xf numFmtId="164" fontId="4" fillId="2" borderId="0" xfId="0" applyFont="true" applyBorder="false" applyAlignment="true" applyProtection="false">
      <alignment horizontal="right" vertical="center" textRotation="0" wrapText="false" indent="0" shrinkToFit="false"/>
      <protection locked="true" hidden="false"/>
    </xf>
    <xf numFmtId="174" fontId="20" fillId="2" borderId="0" xfId="0" applyFont="true" applyBorder="false" applyAlignment="true" applyProtection="false">
      <alignment horizontal="right" vertical="center" textRotation="0" wrapText="false" indent="0" shrinkToFit="false"/>
      <protection locked="true" hidden="false"/>
    </xf>
    <xf numFmtId="182" fontId="4" fillId="2" borderId="0" xfId="0" applyFont="true" applyBorder="false" applyAlignment="true" applyProtection="false">
      <alignment horizontal="left" vertical="center" textRotation="0" wrapText="false" indent="0" shrinkToFit="false"/>
      <protection locked="true" hidden="false"/>
    </xf>
    <xf numFmtId="183" fontId="20" fillId="2" borderId="0" xfId="0" applyFont="true" applyBorder="false" applyAlignment="true" applyProtection="false">
      <alignment horizontal="right" vertical="center" textRotation="0" wrapText="false" indent="0" shrinkToFit="false"/>
      <protection locked="true" hidden="false"/>
    </xf>
    <xf numFmtId="181" fontId="20" fillId="2" borderId="0" xfId="0" applyFont="true" applyBorder="false" applyAlignment="true" applyProtection="false">
      <alignment horizontal="right" vertical="center" textRotation="0" wrapText="false" indent="0" shrinkToFit="false"/>
      <protection locked="true" hidden="false"/>
    </xf>
    <xf numFmtId="178" fontId="4" fillId="2" borderId="0" xfId="19" applyFont="true" applyBorder="true" applyAlignment="true" applyProtection="true">
      <alignment horizontal="right" vertical="center" textRotation="0" wrapText="false" indent="0" shrinkToFit="false"/>
      <protection locked="true" hidden="false"/>
    </xf>
    <xf numFmtId="178" fontId="0" fillId="2" borderId="0" xfId="19" applyFont="true" applyBorder="true" applyAlignment="true" applyProtection="true">
      <alignment horizontal="right" vertical="center" textRotation="0" wrapText="false" indent="0" shrinkToFit="false"/>
      <protection locked="true" hidden="false"/>
    </xf>
    <xf numFmtId="178" fontId="0" fillId="2" borderId="0" xfId="0" applyFont="false" applyBorder="false" applyAlignment="true" applyProtection="false">
      <alignment horizontal="right" vertical="center" textRotation="0" wrapText="false" indent="0" shrinkToFit="false"/>
      <protection locked="true" hidden="false"/>
    </xf>
    <xf numFmtId="168" fontId="20" fillId="0" borderId="0" xfId="15" applyFont="true" applyBorder="true" applyAlignment="true" applyProtection="tru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0" fontId="19" fillId="0" borderId="0" xfId="0" applyFont="true" applyBorder="false" applyAlignment="true" applyProtection="false">
      <alignment horizontal="left" vertical="bottom" textRotation="0" wrapText="true" indent="0" shrinkToFit="false"/>
      <protection locked="true" hidden="false"/>
    </xf>
    <xf numFmtId="170" fontId="20" fillId="0" borderId="0" xfId="19" applyFont="true" applyBorder="true" applyAlignment="true" applyProtection="tru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right" vertical="bottom" textRotation="0" wrapText="false" indent="0" shrinkToFit="false"/>
      <protection locked="true" hidden="false"/>
    </xf>
    <xf numFmtId="184" fontId="4" fillId="0" borderId="0" xfId="0" applyFont="true" applyBorder="false" applyAlignment="false" applyProtection="false">
      <alignment horizontal="general" vertical="bottom" textRotation="0" wrapText="false" indent="0" shrinkToFit="false"/>
      <protection locked="true" hidden="false"/>
    </xf>
    <xf numFmtId="184" fontId="20" fillId="0" borderId="0" xfId="0" applyFont="true" applyBorder="false" applyAlignment="true" applyProtection="false">
      <alignment horizontal="right" vertical="bottom" textRotation="0" wrapText="false" indent="0" shrinkToFit="false"/>
      <protection locked="true" hidden="false"/>
    </xf>
    <xf numFmtId="184" fontId="20"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8" fontId="20" fillId="0" borderId="0" xfId="15" applyFont="true" applyBorder="true" applyAlignment="true" applyProtection="true">
      <alignment horizontal="left" vertical="center" textRotation="0" wrapText="false" indent="0" shrinkToFit="false"/>
      <protection locked="true" hidden="false"/>
    </xf>
    <xf numFmtId="170" fontId="23" fillId="0" borderId="0" xfId="0" applyFont="true" applyBorder="false" applyAlignment="false" applyProtection="false">
      <alignment horizontal="general" vertical="bottom" textRotation="0" wrapText="false" indent="0" shrinkToFit="false"/>
      <protection locked="true" hidden="false"/>
    </xf>
    <xf numFmtId="170"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78" fontId="26" fillId="0" borderId="0" xfId="19" applyFont="true" applyBorder="true" applyAlignment="true" applyProtection="true">
      <alignment horizontal="general" vertical="bottom" textRotation="0" wrapText="false" indent="0" shrinkToFit="false"/>
      <protection locked="true" hidden="false"/>
    </xf>
    <xf numFmtId="164" fontId="15" fillId="0" borderId="0" xfId="30"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false">
      <alignment horizontal="general" vertical="center" textRotation="0" wrapText="false" indent="0" shrinkToFit="false"/>
      <protection locked="true" hidden="false"/>
    </xf>
    <xf numFmtId="164" fontId="10" fillId="0" borderId="0" xfId="25" applyFont="true" applyBorder="false" applyAlignment="true" applyProtection="false">
      <alignment horizontal="general" vertical="center" textRotation="0" wrapText="false" indent="0" shrinkToFit="false"/>
      <protection locked="true" hidden="false"/>
    </xf>
    <xf numFmtId="164" fontId="10" fillId="0" borderId="0" xfId="25" applyFont="true" applyBorder="false" applyAlignment="true" applyProtection="false">
      <alignment horizontal="left" vertical="center" textRotation="0" wrapText="false" indent="0" shrinkToFit="false"/>
      <protection locked="true" hidden="false"/>
    </xf>
    <xf numFmtId="164" fontId="10" fillId="0" borderId="0" xfId="25" applyFont="true" applyBorder="false" applyAlignment="true" applyProtection="false">
      <alignment horizontal="left" vertical="bottom" textRotation="0" wrapText="false" indent="0" shrinkToFit="false"/>
      <protection locked="true" hidden="false"/>
    </xf>
    <xf numFmtId="164" fontId="19" fillId="0" borderId="0" xfId="25" applyFont="true" applyBorder="false" applyAlignment="true" applyProtection="false">
      <alignment horizontal="general" vertical="bottom" textRotation="0" wrapText="true" indent="0" shrinkToFit="false"/>
      <protection locked="true" hidden="false"/>
    </xf>
    <xf numFmtId="164" fontId="19" fillId="0" borderId="0" xfId="25" applyFont="true" applyBorder="false" applyAlignment="true" applyProtection="false">
      <alignment horizontal="right" vertical="bottom" textRotation="0" wrapText="true" indent="0" shrinkToFit="false"/>
      <protection locked="true" hidden="false"/>
    </xf>
    <xf numFmtId="164" fontId="20" fillId="0" borderId="0" xfId="25" applyFont="true" applyBorder="false" applyAlignment="true" applyProtection="false">
      <alignment horizontal="left" vertical="center" textRotation="0" wrapText="false" indent="0" shrinkToFit="false"/>
      <protection locked="true" hidden="false"/>
    </xf>
    <xf numFmtId="170" fontId="20" fillId="0" borderId="0" xfId="25" applyFont="true" applyBorder="false" applyAlignment="true" applyProtection="false">
      <alignment horizontal="right" vertical="center" textRotation="0" wrapText="false" indent="0" shrinkToFit="false"/>
      <protection locked="true" hidden="false"/>
    </xf>
    <xf numFmtId="176" fontId="20" fillId="2" borderId="0" xfId="25" applyFont="true" applyBorder="false" applyAlignment="true" applyProtection="true">
      <alignment horizontal="right" vertical="center" textRotation="0" wrapText="false" indent="0" shrinkToFit="false"/>
      <protection locked="true" hidden="true"/>
    </xf>
    <xf numFmtId="164" fontId="4" fillId="0" borderId="0" xfId="25" applyFont="true" applyBorder="false" applyAlignment="true" applyProtection="false">
      <alignment horizontal="right" vertical="center" textRotation="0" wrapText="false" indent="0" shrinkToFit="false"/>
      <protection locked="true" hidden="false"/>
    </xf>
    <xf numFmtId="176" fontId="24" fillId="0" borderId="0" xfId="25" applyFont="true" applyBorder="false" applyAlignment="true" applyProtection="true">
      <alignment horizontal="right" vertical="center" textRotation="0" wrapText="false" indent="0" shrinkToFit="false"/>
      <protection locked="true" hidden="true"/>
    </xf>
    <xf numFmtId="176" fontId="20" fillId="0" borderId="0" xfId="25" applyFont="true" applyBorder="false" applyAlignment="true" applyProtection="true">
      <alignment horizontal="right" vertical="center" textRotation="0" wrapText="false" indent="0" shrinkToFit="false"/>
      <protection locked="true" hidden="true"/>
    </xf>
    <xf numFmtId="176" fontId="20" fillId="2" borderId="0" xfId="0" applyFont="true" applyBorder="false" applyAlignment="true" applyProtection="true">
      <alignment horizontal="right" vertical="center" textRotation="0" wrapText="false" indent="0" shrinkToFit="false"/>
      <protection locked="true" hidden="true"/>
    </xf>
    <xf numFmtId="164" fontId="0" fillId="0" borderId="0" xfId="0" applyFont="false" applyBorder="false" applyAlignment="true" applyProtection="false">
      <alignment horizontal="right" vertical="center" textRotation="0" wrapText="false" indent="0" shrinkToFit="false"/>
      <protection locked="true" hidden="false"/>
    </xf>
    <xf numFmtId="164" fontId="30" fillId="0" borderId="0" xfId="0" applyFont="true" applyBorder="false" applyAlignment="true" applyProtection="false">
      <alignment horizontal="left" vertical="center" textRotation="0" wrapText="false" indent="0" shrinkToFit="false" readingOrder="1"/>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31" fillId="0" borderId="0" xfId="20" applyFont="true" applyBorder="true" applyAlignment="true" applyProtection="true">
      <alignment horizontal="general" vertical="bottom" textRotation="0" wrapText="false" indent="0" shrinkToFit="false"/>
      <protection locked="true" hidden="false"/>
    </xf>
    <xf numFmtId="164" fontId="15" fillId="2" borderId="0" xfId="25" applyFont="true" applyBorder="false" applyAlignment="true" applyProtection="false">
      <alignment horizontal="left" vertical="center" textRotation="0" wrapText="false" indent="0" shrinkToFit="false"/>
      <protection locked="true" hidden="false"/>
    </xf>
    <xf numFmtId="164" fontId="4" fillId="2" borderId="0" xfId="25" applyFont="true" applyBorder="false" applyAlignment="false" applyProtection="false">
      <alignment horizontal="general" vertical="bottom" textRotation="0" wrapText="false" indent="0" shrinkToFit="false"/>
      <protection locked="true" hidden="false"/>
    </xf>
    <xf numFmtId="164" fontId="37" fillId="2" borderId="0" xfId="0" applyFont="true" applyBorder="false" applyAlignment="true" applyProtection="false">
      <alignment horizontal="general" vertical="center" textRotation="0" wrapText="false" indent="0" shrinkToFit="false"/>
      <protection locked="true" hidden="false"/>
    </xf>
    <xf numFmtId="164" fontId="13" fillId="2" borderId="0" xfId="25" applyFont="true" applyBorder="false" applyAlignment="false" applyProtection="false">
      <alignment horizontal="general" vertical="bottom" textRotation="0" wrapText="false" indent="0" shrinkToFit="false"/>
      <protection locked="true" hidden="false"/>
    </xf>
    <xf numFmtId="164" fontId="30" fillId="2" borderId="0" xfId="0" applyFont="true" applyBorder="false" applyAlignment="true" applyProtection="false">
      <alignment horizontal="general" vertical="center" textRotation="0" wrapText="false" indent="0" shrinkToFit="false"/>
      <protection locked="true" hidden="false"/>
    </xf>
    <xf numFmtId="164" fontId="13" fillId="2" borderId="0" xfId="25" applyFont="true" applyBorder="false" applyAlignment="true" applyProtection="false">
      <alignment horizontal="general" vertical="center" textRotation="0" wrapText="false" indent="0" shrinkToFit="false"/>
      <protection locked="true" hidden="false"/>
    </xf>
    <xf numFmtId="164" fontId="4" fillId="2" borderId="0" xfId="25" applyFont="true" applyBorder="false" applyAlignment="true" applyProtection="false">
      <alignment horizontal="general" vertical="center" textRotation="0" wrapText="false" indent="0" shrinkToFit="false"/>
      <protection locked="true" hidden="false"/>
    </xf>
    <xf numFmtId="164" fontId="31" fillId="0" borderId="0" xfId="20" applyFont="true" applyBorder="true" applyAlignment="true" applyProtection="true">
      <alignment horizontal="general" vertical="center" textRotation="0" wrapText="false" indent="0" shrinkToFit="false"/>
      <protection locked="true" hidden="false"/>
    </xf>
    <xf numFmtId="168" fontId="4" fillId="2" borderId="0" xfId="15" applyFont="tru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71" fontId="25" fillId="2" borderId="0" xfId="0" applyFont="true" applyBorder="false" applyAlignment="true" applyProtection="false">
      <alignment horizontal="right" vertical="center" textRotation="0" wrapText="false" indent="0" shrinkToFit="false"/>
      <protection locked="true" hidden="false"/>
    </xf>
    <xf numFmtId="169" fontId="4" fillId="2" borderId="0" xfId="0" applyFont="true" applyBorder="false" applyAlignment="false" applyProtection="false">
      <alignment horizontal="general" vertical="bottom" textRotation="0" wrapText="false" indent="0" shrinkToFit="false"/>
      <protection locked="true" hidden="false"/>
    </xf>
    <xf numFmtId="170" fontId="20" fillId="2" borderId="2" xfId="0" applyFont="true" applyBorder="true" applyAlignment="true" applyProtection="false">
      <alignment horizontal="right" vertical="center" textRotation="0" wrapText="false" indent="0" shrinkToFit="false"/>
      <protection locked="true" hidden="false"/>
    </xf>
    <xf numFmtId="170" fontId="21" fillId="2" borderId="2" xfId="0" applyFont="true" applyBorder="true" applyAlignment="true" applyProtection="false">
      <alignment horizontal="right" vertical="center" textRotation="0" wrapText="false" indent="0" shrinkToFit="false"/>
      <protection locked="true" hidden="false"/>
    </xf>
    <xf numFmtId="170" fontId="21" fillId="2" borderId="2" xfId="0" applyFont="true" applyBorder="true" applyAlignment="true" applyProtection="false">
      <alignment horizontal="center" vertical="center" textRotation="0" wrapText="false" indent="0" shrinkToFit="false"/>
      <protection locked="true" hidden="false"/>
    </xf>
    <xf numFmtId="170" fontId="20" fillId="2" borderId="0" xfId="0" applyFont="true" applyBorder="false" applyAlignment="true" applyProtection="false">
      <alignment horizontal="right" vertical="bottom" textRotation="0" wrapText="false" indent="0" shrinkToFit="false"/>
      <protection locked="true" hidden="false"/>
    </xf>
    <xf numFmtId="170" fontId="21" fillId="2" borderId="0" xfId="0" applyFont="true" applyBorder="false" applyAlignment="true" applyProtection="false">
      <alignment horizontal="right" vertical="bottom" textRotation="0" wrapText="false" indent="0" shrinkToFit="false"/>
      <protection locked="true" hidden="false"/>
    </xf>
    <xf numFmtId="164" fontId="21" fillId="2" borderId="0" xfId="0" applyFont="true" applyBorder="false" applyAlignment="true" applyProtection="false">
      <alignment horizontal="right" vertical="center" textRotation="0" wrapText="false" indent="0" shrinkToFit="false"/>
      <protection locked="true" hidden="false"/>
    </xf>
    <xf numFmtId="171" fontId="21" fillId="2" borderId="0" xfId="0" applyFont="true" applyBorder="false" applyAlignment="true" applyProtection="false">
      <alignment horizontal="right" vertical="bottom" textRotation="0" wrapText="false" indent="0" shrinkToFit="false"/>
      <protection locked="true" hidden="false"/>
    </xf>
    <xf numFmtId="168" fontId="4" fillId="2" borderId="3" xfId="15" applyFont="true" applyBorder="true" applyAlignment="true" applyProtection="true">
      <alignment horizontal="general" vertical="bottom" textRotation="0" wrapText="false" indent="0" shrinkToFit="false"/>
      <protection locked="true" hidden="false"/>
    </xf>
    <xf numFmtId="171" fontId="25" fillId="2" borderId="0" xfId="0" applyFont="true" applyBorder="false" applyAlignment="true" applyProtection="false">
      <alignment horizontal="left" vertical="center" textRotation="0" wrapText="false" indent="0" shrinkToFit="false"/>
      <protection locked="true" hidden="false"/>
    </xf>
    <xf numFmtId="170" fontId="21" fillId="2" borderId="0" xfId="0" applyFont="true" applyBorder="false" applyAlignment="true" applyProtection="false">
      <alignment horizontal="right" vertical="center" textRotation="0" wrapText="false" indent="0" shrinkToFit="false"/>
      <protection locked="true" hidden="false"/>
    </xf>
    <xf numFmtId="170" fontId="21" fillId="2" borderId="0" xfId="0" applyFont="true" applyBorder="false" applyAlignment="true" applyProtection="false">
      <alignment horizontal="right" vertical="top" textRotation="0" wrapText="false" indent="0" shrinkToFit="false"/>
      <protection locked="true" hidden="false"/>
    </xf>
    <xf numFmtId="171" fontId="21" fillId="2" borderId="0" xfId="0" applyFont="true" applyBorder="false" applyAlignment="true" applyProtection="false">
      <alignment horizontal="right" vertical="top" textRotation="0" wrapText="false" indent="0" shrinkToFit="false"/>
      <protection locked="true" hidden="false"/>
    </xf>
    <xf numFmtId="168" fontId="25" fillId="2" borderId="3" xfId="15" applyFont="true" applyBorder="true" applyAlignment="true" applyProtection="true">
      <alignment horizontal="center" vertical="bottom" textRotation="0" wrapText="false" indent="0" shrinkToFit="false"/>
      <protection locked="true" hidden="false"/>
    </xf>
    <xf numFmtId="170" fontId="20" fillId="2" borderId="2" xfId="0" applyFont="true" applyBorder="true" applyAlignment="true" applyProtection="false">
      <alignment horizontal="right" vertical="top" textRotation="0" wrapText="false" indent="0" shrinkToFit="false"/>
      <protection locked="true" hidden="false"/>
    </xf>
    <xf numFmtId="164" fontId="21" fillId="2" borderId="2" xfId="0" applyFont="true" applyBorder="true" applyAlignment="true" applyProtection="false">
      <alignment horizontal="right" vertical="center" textRotation="0" wrapText="false" indent="0" shrinkToFit="false"/>
      <protection locked="true" hidden="false"/>
    </xf>
    <xf numFmtId="171" fontId="21" fillId="2" borderId="2" xfId="0" applyFont="true" applyBorder="true" applyAlignment="true" applyProtection="false">
      <alignment horizontal="right" vertical="center" textRotation="0" wrapText="false" indent="0" shrinkToFit="false"/>
      <protection locked="true" hidden="false"/>
    </xf>
    <xf numFmtId="168" fontId="25" fillId="2" borderId="3" xfId="15" applyFont="true" applyBorder="true" applyAlignment="true" applyProtection="true">
      <alignment horizontal="center" vertical="top" textRotation="0" wrapText="false" indent="0" shrinkToFit="false"/>
      <protection locked="true" hidden="false"/>
    </xf>
    <xf numFmtId="171" fontId="25" fillId="2" borderId="2" xfId="0" applyFont="true" applyBorder="true" applyAlignment="true" applyProtection="false">
      <alignment horizontal="right" vertical="center" textRotation="0" wrapText="false" indent="0" shrinkToFit="false"/>
      <protection locked="true" hidden="false"/>
    </xf>
    <xf numFmtId="170" fontId="20" fillId="2" borderId="2" xfId="0" applyFont="true" applyBorder="true" applyAlignment="true" applyProtection="false">
      <alignment horizontal="right" vertical="bottom" textRotation="0" wrapText="false" indent="0" shrinkToFit="false"/>
      <protection locked="true" hidden="false"/>
    </xf>
    <xf numFmtId="164" fontId="40" fillId="4" borderId="0" xfId="0" applyFont="true" applyBorder="false" applyAlignment="false" applyProtection="false">
      <alignment horizontal="general" vertical="bottom" textRotation="0" wrapText="false" indent="0" shrinkToFit="false"/>
      <protection locked="true" hidden="false"/>
    </xf>
    <xf numFmtId="171" fontId="41" fillId="4" borderId="0" xfId="0" applyFont="true" applyBorder="false" applyAlignment="true" applyProtection="false">
      <alignment horizontal="right" vertical="center" textRotation="0" wrapText="false" indent="0" shrinkToFit="false"/>
      <protection locked="true" hidden="false"/>
    </xf>
    <xf numFmtId="170" fontId="26" fillId="2" borderId="2" xfId="0" applyFont="true" applyBorder="true" applyAlignment="true" applyProtection="false">
      <alignment horizontal="left" vertical="center" textRotation="0" wrapText="false" indent="0" shrinkToFit="false"/>
      <protection locked="true" hidden="false"/>
    </xf>
    <xf numFmtId="171" fontId="22" fillId="2" borderId="0" xfId="0" applyFont="true" applyBorder="false" applyAlignment="true" applyProtection="false">
      <alignment horizontal="right" vertical="bottom" textRotation="0" wrapText="false" indent="0" shrinkToFit="false"/>
      <protection locked="true" hidden="false"/>
    </xf>
    <xf numFmtId="168" fontId="4" fillId="0" borderId="3" xfId="15" applyFont="true" applyBorder="true" applyAlignment="true" applyProtection="true">
      <alignment horizontal="general" vertical="bottom" textRotation="0" wrapText="false" indent="0" shrinkToFit="false"/>
      <protection locked="true" hidden="false"/>
    </xf>
    <xf numFmtId="171" fontId="25" fillId="2" borderId="4" xfId="0" applyFont="true" applyBorder="true" applyAlignment="true" applyProtection="false">
      <alignment horizontal="right" vertical="center" textRotation="0" wrapText="false" indent="0" shrinkToFit="false"/>
      <protection locked="true" hidden="false"/>
    </xf>
    <xf numFmtId="166" fontId="20" fillId="2" borderId="0" xfId="19" applyFont="true" applyBorder="true" applyAlignment="true" applyProtection="true">
      <alignment horizontal="right" vertical="center" textRotation="0" wrapText="false" indent="0" shrinkToFit="false"/>
      <protection locked="true" hidden="false"/>
    </xf>
    <xf numFmtId="179" fontId="4" fillId="0" borderId="0" xfId="0" applyFont="true" applyBorder="false" applyAlignment="false" applyProtection="false">
      <alignment horizontal="general" vertical="bottom" textRotation="0" wrapText="false" indent="0" shrinkToFit="false"/>
      <protection locked="true" hidden="false"/>
    </xf>
    <xf numFmtId="172" fontId="4" fillId="2" borderId="0" xfId="0" applyFont="true" applyBorder="false" applyAlignment="true" applyProtection="false">
      <alignment horizontal="left" vertical="center" textRotation="0" wrapText="false" indent="0" shrinkToFit="false"/>
      <protection locked="true" hidden="false"/>
    </xf>
    <xf numFmtId="173" fontId="20" fillId="2" borderId="0" xfId="0" applyFont="true" applyBorder="false" applyAlignment="true" applyProtection="false">
      <alignment horizontal="left" vertical="center" textRotation="0" wrapText="false" indent="0" shrinkToFit="false"/>
      <protection locked="true" hidden="false"/>
    </xf>
    <xf numFmtId="170" fontId="20" fillId="2" borderId="0" xfId="0" applyFont="true" applyBorder="false" applyAlignment="true" applyProtection="false">
      <alignment horizontal="right" vertical="center" textRotation="0" wrapText="false" indent="0" shrinkToFit="false"/>
      <protection locked="true" hidden="false"/>
    </xf>
    <xf numFmtId="174" fontId="20" fillId="2" borderId="3" xfId="0" applyFont="true" applyBorder="true" applyAlignment="true" applyProtection="false">
      <alignment horizontal="right" vertical="center" textRotation="0" wrapText="false" indent="0" shrinkToFit="false"/>
      <protection locked="true" hidden="false"/>
    </xf>
    <xf numFmtId="171" fontId="21" fillId="2" borderId="0" xfId="0" applyFont="true" applyBorder="false" applyAlignment="true" applyProtection="false">
      <alignment horizontal="right" vertical="center" textRotation="0" wrapText="false" indent="0" shrinkToFit="false"/>
      <protection locked="true" hidden="false"/>
    </xf>
    <xf numFmtId="164" fontId="4" fillId="3" borderId="0" xfId="0" applyFont="true" applyBorder="false" applyAlignment="true" applyProtection="false">
      <alignment horizontal="right" vertical="center" textRotation="0" wrapText="false" indent="0" shrinkToFit="false"/>
      <protection locked="true" hidden="false"/>
    </xf>
    <xf numFmtId="171" fontId="20" fillId="0" borderId="0" xfId="0" applyFont="true" applyBorder="false" applyAlignment="true" applyProtection="false">
      <alignment horizontal="right" vertical="bottom" textRotation="0" wrapText="false" indent="0" shrinkToFit="false"/>
      <protection locked="true" hidden="false"/>
    </xf>
    <xf numFmtId="178" fontId="20" fillId="2" borderId="0" xfId="19" applyFont="true" applyBorder="true" applyAlignment="true" applyProtection="true">
      <alignment horizontal="right" vertical="center" textRotation="0" wrapText="false" indent="0" shrinkToFit="false"/>
      <protection locked="true" hidden="false"/>
    </xf>
    <xf numFmtId="185" fontId="20" fillId="0" borderId="0" xfId="0" applyFont="true" applyBorder="false" applyAlignment="true" applyProtection="false">
      <alignment horizontal="right" vertical="bottom" textRotation="0" wrapText="false" indent="0" shrinkToFit="false"/>
      <protection locked="true" hidden="false"/>
    </xf>
    <xf numFmtId="164" fontId="19" fillId="3" borderId="0" xfId="0" applyFont="true" applyBorder="false" applyAlignment="true" applyProtection="false">
      <alignment horizontal="right" vertical="center" textRotation="0" wrapText="false" indent="0" shrinkToFit="false"/>
      <protection locked="true" hidden="false"/>
    </xf>
    <xf numFmtId="170" fontId="10" fillId="5" borderId="5" xfId="0" applyFont="true" applyBorder="true" applyAlignment="false" applyProtection="false">
      <alignment horizontal="general" vertical="bottom" textRotation="0" wrapText="false" indent="0" shrinkToFit="false"/>
      <protection locked="true" hidden="false"/>
    </xf>
    <xf numFmtId="171" fontId="10" fillId="5" borderId="5" xfId="0" applyFont="true" applyBorder="true" applyAlignment="false" applyProtection="false">
      <alignment horizontal="general" vertical="bottom" textRotation="0" wrapText="false" indent="0" shrinkToFit="false"/>
      <protection locked="true" hidden="false"/>
    </xf>
    <xf numFmtId="178" fontId="10" fillId="5" borderId="5" xfId="19" applyFont="true" applyBorder="true" applyAlignment="true" applyProtection="true">
      <alignment horizontal="general" vertical="bottom" textRotation="0" wrapText="false" indent="0" shrinkToFit="false"/>
      <protection locked="true" hidden="false"/>
    </xf>
    <xf numFmtId="171" fontId="22" fillId="2" borderId="0" xfId="0" applyFont="true" applyBorder="false" applyAlignment="true" applyProtection="false">
      <alignment horizontal="right" vertical="center" textRotation="0" wrapText="false" indent="0" shrinkToFit="false"/>
      <protection locked="true" hidden="false"/>
    </xf>
    <xf numFmtId="166" fontId="10" fillId="5" borderId="5" xfId="19" applyFont="true" applyBorder="true" applyAlignment="true" applyProtection="true">
      <alignment horizontal="general" vertical="bottom" textRotation="0" wrapText="false" indent="0" shrinkToFit="false"/>
      <protection locked="true" hidden="false"/>
    </xf>
    <xf numFmtId="166" fontId="20" fillId="0" borderId="0" xfId="19" applyFont="true" applyBorder="true" applyAlignment="true" applyProtection="true">
      <alignment horizontal="right"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1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76" fontId="20" fillId="2" borderId="0" xfId="0" applyFont="true" applyBorder="false" applyAlignment="true" applyProtection="false">
      <alignment horizontal="right" vertical="center" textRotation="0" wrapText="false" indent="0" shrinkToFit="false"/>
      <protection locked="true" hidden="false"/>
    </xf>
    <xf numFmtId="173" fontId="20" fillId="2" borderId="0" xfId="19" applyFont="true" applyBorder="true" applyAlignment="true" applyProtection="true">
      <alignment horizontal="right" vertical="center" textRotation="0" wrapText="false" indent="0" shrinkToFit="false"/>
      <protection locked="true" hidden="false"/>
    </xf>
    <xf numFmtId="170" fontId="20" fillId="2" borderId="0" xfId="19" applyFont="true" applyBorder="true" applyAlignment="true" applyProtection="true">
      <alignment horizontal="right" vertical="center" textRotation="0" wrapText="false" indent="0" shrinkToFit="false"/>
      <protection locked="true" hidden="false"/>
    </xf>
    <xf numFmtId="177" fontId="20" fillId="2" borderId="0" xfId="0" applyFont="true" applyBorder="false" applyAlignment="true" applyProtection="false">
      <alignment horizontal="right" vertical="center" textRotation="0" wrapText="false" indent="0" shrinkToFit="false"/>
      <protection locked="true" hidden="false"/>
    </xf>
    <xf numFmtId="176" fontId="20" fillId="2" borderId="0" xfId="19" applyFont="true" applyBorder="true" applyAlignment="true" applyProtection="true">
      <alignment horizontal="right" vertical="center" textRotation="0" wrapText="false" indent="0" shrinkToFit="false"/>
      <protection locked="true" hidden="false"/>
    </xf>
    <xf numFmtId="170" fontId="4" fillId="3" borderId="0" xfId="0" applyFont="true" applyBorder="false" applyAlignment="true" applyProtection="false">
      <alignment horizontal="right" vertical="center" textRotation="0" wrapText="false" indent="0" shrinkToFit="false"/>
      <protection locked="true" hidden="false"/>
    </xf>
    <xf numFmtId="170" fontId="4" fillId="2" borderId="0" xfId="0" applyFont="true" applyBorder="false" applyAlignment="true" applyProtection="false">
      <alignment horizontal="right" vertical="center" textRotation="0" wrapText="false" indent="0" shrinkToFit="false"/>
      <protection locked="true" hidden="false"/>
    </xf>
    <xf numFmtId="171" fontId="4" fillId="2" borderId="0" xfId="0" applyFont="true" applyBorder="false" applyAlignment="true" applyProtection="false">
      <alignment horizontal="right" vertical="center" textRotation="0" wrapText="false" indent="0" shrinkToFit="false"/>
      <protection locked="true" hidden="false"/>
    </xf>
    <xf numFmtId="184" fontId="20" fillId="2" borderId="0" xfId="19" applyFont="true" applyBorder="true" applyAlignment="true" applyProtection="true">
      <alignment horizontal="right" vertical="center" textRotation="0" wrapText="false" indent="0" shrinkToFit="false"/>
      <protection locked="true" hidden="false"/>
    </xf>
    <xf numFmtId="178" fontId="4" fillId="3" borderId="0" xfId="0" applyFont="true" applyBorder="false" applyAlignment="false" applyProtection="false">
      <alignment horizontal="general" vertical="bottom" textRotation="0" wrapText="false" indent="0" shrinkToFit="false"/>
      <protection locked="true" hidden="false"/>
    </xf>
    <xf numFmtId="169" fontId="4" fillId="2" borderId="0" xfId="0" applyFont="true" applyBorder="false" applyAlignment="true" applyProtection="false">
      <alignment horizontal="right" vertical="center" textRotation="0" wrapText="false" indent="0" shrinkToFit="false"/>
      <protection locked="true" hidden="false"/>
    </xf>
    <xf numFmtId="164" fontId="20" fillId="2" borderId="0" xfId="0" applyFont="true" applyBorder="false" applyAlignment="true" applyProtection="false">
      <alignment horizontal="right" vertical="center" textRotation="0" wrapText="false" indent="0" shrinkToFit="false"/>
      <protection locked="true" hidden="false"/>
    </xf>
    <xf numFmtId="184" fontId="20" fillId="2" borderId="0" xfId="0" applyFont="true" applyBorder="false" applyAlignment="true" applyProtection="false">
      <alignment horizontal="right" vertical="center" textRotation="0" wrapText="false" indent="0" shrinkToFit="false"/>
      <protection locked="true" hidden="false"/>
    </xf>
    <xf numFmtId="178" fontId="4" fillId="2" borderId="0" xfId="0" applyFont="true" applyBorder="false" applyAlignment="true" applyProtection="false">
      <alignment horizontal="right" vertical="center" textRotation="0" wrapText="false" indent="0" shrinkToFit="false"/>
      <protection locked="true" hidden="false"/>
    </xf>
    <xf numFmtId="178" fontId="20" fillId="2" borderId="0" xfId="0" applyFont="true" applyBorder="false" applyAlignment="true" applyProtection="false">
      <alignment horizontal="right" vertical="center" textRotation="0" wrapText="false" indent="0" shrinkToFit="false"/>
      <protection locked="true" hidden="false"/>
    </xf>
    <xf numFmtId="178" fontId="4" fillId="3" borderId="0" xfId="0" applyFont="true" applyBorder="false" applyAlignment="true" applyProtection="false">
      <alignment horizontal="right" vertical="center" textRotation="0" wrapText="false" indent="0" shrinkToFit="false"/>
      <protection locked="true" hidden="false"/>
    </xf>
    <xf numFmtId="171" fontId="23" fillId="2" borderId="0" xfId="0" applyFont="true" applyBorder="false" applyAlignment="true" applyProtection="false">
      <alignment horizontal="right" vertical="center" textRotation="0" wrapText="false" indent="0" shrinkToFit="false"/>
      <protection locked="true" hidden="false"/>
    </xf>
    <xf numFmtId="170" fontId="23" fillId="2" borderId="0" xfId="0" applyFont="true" applyBorder="false" applyAlignment="true" applyProtection="false">
      <alignment horizontal="right" vertical="center" textRotation="0" wrapText="false" indent="0" shrinkToFit="false"/>
      <protection locked="true" hidden="false"/>
    </xf>
    <xf numFmtId="170" fontId="24" fillId="2" borderId="0" xfId="0" applyFont="true" applyBorder="false" applyAlignment="true" applyProtection="false">
      <alignment horizontal="right" vertical="center" textRotation="0" wrapText="false" indent="0" shrinkToFit="false"/>
      <protection locked="true" hidden="false"/>
    </xf>
    <xf numFmtId="171" fontId="20" fillId="2" borderId="0" xfId="0" applyFont="true" applyBorder="false" applyAlignment="false" applyProtection="false">
      <alignment horizontal="general" vertical="bottom" textRotation="0" wrapText="false" indent="0" shrinkToFit="false"/>
      <protection locked="true" hidden="false"/>
    </xf>
    <xf numFmtId="178" fontId="20" fillId="2" borderId="0" xfId="0" applyFont="true" applyBorder="false" applyAlignment="false" applyProtection="false">
      <alignment horizontal="general" vertical="bottom" textRotation="0" wrapText="false" indent="0" shrinkToFit="false"/>
      <protection locked="true" hidden="false"/>
    </xf>
    <xf numFmtId="178" fontId="20" fillId="2" borderId="0" xfId="0" applyFont="true" applyBorder="false" applyAlignment="true" applyProtection="false">
      <alignment horizontal="right" vertical="bottom" textRotation="0" wrapText="false" indent="0" shrinkToFit="false"/>
      <protection locked="true" hidden="false"/>
    </xf>
    <xf numFmtId="178" fontId="4" fillId="2" borderId="0" xfId="0" applyFont="true" applyBorder="false" applyAlignment="true" applyProtection="false">
      <alignment horizontal="left" vertical="bottom" textRotation="0" wrapText="false" indent="0" shrinkToFit="false"/>
      <protection locked="true" hidden="false"/>
    </xf>
    <xf numFmtId="170" fontId="23" fillId="2" borderId="0" xfId="0" applyFont="true" applyBorder="false" applyAlignment="false" applyProtection="false">
      <alignment horizontal="general" vertical="bottom" textRotation="0" wrapText="false" indent="0" shrinkToFit="false"/>
      <protection locked="true" hidden="false"/>
    </xf>
    <xf numFmtId="170" fontId="20" fillId="2" borderId="0" xfId="0" applyFont="true" applyBorder="false" applyAlignment="false" applyProtection="false">
      <alignment horizontal="general" vertical="bottom" textRotation="0" wrapText="false" indent="0" shrinkToFit="false"/>
      <protection locked="true" hidden="false"/>
    </xf>
    <xf numFmtId="171" fontId="26" fillId="2" borderId="0" xfId="0" applyFont="true" applyBorder="false" applyAlignment="false" applyProtection="false">
      <alignment horizontal="general" vertical="bottom" textRotation="0" wrapText="false" indent="0" shrinkToFit="false"/>
      <protection locked="true" hidden="false"/>
    </xf>
    <xf numFmtId="179" fontId="20" fillId="2" borderId="0" xfId="0" applyFont="true" applyBorder="false" applyAlignment="false" applyProtection="false">
      <alignment horizontal="general" vertical="bottom" textRotation="0" wrapText="false" indent="0" shrinkToFit="false"/>
      <protection locked="true" hidden="false"/>
    </xf>
    <xf numFmtId="178" fontId="27" fillId="2" borderId="0" xfId="0" applyFont="true" applyBorder="false" applyAlignment="true" applyProtection="false">
      <alignment horizontal="left" vertical="center" textRotation="0" wrapText="false" indent="0" shrinkToFit="false"/>
      <protection locked="true" hidden="false"/>
    </xf>
    <xf numFmtId="168" fontId="27" fillId="2" borderId="0" xfId="15" applyFont="true" applyBorder="true" applyAlignment="true" applyProtection="true">
      <alignment horizontal="general" vertical="bottom" textRotation="0" wrapText="false" indent="0" shrinkToFit="false"/>
      <protection locked="true" hidden="false"/>
    </xf>
    <xf numFmtId="178" fontId="27" fillId="2" borderId="0" xfId="0" applyFont="true" applyBorder="false" applyAlignment="false" applyProtection="false">
      <alignment horizontal="general" vertical="bottom" textRotation="0" wrapText="false" indent="0" shrinkToFit="false"/>
      <protection locked="true" hidden="false"/>
    </xf>
    <xf numFmtId="171" fontId="42" fillId="2" borderId="0" xfId="0" applyFont="true" applyBorder="false" applyAlignment="true" applyProtection="false">
      <alignment horizontal="general" vertical="center" textRotation="0" wrapText="false" indent="0" shrinkToFit="false"/>
      <protection locked="true" hidden="false"/>
    </xf>
    <xf numFmtId="170" fontId="26" fillId="2" borderId="0" xfId="0" applyFont="true" applyBorder="false" applyAlignment="true" applyProtection="false">
      <alignment horizontal="right" vertical="center" textRotation="0" wrapText="false" indent="0" shrinkToFit="false"/>
      <protection locked="true" hidden="false"/>
    </xf>
    <xf numFmtId="178" fontId="20" fillId="2" borderId="0" xfId="19" applyFont="true" applyBorder="true" applyAlignment="true" applyProtection="true">
      <alignment horizontal="right"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78" fontId="4" fillId="0" borderId="0" xfId="0" applyFont="true" applyBorder="false" applyAlignment="false" applyProtection="false">
      <alignment horizontal="general" vertical="bottom" textRotation="0" wrapText="false" indent="0" shrinkToFit="false"/>
      <protection locked="true" hidden="false"/>
    </xf>
    <xf numFmtId="178" fontId="26" fillId="2" borderId="0" xfId="19" applyFont="true" applyBorder="true" applyAlignment="true" applyProtection="true">
      <alignment horizontal="right" vertical="center" textRotation="0" wrapText="false" indent="0" shrinkToFit="false"/>
      <protection locked="true" hidden="false"/>
    </xf>
    <xf numFmtId="184" fontId="26" fillId="2" borderId="0" xfId="19" applyFont="true" applyBorder="true" applyAlignment="true" applyProtection="true">
      <alignment horizontal="right" vertical="center" textRotation="0" wrapText="false" indent="0" shrinkToFit="false"/>
      <protection locked="true" hidden="false"/>
    </xf>
    <xf numFmtId="171" fontId="26" fillId="2" borderId="0" xfId="0" applyFont="true" applyBorder="false" applyAlignment="true" applyProtection="false">
      <alignment horizontal="right" vertical="center" textRotation="0" wrapText="false" indent="0" shrinkToFit="false"/>
      <protection locked="true" hidden="false"/>
    </xf>
    <xf numFmtId="185" fontId="26" fillId="2" borderId="0" xfId="0" applyFont="true" applyBorder="false" applyAlignment="true" applyProtection="false">
      <alignment horizontal="right" vertical="center" textRotation="0" wrapText="false" indent="0" shrinkToFit="false"/>
      <protection locked="true" hidden="false"/>
    </xf>
    <xf numFmtId="178" fontId="4" fillId="2" borderId="0" xfId="0" applyFont="true" applyBorder="false" applyAlignment="false" applyProtection="false">
      <alignment horizontal="general" vertical="bottom" textRotation="0" wrapText="false" indent="0" shrinkToFit="false"/>
      <protection locked="true" hidden="false"/>
    </xf>
    <xf numFmtId="178" fontId="42" fillId="2" borderId="0" xfId="0" applyFont="true" applyBorder="false" applyAlignment="true" applyProtection="false">
      <alignment horizontal="general" vertical="center" textRotation="0" wrapText="false" indent="0" shrinkToFit="false"/>
      <protection locked="true" hidden="false"/>
    </xf>
    <xf numFmtId="164" fontId="43" fillId="2" borderId="0" xfId="20" applyFont="true" applyBorder="true" applyAlignment="true" applyProtection="true">
      <alignment horizontal="general" vertical="center" textRotation="0" wrapText="false" indent="0" shrinkToFit="false"/>
      <protection locked="true" hidden="false"/>
    </xf>
    <xf numFmtId="173" fontId="20" fillId="2" borderId="0" xfId="0" applyFont="true" applyBorder="false" applyAlignment="true" applyProtection="false">
      <alignment horizontal="right" vertical="bottom" textRotation="0" wrapText="false" indent="0" shrinkToFit="false"/>
      <protection locked="true" hidden="false"/>
    </xf>
    <xf numFmtId="178" fontId="4" fillId="2" borderId="0" xfId="19" applyFont="true" applyBorder="true" applyAlignment="true" applyProtection="true">
      <alignment horizontal="general" vertical="bottom" textRotation="0" wrapText="false" indent="0" shrinkToFit="false"/>
      <protection locked="true" hidden="false"/>
    </xf>
    <xf numFmtId="184" fontId="20" fillId="2" borderId="0" xfId="19" applyFont="true" applyBorder="true" applyAlignment="true" applyProtection="true">
      <alignment horizontal="right" vertical="bottom" textRotation="0" wrapText="false" indent="0" shrinkToFit="false"/>
      <protection locked="true" hidden="false"/>
    </xf>
    <xf numFmtId="164" fontId="43" fillId="2" borderId="0" xfId="20" applyFont="true" applyBorder="true" applyAlignment="true" applyProtection="true">
      <alignment horizontal="general" vertical="bottom" textRotation="0" wrapText="false" indent="0" shrinkToFit="false"/>
      <protection locked="true" hidden="false"/>
    </xf>
    <xf numFmtId="186" fontId="20" fillId="2" borderId="0" xfId="19" applyFont="true" applyBorder="true" applyAlignment="true" applyProtection="true">
      <alignment horizontal="right" vertical="bottom" textRotation="0" wrapText="false" indent="0" shrinkToFit="false"/>
      <protection locked="true" hidden="false"/>
    </xf>
    <xf numFmtId="170" fontId="4" fillId="2" borderId="0" xfId="0" applyFont="true" applyBorder="false" applyAlignment="true" applyProtection="false">
      <alignment horizontal="right" vertical="bottom" textRotation="0" wrapText="false" indent="0" shrinkToFit="false"/>
      <protection locked="true" hidden="false"/>
    </xf>
    <xf numFmtId="170" fontId="4" fillId="2" borderId="0" xfId="0" applyFont="true" applyBorder="false" applyAlignment="false" applyProtection="false">
      <alignment horizontal="general" vertical="bottom" textRotation="0" wrapText="fals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 xfId="21"/>
    <cellStyle name="Comma 2" xfId="22"/>
    <cellStyle name="Hyperlink 2" xfId="23"/>
    <cellStyle name="Hyperlink 3" xfId="24"/>
    <cellStyle name="Normal 2" xfId="25"/>
    <cellStyle name="Normal 3" xfId="26"/>
    <cellStyle name="Normal 3 2" xfId="27"/>
    <cellStyle name="Normal 4" xfId="28"/>
    <cellStyle name="Percent 2" xfId="29"/>
    <cellStyle name="*unknown*" xfId="20" builtinId="8"/>
    <cellStyle name="Excel Built-in Heading 1" xfId="30"/>
  </cellStyles>
  <dxfs count="6">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9C0006"/>
          <bgColor rgb="FF000000"/>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4BD97"/>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C00000"/>
      <rgbColor rgb="FF008080"/>
      <rgbColor rgb="FF0000FF"/>
      <rgbColor rgb="FF00B0F0"/>
      <rgbColor rgb="FFCCFFFF"/>
      <rgbColor rgb="FFCCFFCC"/>
      <rgbColor rgb="FFFFFF99"/>
      <rgbColor rgb="FF95B3D7"/>
      <rgbColor rgb="FFFF99CC"/>
      <rgbColor rgb="FFB3A2C7"/>
      <rgbColor rgb="FFFFC7CE"/>
      <rgbColor rgb="FF3366FF"/>
      <rgbColor rgb="FF33CCCC"/>
      <rgbColor rgb="FF92D050"/>
      <rgbColor rgb="FFFFC000"/>
      <rgbColor rgb="FFFF9900"/>
      <rgbColor rgb="FFFF6600"/>
      <rgbColor rgb="FF4F81BD"/>
      <rgbColor rgb="FF9BBB59"/>
      <rgbColor rgb="FF003366"/>
      <rgbColor rgb="FF339966"/>
      <rgbColor rgb="E9000000"/>
      <rgbColor rgb="FF4A452A"/>
      <rgbColor rgb="FF993300"/>
      <rgbColor rgb="FF993366"/>
      <rgbColor rgb="FF1F497D"/>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externalLink" Target="externalLinks/externalLink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GB" sz="1100" strike="noStrike" u="none">
                <a:solidFill>
                  <a:srgbClr val="000000"/>
                </a:solidFill>
                <a:uFillTx/>
                <a:latin typeface="Arial"/>
                <a:ea typeface="Arial"/>
              </a:rPr>
              <a:t>Average</a:t>
            </a:r>
            <a:r>
              <a:rPr b="1" lang="en-GB" sz="1100" strike="noStrike" u="none">
                <a:solidFill>
                  <a:srgbClr val="000000"/>
                </a:solidFill>
                <a:uFillTx/>
                <a:latin typeface="Arial"/>
                <a:ea typeface="Arial"/>
              </a:rPr>
              <a:t> </a:t>
            </a:r>
            <a:r>
              <a:rPr b="1" lang="en-GB" sz="1100" strike="noStrike" u="none">
                <a:solidFill>
                  <a:srgbClr val="000000"/>
                </a:solidFill>
                <a:uFillTx/>
                <a:latin typeface="Arial"/>
                <a:ea typeface="Arial"/>
              </a:rPr>
              <a:t>Retail Prices of Petroleum Products </a:t>
            </a:r>
          </a:p>
          <a:p>
            <a:pPr>
              <a:defRPr b="0" sz="1300" strike="noStrike" u="none">
                <a:uFillTx/>
                <a:latin typeface="Arial"/>
              </a:defRPr>
            </a:pPr>
          </a:p>
        </c:rich>
      </c:tx>
      <c:layout>
        <c:manualLayout>
          <c:xMode val="edge"/>
          <c:yMode val="edge"/>
          <c:x val="0.237685092324937"/>
          <c:y val="0.0128017556693489"/>
        </c:manualLayout>
      </c:layout>
      <c:overlay val="0"/>
      <c:spPr>
        <a:noFill/>
        <a:ln w="25560">
          <a:noFill/>
        </a:ln>
      </c:spPr>
    </c:title>
    <c:autoTitleDeleted val="0"/>
    <c:plotArea>
      <c:layout>
        <c:manualLayout>
          <c:layoutTarget val="inner"/>
          <c:xMode val="edge"/>
          <c:yMode val="edge"/>
          <c:x val="0.101704914164356"/>
          <c:y val="0.1497195805901"/>
          <c:w val="0.873340805852162"/>
          <c:h val="0.625091441111924"/>
        </c:manualLayout>
      </c:layout>
      <c:lineChart>
        <c:grouping val="standard"/>
        <c:varyColors val="0"/>
        <c:ser>
          <c:idx val="0"/>
          <c:order val="0"/>
          <c:tx>
            <c:strRef>
              <c:f>"Diesel/ULSD"</c:f>
              <c:strCache>
                <c:ptCount val="1"/>
                <c:pt idx="0">
                  <c:v>Diesel/ULSD</c:v>
                </c:pt>
              </c:strCache>
            </c:strRef>
          </c:tx>
          <c:spPr>
            <a:solidFill>
              <a:srgbClr val="404040"/>
            </a:solidFill>
            <a:ln w="25560">
              <a:solidFill>
                <a:srgbClr val="404040"/>
              </a:solidFill>
              <a:round/>
            </a:ln>
          </c:spPr>
          <c:marker>
            <c:symbol val="none"/>
          </c:marker>
          <c:dLbls>
            <c:txPr>
              <a:bodyPr wrap="square"/>
              <a:lstStyle/>
              <a:p>
                <a:pPr>
                  <a:defRPr b="0" sz="1025"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cat>
            <c:numRef>
              <c:f>'4.1.1'!$N$347:$N$456</c:f>
              <c:numCache>
                <c:formatCode>mmm\-yy</c:formatCode>
                <c:ptCount val="110"/>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43556</c:v>
                </c:pt>
                <c:pt idx="28">
                  <c:v>43586</c:v>
                </c:pt>
                <c:pt idx="29">
                  <c:v>43617</c:v>
                </c:pt>
                <c:pt idx="30">
                  <c:v>43647</c:v>
                </c:pt>
                <c:pt idx="31">
                  <c:v>43678</c:v>
                </c:pt>
                <c:pt idx="32">
                  <c:v>43709</c:v>
                </c:pt>
                <c:pt idx="33">
                  <c:v>43739</c:v>
                </c:pt>
                <c:pt idx="34">
                  <c:v>43770</c:v>
                </c:pt>
                <c:pt idx="35">
                  <c:v>43800</c:v>
                </c:pt>
                <c:pt idx="36">
                  <c:v>43831</c:v>
                </c:pt>
                <c:pt idx="37">
                  <c:v>43862</c:v>
                </c:pt>
                <c:pt idx="38">
                  <c:v>43891</c:v>
                </c:pt>
                <c:pt idx="39">
                  <c:v>43922</c:v>
                </c:pt>
                <c:pt idx="40">
                  <c:v>43952</c:v>
                </c:pt>
                <c:pt idx="41">
                  <c:v>43983</c:v>
                </c:pt>
                <c:pt idx="42">
                  <c:v>44013</c:v>
                </c:pt>
                <c:pt idx="43">
                  <c:v>44044</c:v>
                </c:pt>
                <c:pt idx="44">
                  <c:v>44075</c:v>
                </c:pt>
                <c:pt idx="45">
                  <c:v>44105</c:v>
                </c:pt>
                <c:pt idx="46">
                  <c:v>44136</c:v>
                </c:pt>
                <c:pt idx="47">
                  <c:v>44166</c:v>
                </c:pt>
                <c:pt idx="48">
                  <c:v>44197</c:v>
                </c:pt>
                <c:pt idx="49">
                  <c:v>44228</c:v>
                </c:pt>
                <c:pt idx="50">
                  <c:v>44256</c:v>
                </c:pt>
                <c:pt idx="51">
                  <c:v>44287</c:v>
                </c:pt>
                <c:pt idx="52">
                  <c:v>44317</c:v>
                </c:pt>
                <c:pt idx="53">
                  <c:v>44348</c:v>
                </c:pt>
                <c:pt idx="54">
                  <c:v>44378</c:v>
                </c:pt>
                <c:pt idx="55">
                  <c:v>44409</c:v>
                </c:pt>
                <c:pt idx="56">
                  <c:v>44440</c:v>
                </c:pt>
                <c:pt idx="57">
                  <c:v>44470</c:v>
                </c:pt>
                <c:pt idx="58">
                  <c:v>44501</c:v>
                </c:pt>
                <c:pt idx="59">
                  <c:v>44531</c:v>
                </c:pt>
                <c:pt idx="60">
                  <c:v>44562</c:v>
                </c:pt>
                <c:pt idx="61">
                  <c:v>44593</c:v>
                </c:pt>
                <c:pt idx="62">
                  <c:v>44621</c:v>
                </c:pt>
                <c:pt idx="63">
                  <c:v>44652</c:v>
                </c:pt>
                <c:pt idx="64">
                  <c:v>44682</c:v>
                </c:pt>
                <c:pt idx="65">
                  <c:v>44713</c:v>
                </c:pt>
                <c:pt idx="66">
                  <c:v>44743</c:v>
                </c:pt>
                <c:pt idx="67">
                  <c:v>44774</c:v>
                </c:pt>
                <c:pt idx="68">
                  <c:v>44805</c:v>
                </c:pt>
                <c:pt idx="69">
                  <c:v>44835</c:v>
                </c:pt>
                <c:pt idx="70">
                  <c:v>44866</c:v>
                </c:pt>
                <c:pt idx="71">
                  <c:v>44896</c:v>
                </c:pt>
                <c:pt idx="72">
                  <c:v>44927</c:v>
                </c:pt>
                <c:pt idx="73">
                  <c:v>44958</c:v>
                </c:pt>
                <c:pt idx="74">
                  <c:v>44986</c:v>
                </c:pt>
                <c:pt idx="75">
                  <c:v>45017</c:v>
                </c:pt>
                <c:pt idx="76">
                  <c:v>45047</c:v>
                </c:pt>
                <c:pt idx="77">
                  <c:v>45078</c:v>
                </c:pt>
                <c:pt idx="78">
                  <c:v>45108</c:v>
                </c:pt>
                <c:pt idx="79">
                  <c:v>45139</c:v>
                </c:pt>
                <c:pt idx="80">
                  <c:v>45170</c:v>
                </c:pt>
                <c:pt idx="81">
                  <c:v>45200</c:v>
                </c:pt>
                <c:pt idx="82">
                  <c:v>45231</c:v>
                </c:pt>
                <c:pt idx="83">
                  <c:v>45261</c:v>
                </c:pt>
                <c:pt idx="84">
                  <c:v>45292</c:v>
                </c:pt>
                <c:pt idx="85">
                  <c:v>45323</c:v>
                </c:pt>
                <c:pt idx="86">
                  <c:v>45352</c:v>
                </c:pt>
                <c:pt idx="87">
                  <c:v>45383</c:v>
                </c:pt>
                <c:pt idx="88">
                  <c:v>45413</c:v>
                </c:pt>
                <c:pt idx="89">
                  <c:v>45444</c:v>
                </c:pt>
                <c:pt idx="90">
                  <c:v>45474</c:v>
                </c:pt>
                <c:pt idx="91">
                  <c:v>45505</c:v>
                </c:pt>
                <c:pt idx="92">
                  <c:v>45536</c:v>
                </c:pt>
                <c:pt idx="93">
                  <c:v>45566</c:v>
                </c:pt>
                <c:pt idx="94">
                  <c:v>45597</c:v>
                </c:pt>
                <c:pt idx="95">
                  <c:v>45627</c:v>
                </c:pt>
                <c:pt idx="96">
                  <c:v>45658</c:v>
                </c:pt>
                <c:pt idx="97">
                  <c:v>45689</c:v>
                </c:pt>
                <c:pt idx="98">
                  <c:v>45717</c:v>
                </c:pt>
                <c:pt idx="99">
                  <c:v>45748</c:v>
                </c:pt>
                <c:pt idx="100">
                  <c:v>45778</c:v>
                </c:pt>
                <c:pt idx="101">
                  <c:v>45809</c:v>
                </c:pt>
                <c:pt idx="102">
                  <c:v>45839</c:v>
                </c:pt>
                <c:pt idx="103">
                  <c:v>45870</c:v>
                </c:pt>
                <c:pt idx="104">
                  <c:v>45901</c:v>
                </c:pt>
                <c:pt idx="105">
                  <c:v>45931</c:v>
                </c:pt>
                <c:pt idx="106">
                  <c:v>45962</c:v>
                </c:pt>
                <c:pt idx="107">
                  <c:v>45992</c:v>
                </c:pt>
                <c:pt idx="108">
                  <c:v>46023</c:v>
                </c:pt>
                <c:pt idx="109">
                  <c:v>46054</c:v>
                </c:pt>
              </c:numCache>
            </c:numRef>
          </c:cat>
          <c:val>
            <c:numRef>
              <c:f>'4.1.1'!$F$347:$F$456</c:f>
              <c:numCache>
                <c:formatCode>0.00</c:formatCode>
                <c:ptCount val="110"/>
                <c:pt idx="0">
                  <c:v>121.991512</c:v>
                </c:pt>
                <c:pt idx="1">
                  <c:v>122.798954</c:v>
                </c:pt>
                <c:pt idx="2">
                  <c:v>122.34</c:v>
                </c:pt>
                <c:pt idx="3">
                  <c:v>119.891968</c:v>
                </c:pt>
                <c:pt idx="4">
                  <c:v>117.398356</c:v>
                </c:pt>
                <c:pt idx="5">
                  <c:v>117.536351</c:v>
                </c:pt>
                <c:pt idx="6">
                  <c:v>115.397125</c:v>
                </c:pt>
                <c:pt idx="7">
                  <c:v>117.346353</c:v>
                </c:pt>
                <c:pt idx="8">
                  <c:v>120.516535</c:v>
                </c:pt>
                <c:pt idx="9">
                  <c:v>120.343684</c:v>
                </c:pt>
                <c:pt idx="10">
                  <c:v>122.716241</c:v>
                </c:pt>
                <c:pt idx="11">
                  <c:v>123.513769</c:v>
                </c:pt>
                <c:pt idx="12">
                  <c:v>124.553892</c:v>
                </c:pt>
                <c:pt idx="13">
                  <c:v>124.662084</c:v>
                </c:pt>
                <c:pt idx="14">
                  <c:v>122.794673</c:v>
                </c:pt>
                <c:pt idx="15">
                  <c:v>124.158995</c:v>
                </c:pt>
                <c:pt idx="16">
                  <c:v>128.290196</c:v>
                </c:pt>
                <c:pt idx="17">
                  <c:v>131.876316</c:v>
                </c:pt>
                <c:pt idx="18">
                  <c:v>131.79739</c:v>
                </c:pt>
                <c:pt idx="19">
                  <c:v>132.490182</c:v>
                </c:pt>
                <c:pt idx="20">
                  <c:v>134.48279</c:v>
                </c:pt>
                <c:pt idx="21">
                  <c:v>136.616613</c:v>
                </c:pt>
                <c:pt idx="22">
                  <c:v>137.058654</c:v>
                </c:pt>
                <c:pt idx="23">
                  <c:v>131.004212</c:v>
                </c:pt>
                <c:pt idx="24">
                  <c:v>129.268337</c:v>
                </c:pt>
                <c:pt idx="25">
                  <c:v>128.933731</c:v>
                </c:pt>
                <c:pt idx="26">
                  <c:v>130.717262</c:v>
                </c:pt>
                <c:pt idx="27">
                  <c:v>132.8527</c:v>
                </c:pt>
                <c:pt idx="28">
                  <c:v>135.328452</c:v>
                </c:pt>
                <c:pt idx="29">
                  <c:v>133.390478</c:v>
                </c:pt>
                <c:pt idx="30">
                  <c:v>131.760719</c:v>
                </c:pt>
                <c:pt idx="31">
                  <c:v>132.576672</c:v>
                </c:pt>
                <c:pt idx="32">
                  <c:v>131.270388</c:v>
                </c:pt>
                <c:pt idx="33">
                  <c:v>131.892802</c:v>
                </c:pt>
                <c:pt idx="34">
                  <c:v>130.283996</c:v>
                </c:pt>
                <c:pt idx="35">
                  <c:v>129.430018</c:v>
                </c:pt>
                <c:pt idx="36">
                  <c:v>132.634347</c:v>
                </c:pt>
                <c:pt idx="37">
                  <c:v>127.789029</c:v>
                </c:pt>
                <c:pt idx="38">
                  <c:v>124.088271</c:v>
                </c:pt>
                <c:pt idx="39">
                  <c:v>115.813428</c:v>
                </c:pt>
                <c:pt idx="40">
                  <c:v>111.615755</c:v>
                </c:pt>
                <c:pt idx="41">
                  <c:v>111.901504</c:v>
                </c:pt>
                <c:pt idx="42">
                  <c:v>116.547634</c:v>
                </c:pt>
                <c:pt idx="43">
                  <c:v>117.674156</c:v>
                </c:pt>
                <c:pt idx="44">
                  <c:v>117.997367</c:v>
                </c:pt>
                <c:pt idx="45">
                  <c:v>117.849854</c:v>
                </c:pt>
                <c:pt idx="46">
                  <c:v>117.049675</c:v>
                </c:pt>
                <c:pt idx="47">
                  <c:v>118.661659</c:v>
                </c:pt>
                <c:pt idx="48">
                  <c:v>121.734642</c:v>
                </c:pt>
                <c:pt idx="49">
                  <c:v>124.912514</c:v>
                </c:pt>
                <c:pt idx="50">
                  <c:v>128.108541</c:v>
                </c:pt>
                <c:pt idx="51">
                  <c:v>129.224259</c:v>
                </c:pt>
                <c:pt idx="52">
                  <c:v>130.931119</c:v>
                </c:pt>
                <c:pt idx="53">
                  <c:v>132.9087992</c:v>
                </c:pt>
                <c:pt idx="54">
                  <c:v>135.365912064</c:v>
                </c:pt>
                <c:pt idx="55">
                  <c:v>136.923156</c:v>
                </c:pt>
                <c:pt idx="56">
                  <c:v>136.843815</c:v>
                </c:pt>
                <c:pt idx="57">
                  <c:v>143.2812</c:v>
                </c:pt>
                <c:pt idx="58">
                  <c:v>149.814849</c:v>
                </c:pt>
                <c:pt idx="59">
                  <c:v>149.195282</c:v>
                </c:pt>
                <c:pt idx="60">
                  <c:v>148.7429</c:v>
                </c:pt>
                <c:pt idx="61">
                  <c:v>151.076496</c:v>
                </c:pt>
                <c:pt idx="62">
                  <c:v>171.390692</c:v>
                </c:pt>
                <c:pt idx="63">
                  <c:v>175.723147</c:v>
                </c:pt>
                <c:pt idx="64">
                  <c:v>179.582463</c:v>
                </c:pt>
                <c:pt idx="65">
                  <c:v>190.150174</c:v>
                </c:pt>
                <c:pt idx="66">
                  <c:v>197.377686</c:v>
                </c:pt>
                <c:pt idx="67">
                  <c:v>184.950631</c:v>
                </c:pt>
                <c:pt idx="68">
                  <c:v>182.219234</c:v>
                </c:pt>
                <c:pt idx="69">
                  <c:v>182.560833</c:v>
                </c:pt>
                <c:pt idx="70">
                  <c:v>188.715119</c:v>
                </c:pt>
                <c:pt idx="71">
                  <c:v>179.408205</c:v>
                </c:pt>
                <c:pt idx="72">
                  <c:v>171.270937</c:v>
                </c:pt>
                <c:pt idx="73">
                  <c:v>169.497911</c:v>
                </c:pt>
                <c:pt idx="74">
                  <c:v>166.827823</c:v>
                </c:pt>
                <c:pt idx="75">
                  <c:v>162.087653</c:v>
                </c:pt>
                <c:pt idx="76">
                  <c:v>155.289139</c:v>
                </c:pt>
                <c:pt idx="77">
                  <c:v>145.467638</c:v>
                </c:pt>
                <c:pt idx="78">
                  <c:v>144.641991</c:v>
                </c:pt>
                <c:pt idx="79">
                  <c:v>150.456772</c:v>
                </c:pt>
                <c:pt idx="80">
                  <c:v>158.33991</c:v>
                </c:pt>
                <c:pt idx="81">
                  <c:v>162.293011</c:v>
                </c:pt>
                <c:pt idx="82">
                  <c:v>160.216952</c:v>
                </c:pt>
                <c:pt idx="83">
                  <c:v>151.874798</c:v>
                </c:pt>
                <c:pt idx="84">
                  <c:v>147.831895</c:v>
                </c:pt>
                <c:pt idx="85">
                  <c:v>150.452001</c:v>
                </c:pt>
                <c:pt idx="86">
                  <c:v>153.72417</c:v>
                </c:pt>
                <c:pt idx="87">
                  <c:v>157.738751</c:v>
                </c:pt>
                <c:pt idx="88">
                  <c:v>157.256569</c:v>
                </c:pt>
                <c:pt idx="89">
                  <c:v>150.608122</c:v>
                </c:pt>
                <c:pt idx="90">
                  <c:v>150.638885</c:v>
                </c:pt>
                <c:pt idx="91">
                  <c:v>148.344119</c:v>
                </c:pt>
                <c:pt idx="92">
                  <c:v>141.469972</c:v>
                </c:pt>
                <c:pt idx="93">
                  <c:v>138.949218</c:v>
                </c:pt>
                <c:pt idx="94">
                  <c:v>140.363474</c:v>
                </c:pt>
                <c:pt idx="95">
                  <c:v>142.569442</c:v>
                </c:pt>
                <c:pt idx="96">
                  <c:v>143.416042</c:v>
                </c:pt>
                <c:pt idx="97">
                  <c:v>146.503028</c:v>
                </c:pt>
                <c:pt idx="98">
                  <c:v>144.980217</c:v>
                </c:pt>
                <c:pt idx="99">
                  <c:v>141.72596</c:v>
                </c:pt>
                <c:pt idx="100">
                  <c:v>139.070993</c:v>
                </c:pt>
                <c:pt idx="101">
                  <c:v>137.475494</c:v>
                </c:pt>
                <c:pt idx="102">
                  <c:v>140.834502</c:v>
                </c:pt>
                <c:pt idx="103">
                  <c:v>142.130328</c:v>
                </c:pt>
                <c:pt idx="104">
                  <c:v>141.56783</c:v>
                </c:pt>
                <c:pt idx="105">
                  <c:v>143.017768</c:v>
                </c:pt>
                <c:pt idx="106">
                  <c:v>143.938358</c:v>
                </c:pt>
                <c:pt idx="107">
                  <c:v>145.922381</c:v>
                </c:pt>
                <c:pt idx="108">
                  <c:v>142.411282</c:v>
                </c:pt>
                <c:pt idx="109">
                  <c:v>141.220542</c:v>
                </c:pt>
              </c:numCache>
            </c:numRef>
          </c:val>
          <c:smooth val="0"/>
        </c:ser>
        <c:ser>
          <c:idx val="1"/>
          <c:order val="1"/>
          <c:tx>
            <c:strRef>
              <c:f>"Premium Unleaded/ULSP"</c:f>
              <c:strCache>
                <c:ptCount val="1"/>
                <c:pt idx="0">
                  <c:v>Premium Unleaded/ULSP</c:v>
                </c:pt>
              </c:strCache>
            </c:strRef>
          </c:tx>
          <c:spPr>
            <a:solidFill>
              <a:srgbClr val="9bbb59"/>
            </a:solidFill>
            <a:ln w="25560">
              <a:solidFill>
                <a:srgbClr val="9bbb59"/>
              </a:solidFill>
              <a:round/>
            </a:ln>
          </c:spPr>
          <c:marker>
            <c:symbol val="none"/>
          </c:marker>
          <c:dLbls>
            <c:txPr>
              <a:bodyPr wrap="square"/>
              <a:lstStyle/>
              <a:p>
                <a:pPr>
                  <a:defRPr b="0" sz="1025"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cat>
            <c:numRef>
              <c:f>'4.1.1'!$N$347:$N$456</c:f>
              <c:numCache>
                <c:formatCode>mmm\-yy</c:formatCode>
                <c:ptCount val="110"/>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43556</c:v>
                </c:pt>
                <c:pt idx="28">
                  <c:v>43586</c:v>
                </c:pt>
                <c:pt idx="29">
                  <c:v>43617</c:v>
                </c:pt>
                <c:pt idx="30">
                  <c:v>43647</c:v>
                </c:pt>
                <c:pt idx="31">
                  <c:v>43678</c:v>
                </c:pt>
                <c:pt idx="32">
                  <c:v>43709</c:v>
                </c:pt>
                <c:pt idx="33">
                  <c:v>43739</c:v>
                </c:pt>
                <c:pt idx="34">
                  <c:v>43770</c:v>
                </c:pt>
                <c:pt idx="35">
                  <c:v>43800</c:v>
                </c:pt>
                <c:pt idx="36">
                  <c:v>43831</c:v>
                </c:pt>
                <c:pt idx="37">
                  <c:v>43862</c:v>
                </c:pt>
                <c:pt idx="38">
                  <c:v>43891</c:v>
                </c:pt>
                <c:pt idx="39">
                  <c:v>43922</c:v>
                </c:pt>
                <c:pt idx="40">
                  <c:v>43952</c:v>
                </c:pt>
                <c:pt idx="41">
                  <c:v>43983</c:v>
                </c:pt>
                <c:pt idx="42">
                  <c:v>44013</c:v>
                </c:pt>
                <c:pt idx="43">
                  <c:v>44044</c:v>
                </c:pt>
                <c:pt idx="44">
                  <c:v>44075</c:v>
                </c:pt>
                <c:pt idx="45">
                  <c:v>44105</c:v>
                </c:pt>
                <c:pt idx="46">
                  <c:v>44136</c:v>
                </c:pt>
                <c:pt idx="47">
                  <c:v>44166</c:v>
                </c:pt>
                <c:pt idx="48">
                  <c:v>44197</c:v>
                </c:pt>
                <c:pt idx="49">
                  <c:v>44228</c:v>
                </c:pt>
                <c:pt idx="50">
                  <c:v>44256</c:v>
                </c:pt>
                <c:pt idx="51">
                  <c:v>44287</c:v>
                </c:pt>
                <c:pt idx="52">
                  <c:v>44317</c:v>
                </c:pt>
                <c:pt idx="53">
                  <c:v>44348</c:v>
                </c:pt>
                <c:pt idx="54">
                  <c:v>44378</c:v>
                </c:pt>
                <c:pt idx="55">
                  <c:v>44409</c:v>
                </c:pt>
                <c:pt idx="56">
                  <c:v>44440</c:v>
                </c:pt>
                <c:pt idx="57">
                  <c:v>44470</c:v>
                </c:pt>
                <c:pt idx="58">
                  <c:v>44501</c:v>
                </c:pt>
                <c:pt idx="59">
                  <c:v>44531</c:v>
                </c:pt>
                <c:pt idx="60">
                  <c:v>44562</c:v>
                </c:pt>
                <c:pt idx="61">
                  <c:v>44593</c:v>
                </c:pt>
                <c:pt idx="62">
                  <c:v>44621</c:v>
                </c:pt>
                <c:pt idx="63">
                  <c:v>44652</c:v>
                </c:pt>
                <c:pt idx="64">
                  <c:v>44682</c:v>
                </c:pt>
                <c:pt idx="65">
                  <c:v>44713</c:v>
                </c:pt>
                <c:pt idx="66">
                  <c:v>44743</c:v>
                </c:pt>
                <c:pt idx="67">
                  <c:v>44774</c:v>
                </c:pt>
                <c:pt idx="68">
                  <c:v>44805</c:v>
                </c:pt>
                <c:pt idx="69">
                  <c:v>44835</c:v>
                </c:pt>
                <c:pt idx="70">
                  <c:v>44866</c:v>
                </c:pt>
                <c:pt idx="71">
                  <c:v>44896</c:v>
                </c:pt>
                <c:pt idx="72">
                  <c:v>44927</c:v>
                </c:pt>
                <c:pt idx="73">
                  <c:v>44958</c:v>
                </c:pt>
                <c:pt idx="74">
                  <c:v>44986</c:v>
                </c:pt>
                <c:pt idx="75">
                  <c:v>45017</c:v>
                </c:pt>
                <c:pt idx="76">
                  <c:v>45047</c:v>
                </c:pt>
                <c:pt idx="77">
                  <c:v>45078</c:v>
                </c:pt>
                <c:pt idx="78">
                  <c:v>45108</c:v>
                </c:pt>
                <c:pt idx="79">
                  <c:v>45139</c:v>
                </c:pt>
                <c:pt idx="80">
                  <c:v>45170</c:v>
                </c:pt>
                <c:pt idx="81">
                  <c:v>45200</c:v>
                </c:pt>
                <c:pt idx="82">
                  <c:v>45231</c:v>
                </c:pt>
                <c:pt idx="83">
                  <c:v>45261</c:v>
                </c:pt>
                <c:pt idx="84">
                  <c:v>45292</c:v>
                </c:pt>
                <c:pt idx="85">
                  <c:v>45323</c:v>
                </c:pt>
                <c:pt idx="86">
                  <c:v>45352</c:v>
                </c:pt>
                <c:pt idx="87">
                  <c:v>45383</c:v>
                </c:pt>
                <c:pt idx="88">
                  <c:v>45413</c:v>
                </c:pt>
                <c:pt idx="89">
                  <c:v>45444</c:v>
                </c:pt>
                <c:pt idx="90">
                  <c:v>45474</c:v>
                </c:pt>
                <c:pt idx="91">
                  <c:v>45505</c:v>
                </c:pt>
                <c:pt idx="92">
                  <c:v>45536</c:v>
                </c:pt>
                <c:pt idx="93">
                  <c:v>45566</c:v>
                </c:pt>
                <c:pt idx="94">
                  <c:v>45597</c:v>
                </c:pt>
                <c:pt idx="95">
                  <c:v>45627</c:v>
                </c:pt>
                <c:pt idx="96">
                  <c:v>45658</c:v>
                </c:pt>
                <c:pt idx="97">
                  <c:v>45689</c:v>
                </c:pt>
                <c:pt idx="98">
                  <c:v>45717</c:v>
                </c:pt>
                <c:pt idx="99">
                  <c:v>45748</c:v>
                </c:pt>
                <c:pt idx="100">
                  <c:v>45778</c:v>
                </c:pt>
                <c:pt idx="101">
                  <c:v>45809</c:v>
                </c:pt>
                <c:pt idx="102">
                  <c:v>45839</c:v>
                </c:pt>
                <c:pt idx="103">
                  <c:v>45870</c:v>
                </c:pt>
                <c:pt idx="104">
                  <c:v>45901</c:v>
                </c:pt>
                <c:pt idx="105">
                  <c:v>45931</c:v>
                </c:pt>
                <c:pt idx="106">
                  <c:v>45962</c:v>
                </c:pt>
                <c:pt idx="107">
                  <c:v>45992</c:v>
                </c:pt>
                <c:pt idx="108">
                  <c:v>46023</c:v>
                </c:pt>
                <c:pt idx="109">
                  <c:v>46054</c:v>
                </c:pt>
              </c:numCache>
            </c:numRef>
          </c:cat>
          <c:val>
            <c:numRef>
              <c:f>'4.1.1'!$E$347:$E$456</c:f>
              <c:numCache>
                <c:formatCode>0.00</c:formatCode>
                <c:ptCount val="110"/>
                <c:pt idx="0">
                  <c:v>118.694981980431</c:v>
                </c:pt>
                <c:pt idx="1">
                  <c:v>119.862493654679</c:v>
                </c:pt>
                <c:pt idx="2">
                  <c:v>119.39</c:v>
                </c:pt>
                <c:pt idx="3">
                  <c:v>117.301619295579</c:v>
                </c:pt>
                <c:pt idx="4">
                  <c:v>115.521196413678</c:v>
                </c:pt>
                <c:pt idx="5">
                  <c:v>115.548423451797</c:v>
                </c:pt>
                <c:pt idx="6">
                  <c:v>113.904538918027</c:v>
                </c:pt>
                <c:pt idx="7">
                  <c:v>115.64066330085</c:v>
                </c:pt>
                <c:pt idx="8">
                  <c:v>118.933812605153</c:v>
                </c:pt>
                <c:pt idx="9">
                  <c:v>117.150042635907</c:v>
                </c:pt>
                <c:pt idx="10">
                  <c:v>119.124860651794</c:v>
                </c:pt>
                <c:pt idx="11">
                  <c:v>119.993958481641</c:v>
                </c:pt>
                <c:pt idx="12">
                  <c:v>121.161150175854</c:v>
                </c:pt>
                <c:pt idx="13">
                  <c:v>121.441740878315</c:v>
                </c:pt>
                <c:pt idx="14">
                  <c:v>119.10934065825</c:v>
                </c:pt>
                <c:pt idx="15">
                  <c:v>120.574023209783</c:v>
                </c:pt>
                <c:pt idx="16">
                  <c:v>124.669525962045</c:v>
                </c:pt>
                <c:pt idx="17">
                  <c:v>127.944978939909</c:v>
                </c:pt>
                <c:pt idx="18">
                  <c:v>127.617834946552</c:v>
                </c:pt>
                <c:pt idx="19">
                  <c:v>128.616075564462</c:v>
                </c:pt>
                <c:pt idx="20">
                  <c:v>130.751244391759</c:v>
                </c:pt>
                <c:pt idx="21">
                  <c:v>130.881560367331</c:v>
                </c:pt>
                <c:pt idx="22">
                  <c:v>128.611092689589</c:v>
                </c:pt>
                <c:pt idx="23">
                  <c:v>120.973086608496</c:v>
                </c:pt>
                <c:pt idx="24">
                  <c:v>119.456544016876</c:v>
                </c:pt>
                <c:pt idx="25">
                  <c:v>118.854976287141</c:v>
                </c:pt>
                <c:pt idx="26">
                  <c:v>120.411893804137</c:v>
                </c:pt>
                <c:pt idx="27">
                  <c:v>124.095546017391</c:v>
                </c:pt>
                <c:pt idx="28">
                  <c:v>128.069368051553</c:v>
                </c:pt>
                <c:pt idx="29">
                  <c:v>127.630255464309</c:v>
                </c:pt>
                <c:pt idx="30">
                  <c:v>127.384441239488</c:v>
                </c:pt>
                <c:pt idx="31">
                  <c:v>128.509652508507</c:v>
                </c:pt>
                <c:pt idx="32">
                  <c:v>126.994543063142</c:v>
                </c:pt>
                <c:pt idx="33">
                  <c:v>127.068624380074</c:v>
                </c:pt>
                <c:pt idx="34">
                  <c:v>125.645311061702</c:v>
                </c:pt>
                <c:pt idx="35">
                  <c:v>124.414826055627</c:v>
                </c:pt>
                <c:pt idx="36">
                  <c:v>127.140534997831</c:v>
                </c:pt>
                <c:pt idx="37">
                  <c:v>123.5770719586</c:v>
                </c:pt>
                <c:pt idx="38">
                  <c:v>120.23922409101</c:v>
                </c:pt>
                <c:pt idx="39">
                  <c:v>108.9702489401</c:v>
                </c:pt>
                <c:pt idx="40">
                  <c:v>104.779559784489</c:v>
                </c:pt>
                <c:pt idx="41">
                  <c:v>105.834731232342</c:v>
                </c:pt>
                <c:pt idx="42">
                  <c:v>111.147340005531</c:v>
                </c:pt>
                <c:pt idx="43">
                  <c:v>112.765317806485</c:v>
                </c:pt>
                <c:pt idx="44">
                  <c:v>113.211914765948</c:v>
                </c:pt>
                <c:pt idx="45">
                  <c:v>113.154441743302</c:v>
                </c:pt>
                <c:pt idx="46">
                  <c:v>112.506387205318</c:v>
                </c:pt>
                <c:pt idx="47">
                  <c:v>114.040740956044</c:v>
                </c:pt>
                <c:pt idx="48">
                  <c:v>117.251800974627</c:v>
                </c:pt>
                <c:pt idx="49">
                  <c:v>120.687626542618</c:v>
                </c:pt>
                <c:pt idx="50">
                  <c:v>124.042627098907</c:v>
                </c:pt>
                <c:pt idx="51">
                  <c:v>125.472934167432</c:v>
                </c:pt>
                <c:pt idx="52">
                  <c:v>127.307223713343</c:v>
                </c:pt>
                <c:pt idx="53">
                  <c:v>129.318973927591</c:v>
                </c:pt>
                <c:pt idx="54">
                  <c:v>132.743216429512</c:v>
                </c:pt>
                <c:pt idx="55">
                  <c:v>134.524504996314</c:v>
                </c:pt>
                <c:pt idx="56">
                  <c:v>134.587796629751</c:v>
                </c:pt>
                <c:pt idx="57">
                  <c:v>137.657835398589</c:v>
                </c:pt>
                <c:pt idx="58">
                  <c:v>145.94636215755</c:v>
                </c:pt>
                <c:pt idx="59">
                  <c:v>145.694044961267</c:v>
                </c:pt>
                <c:pt idx="60">
                  <c:v>144.9245</c:v>
                </c:pt>
                <c:pt idx="61">
                  <c:v>147.004610553948</c:v>
                </c:pt>
                <c:pt idx="62">
                  <c:v>161.857640837614</c:v>
                </c:pt>
                <c:pt idx="63">
                  <c:v>161.670493392893</c:v>
                </c:pt>
                <c:pt idx="64">
                  <c:v>165.166036904929</c:v>
                </c:pt>
                <c:pt idx="65">
                  <c:v>183.095834189997</c:v>
                </c:pt>
                <c:pt idx="66">
                  <c:v>188.790773019883</c:v>
                </c:pt>
                <c:pt idx="67">
                  <c:v>173.869342842531</c:v>
                </c:pt>
                <c:pt idx="68">
                  <c:v>167.376304553005</c:v>
                </c:pt>
                <c:pt idx="69">
                  <c:v>163.121081521925</c:v>
                </c:pt>
                <c:pt idx="70">
                  <c:v>164.386849849609</c:v>
                </c:pt>
                <c:pt idx="71">
                  <c:v>155.523823225523</c:v>
                </c:pt>
                <c:pt idx="72">
                  <c:v>148.450712136216</c:v>
                </c:pt>
                <c:pt idx="73">
                  <c:v>148.01604441246</c:v>
                </c:pt>
                <c:pt idx="74">
                  <c:v>146.868360099454</c:v>
                </c:pt>
                <c:pt idx="75">
                  <c:v>146.12954955463</c:v>
                </c:pt>
                <c:pt idx="76">
                  <c:v>144.577713590442</c:v>
                </c:pt>
                <c:pt idx="77">
                  <c:v>142.705773070664</c:v>
                </c:pt>
                <c:pt idx="78">
                  <c:v>142.804450112162</c:v>
                </c:pt>
                <c:pt idx="79">
                  <c:v>147.910618991083</c:v>
                </c:pt>
                <c:pt idx="80">
                  <c:v>154.241067310774</c:v>
                </c:pt>
                <c:pt idx="81">
                  <c:v>155.352103325455</c:v>
                </c:pt>
                <c:pt idx="82">
                  <c:v>152.22409968628</c:v>
                </c:pt>
                <c:pt idx="83">
                  <c:v>143.675511252291</c:v>
                </c:pt>
                <c:pt idx="84">
                  <c:v>139.36021812596</c:v>
                </c:pt>
                <c:pt idx="85">
                  <c:v>141.469966510495</c:v>
                </c:pt>
                <c:pt idx="86">
                  <c:v>144.659057874289</c:v>
                </c:pt>
                <c:pt idx="87">
                  <c:v>148.847317022355</c:v>
                </c:pt>
                <c:pt idx="88">
                  <c:v>149.312471865053</c:v>
                </c:pt>
                <c:pt idx="89">
                  <c:v>145.092064546581</c:v>
                </c:pt>
                <c:pt idx="90">
                  <c:v>144.789319991864</c:v>
                </c:pt>
                <c:pt idx="91">
                  <c:v>142.893562337489</c:v>
                </c:pt>
                <c:pt idx="92">
                  <c:v>136.410858736109</c:v>
                </c:pt>
                <c:pt idx="93">
                  <c:v>133.90713684663</c:v>
                </c:pt>
                <c:pt idx="94">
                  <c:v>134.712631123204</c:v>
                </c:pt>
                <c:pt idx="95">
                  <c:v>136.277379900402</c:v>
                </c:pt>
                <c:pt idx="96">
                  <c:v>136.75740321166</c:v>
                </c:pt>
                <c:pt idx="97">
                  <c:v>139.347661071847</c:v>
                </c:pt>
                <c:pt idx="98">
                  <c:v>137.631051067861</c:v>
                </c:pt>
                <c:pt idx="99">
                  <c:v>134.812152729934</c:v>
                </c:pt>
                <c:pt idx="100">
                  <c:v>132.313053105394</c:v>
                </c:pt>
                <c:pt idx="101">
                  <c:v>131.467773182486</c:v>
                </c:pt>
                <c:pt idx="102">
                  <c:v>133.944215191936</c:v>
                </c:pt>
                <c:pt idx="103">
                  <c:v>134.452990006941</c:v>
                </c:pt>
                <c:pt idx="104">
                  <c:v>133.838760535216</c:v>
                </c:pt>
                <c:pt idx="105">
                  <c:v>134.770957407429</c:v>
                </c:pt>
                <c:pt idx="106">
                  <c:v>134.98206204732</c:v>
                </c:pt>
                <c:pt idx="107">
                  <c:v>136.548444905869</c:v>
                </c:pt>
                <c:pt idx="108">
                  <c:v>133.194724347056</c:v>
                </c:pt>
                <c:pt idx="109">
                  <c:v>131.384197520799</c:v>
                </c:pt>
              </c:numCache>
            </c:numRef>
          </c:val>
          <c:smooth val="0"/>
        </c:ser>
        <c:hiLowLines>
          <c:spPr>
            <a:ln w="0">
              <a:noFill/>
            </a:ln>
          </c:spPr>
        </c:hiLowLines>
        <c:marker val="0"/>
        <c:axId val="70704044"/>
        <c:axId val="17987471"/>
      </c:lineChart>
      <c:dateAx>
        <c:axId val="70704044"/>
        <c:scaling>
          <c:orientation val="minMax"/>
          <c:max val="46054"/>
          <c:min val="43497"/>
        </c:scaling>
        <c:delete val="0"/>
        <c:axPos val="b"/>
        <c:numFmt formatCode="mmm\-yy" sourceLinked="0"/>
        <c:majorTickMark val="out"/>
        <c:minorTickMark val="none"/>
        <c:tickLblPos val="nextTo"/>
        <c:spPr>
          <a:ln w="3240">
            <a:solidFill>
              <a:srgbClr val="000000"/>
            </a:solidFill>
            <a:round/>
          </a:ln>
        </c:spPr>
        <c:txPr>
          <a:bodyPr rot="-5400000"/>
          <a:lstStyle/>
          <a:p>
            <a:pPr>
              <a:defRPr b="0" sz="1000" strike="noStrike" u="none">
                <a:solidFill>
                  <a:srgbClr val="000000"/>
                </a:solidFill>
                <a:uFillTx/>
                <a:latin typeface="Arial"/>
                <a:ea typeface="Arial"/>
              </a:defRPr>
            </a:pPr>
          </a:p>
        </c:txPr>
        <c:crossAx val="17987471"/>
        <c:crossesAt val="70"/>
        <c:auto val="1"/>
        <c:lblOffset val="100"/>
        <c:baseTimeUnit val="months"/>
        <c:majorUnit val="3"/>
        <c:majorTimeUnit val="months"/>
        <c:minorUnit val="1"/>
        <c:minorTimeUnit val="months"/>
        <c:noMultiLvlLbl val="0"/>
      </c:dateAx>
      <c:valAx>
        <c:axId val="17987471"/>
        <c:scaling>
          <c:orientation val="minMax"/>
          <c:max val="220"/>
          <c:min val="80"/>
        </c:scaling>
        <c:delete val="0"/>
        <c:axPos val="l"/>
        <c:title>
          <c:tx>
            <c:rich>
              <a:bodyPr rot="-5400000"/>
              <a:lstStyle/>
              <a:p>
                <a:pPr>
                  <a:defRPr b="0" sz="1300" strike="noStrike" u="none">
                    <a:uFillTx/>
                    <a:latin typeface="Arial"/>
                  </a:defRPr>
                </a:pPr>
                <a:r>
                  <a:rPr b="1" lang="en-GB" sz="1000" strike="noStrike" u="none">
                    <a:solidFill>
                      <a:srgbClr val="000000"/>
                    </a:solidFill>
                    <a:uFillTx/>
                    <a:latin typeface="Arial"/>
                    <a:ea typeface="Arial"/>
                  </a:rPr>
                  <a:t>Pence per litre</a:t>
                </a:r>
              </a:p>
            </c:rich>
          </c:tx>
          <c:layout>
            <c:manualLayout>
              <c:xMode val="edge"/>
              <c:yMode val="edge"/>
              <c:x val="0.0105008554067607"/>
              <c:y val="0.356376493538161"/>
            </c:manualLayout>
          </c:layout>
          <c:overlay val="0"/>
          <c:spPr>
            <a:noFill/>
            <a:ln w="25560">
              <a:noFill/>
            </a:ln>
          </c:spPr>
        </c:title>
        <c:numFmt formatCode="0" sourceLinked="0"/>
        <c:majorTickMark val="out"/>
        <c:minorTickMark val="none"/>
        <c:tickLblPos val="nextTo"/>
        <c:spPr>
          <a:ln w="3240">
            <a:solidFill>
              <a:srgbClr val="000000">
                <a:alpha val="91000"/>
              </a:srgbClr>
            </a:solidFill>
            <a:round/>
          </a:ln>
        </c:spPr>
        <c:txPr>
          <a:bodyPr/>
          <a:lstStyle/>
          <a:p>
            <a:pPr>
              <a:defRPr b="0" sz="1000" strike="noStrike" u="none">
                <a:solidFill>
                  <a:srgbClr val="000000"/>
                </a:solidFill>
                <a:uFillTx/>
                <a:latin typeface="Arial"/>
                <a:ea typeface="Arial"/>
              </a:defRPr>
            </a:pPr>
          </a:p>
        </c:txPr>
        <c:crossAx val="70704044"/>
        <c:crossesAt val="1242"/>
        <c:crossBetween val="midCat"/>
      </c:valAx>
      <c:spPr>
        <a:noFill/>
        <a:ln w="25560">
          <a:noFill/>
        </a:ln>
      </c:spPr>
    </c:plotArea>
    <c:legend>
      <c:legendPos val="r"/>
      <c:layout>
        <c:manualLayout>
          <c:xMode val="edge"/>
          <c:yMode val="edge"/>
          <c:x val="0.124463482205417"/>
          <c:y val="0.254033706313027"/>
          <c:w val="0.344703770197487"/>
          <c:h val="0.141935707434015"/>
        </c:manualLayout>
      </c:layout>
      <c:overlay val="0"/>
      <c:spPr>
        <a:noFill/>
        <a:ln w="25560">
          <a:noFill/>
        </a:ln>
      </c:spPr>
      <c:txPr>
        <a:bodyPr/>
        <a:lstStyle/>
        <a:p>
          <a:pPr>
            <a:defRPr b="0" sz="800" strike="noStrike" u="none">
              <a:solidFill>
                <a:srgbClr val="000000"/>
              </a:solidFill>
              <a:uFillTx/>
              <a:latin typeface="Arial"/>
              <a:ea typeface="Arial"/>
            </a:defRPr>
          </a:pPr>
        </a:p>
      </c:txPr>
    </c:legend>
    <c:plotVisOnly val="1"/>
    <c:dispBlanksAs val="gap"/>
  </c:chart>
  <c:spPr>
    <a:no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GB" sz="1100" strike="noStrike" u="none">
                <a:solidFill>
                  <a:srgbClr val="000000"/>
                </a:solidFill>
                <a:uFillTx/>
                <a:latin typeface="Arial"/>
                <a:ea typeface="Arial"/>
              </a:rPr>
              <a:t>Annual retail price of motor spirit and diesel</a:t>
            </a:r>
          </a:p>
        </c:rich>
      </c:tx>
      <c:overlay val="0"/>
      <c:spPr>
        <a:noFill/>
        <a:ln w="25560">
          <a:noFill/>
        </a:ln>
      </c:spPr>
    </c:title>
    <c:autoTitleDeleted val="0"/>
    <c:plotArea>
      <c:layout>
        <c:manualLayout>
          <c:layoutTarget val="inner"/>
          <c:xMode val="edge"/>
          <c:yMode val="edge"/>
          <c:x val="0.129232579422147"/>
          <c:y val="0.0985812133072407"/>
          <c:w val="0.843966531572755"/>
          <c:h val="0.732754403131116"/>
        </c:manualLayout>
      </c:layout>
      <c:lineChart>
        <c:grouping val="standard"/>
        <c:varyColors val="0"/>
        <c:ser>
          <c:idx val="0"/>
          <c:order val="0"/>
          <c:tx>
            <c:strRef>
              <c:f>"Super unleaded"</c:f>
              <c:strCache>
                <c:ptCount val="1"/>
                <c:pt idx="0">
                  <c:v>Super unleaded</c:v>
                </c:pt>
              </c:strCache>
            </c:strRef>
          </c:tx>
          <c:spPr>
            <a:solidFill>
              <a:srgbClr val="92d050"/>
            </a:solidFill>
            <a:ln w="25560">
              <a:solidFill>
                <a:srgbClr val="92d050"/>
              </a:solidFill>
              <a:prstDash val="sysDash"/>
              <a:round/>
            </a:ln>
          </c:spPr>
          <c:marker>
            <c:symbol val="none"/>
          </c:marker>
          <c:dLbls>
            <c:txPr>
              <a:bodyPr wrap="square"/>
              <a:lstStyle/>
              <a:p>
                <a:pPr>
                  <a:defRPr b="0" sz="1025"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5560">
                  <a:solidFill>
                    <a:srgbClr val="000000"/>
                  </a:solidFill>
                  <a:prstDash val="sysDash"/>
                </a:ln>
              </c:spPr>
            </c:leaderLines>
            <c:extLst>
              <c:ext xmlns:c15="http://schemas.microsoft.com/office/drawing/2012/chart" uri="{CE6537A1-D6FC-4f65-9D91-7224C49458BB}">
                <c15:showLeaderLines val="1"/>
              </c:ext>
            </c:extLst>
          </c:dLbls>
          <c:cat>
            <c:numRef>
              <c:f>'4.1.2'!$A$37:$A$62</c:f>
              <c:numCache>
                <c:formatCode>General</c:formatCode>
                <c:ptCount val="26"/>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'4.1.2'!$C$37:$C$62</c:f>
              <c:numCache>
                <c:formatCode>#,##0.00\ </c:formatCode>
                <c:ptCount val="26"/>
                <c:pt idx="0">
                  <c:v>87.3158333333333</c:v>
                </c:pt>
                <c:pt idx="1">
                  <c:v>82.7416666666667</c:v>
                </c:pt>
                <c:pt idx="2">
                  <c:v>79.7883333333333</c:v>
                </c:pt>
                <c:pt idx="3">
                  <c:v>81.3641666666667</c:v>
                </c:pt>
                <c:pt idx="4">
                  <c:v>85.75</c:v>
                </c:pt>
                <c:pt idx="5">
                  <c:v>93.4041666666667</c:v>
                </c:pt>
                <c:pt idx="6">
                  <c:v>98.0483333333333</c:v>
                </c:pt>
                <c:pt idx="7">
                  <c:v>100.396666666667</c:v>
                </c:pt>
                <c:pt idx="8">
                  <c:v>113.469166666667</c:v>
                </c:pt>
                <c:pt idx="9">
                  <c:v>105.711627362819</c:v>
                </c:pt>
                <c:pt idx="10">
                  <c:v>123.833530165259</c:v>
                </c:pt>
                <c:pt idx="11">
                  <c:v>140.573946774921</c:v>
                </c:pt>
                <c:pt idx="12">
                  <c:v>142.868817895786</c:v>
                </c:pt>
                <c:pt idx="13">
                  <c:v>141.749011284524</c:v>
                </c:pt>
                <c:pt idx="14">
                  <c:v>135.068735428018</c:v>
                </c:pt>
                <c:pt idx="15">
                  <c:v>118.974262995939</c:v>
                </c:pt>
                <c:pt idx="16">
                  <c:v>117.830083933453</c:v>
                </c:pt>
                <c:pt idx="17">
                  <c:v>126.954015428886</c:v>
                </c:pt>
                <c:pt idx="18">
                  <c:v>135.186198416667</c:v>
                </c:pt>
                <c:pt idx="19">
                  <c:v>136.180888583333</c:v>
                </c:pt>
                <c:pt idx="20">
                  <c:v>127.279022166667</c:v>
                </c:pt>
                <c:pt idx="21">
                  <c:v>144.867080516303</c:v>
                </c:pt>
                <c:pt idx="22">
                  <c:v>176.389563826024</c:v>
                </c:pt>
                <c:pt idx="23">
                  <c:v>160.843428900693</c:v>
                </c:pt>
                <c:pt idx="24">
                  <c:v>154.688377501274</c:v>
                </c:pt>
                <c:pt idx="25">
                  <c:v>149.575379767481</c:v>
                </c:pt>
              </c:numCache>
            </c:numRef>
          </c:val>
          <c:smooth val="0"/>
        </c:ser>
        <c:ser>
          <c:idx val="1"/>
          <c:order val="1"/>
          <c:tx>
            <c:strRef>
              <c:f>"LRP"</c:f>
              <c:strCache>
                <c:ptCount val="1"/>
                <c:pt idx="0">
                  <c:v>LRP</c:v>
                </c:pt>
              </c:strCache>
            </c:strRef>
          </c:tx>
          <c:spPr>
            <a:solidFill>
              <a:srgbClr val="c00000"/>
            </a:solidFill>
            <a:ln w="25560">
              <a:solidFill>
                <a:srgbClr val="c00000"/>
              </a:solidFill>
              <a:round/>
            </a:ln>
          </c:spPr>
          <c:marker>
            <c:symbol val="none"/>
          </c:marker>
          <c:dLbls>
            <c:txPr>
              <a:bodyPr wrap="square"/>
              <a:lstStyle/>
              <a:p>
                <a:pPr>
                  <a:defRPr b="0" sz="1025"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cat>
            <c:numRef>
              <c:f>'4.1.2'!$A$37:$A$62</c:f>
              <c:numCache>
                <c:formatCode>General</c:formatCode>
                <c:ptCount val="26"/>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'4.1.2'!$B$37:$B$62</c:f>
              <c:numCache>
                <c:formatCode>#,##0.00\ </c:formatCode>
                <c:ptCount val="26"/>
                <c:pt idx="0">
                  <c:v>84.8925</c:v>
                </c:pt>
                <c:pt idx="1">
                  <c:v>79.7141666666667</c:v>
                </c:pt>
                <c:pt idx="2">
                  <c:v>77.0341666666667</c:v>
                </c:pt>
                <c:pt idx="3">
                  <c:v>79.9416666666667</c:v>
                </c:pt>
                <c:pt idx="4">
                  <c:v>84.4183333333333</c:v>
                </c:pt>
              </c:numCache>
            </c:numRef>
          </c:val>
          <c:smooth val="0"/>
        </c:ser>
        <c:ser>
          <c:idx val="2"/>
          <c:order val="2"/>
          <c:tx>
            <c:strRef>
              <c:f>"Diesel/ULSD"</c:f>
              <c:strCache>
                <c:ptCount val="1"/>
                <c:pt idx="0">
                  <c:v>Diesel/ULSD</c:v>
                </c:pt>
              </c:strCache>
            </c:strRef>
          </c:tx>
          <c:spPr>
            <a:solidFill>
              <a:srgbClr val="404040"/>
            </a:solidFill>
            <a:ln w="25560">
              <a:solidFill>
                <a:srgbClr val="404040"/>
              </a:solidFill>
              <a:round/>
            </a:ln>
          </c:spPr>
          <c:marker>
            <c:symbol val="none"/>
          </c:marker>
          <c:dLbls>
            <c:txPr>
              <a:bodyPr wrap="square"/>
              <a:lstStyle/>
              <a:p>
                <a:pPr>
                  <a:defRPr b="0" sz="1025"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cat>
            <c:numRef>
              <c:f>'4.1.2'!$A$37:$A$62</c:f>
              <c:numCache>
                <c:formatCode>General</c:formatCode>
                <c:ptCount val="26"/>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'4.1.2'!$E$37:$E$62</c:f>
              <c:numCache>
                <c:formatCode>#,##0.00\ </c:formatCode>
                <c:ptCount val="26"/>
                <c:pt idx="0">
                  <c:v>81.3433333333334</c:v>
                </c:pt>
                <c:pt idx="1">
                  <c:v>77.8358333333333</c:v>
                </c:pt>
                <c:pt idx="2">
                  <c:v>75.4591666666667</c:v>
                </c:pt>
                <c:pt idx="3">
                  <c:v>77.9191666666667</c:v>
                </c:pt>
                <c:pt idx="4">
                  <c:v>81.9125</c:v>
                </c:pt>
                <c:pt idx="5">
                  <c:v>90.86</c:v>
                </c:pt>
                <c:pt idx="6">
                  <c:v>95.2091666666667</c:v>
                </c:pt>
                <c:pt idx="7">
                  <c:v>96.8483333333333</c:v>
                </c:pt>
                <c:pt idx="8">
                  <c:v>117.510833333333</c:v>
                </c:pt>
                <c:pt idx="9">
                  <c:v>103.929927962806</c:v>
                </c:pt>
                <c:pt idx="10">
                  <c:v>119.258627492575</c:v>
                </c:pt>
                <c:pt idx="11">
                  <c:v>138.716127079064</c:v>
                </c:pt>
                <c:pt idx="12">
                  <c:v>141.828259764012</c:v>
                </c:pt>
                <c:pt idx="13">
                  <c:v>140.405189138708</c:v>
                </c:pt>
                <c:pt idx="14">
                  <c:v>133.45799887462</c:v>
                </c:pt>
                <c:pt idx="15">
                  <c:v>114.898455873672</c:v>
                </c:pt>
                <c:pt idx="16">
                  <c:v>110.128630333333</c:v>
                </c:pt>
                <c:pt idx="17">
                  <c:v>120.149237333333</c:v>
                </c:pt>
                <c:pt idx="18">
                  <c:v>129.982166416667</c:v>
                </c:pt>
                <c:pt idx="19">
                  <c:v>131.475462916667</c:v>
                </c:pt>
                <c:pt idx="20">
                  <c:v>119.13522325</c:v>
                </c:pt>
                <c:pt idx="21">
                  <c:v>134.937007355333</c:v>
                </c:pt>
                <c:pt idx="22">
                  <c:v>177.658131666667</c:v>
                </c:pt>
                <c:pt idx="23">
                  <c:v>158.18871125</c:v>
                </c:pt>
                <c:pt idx="24">
                  <c:v>148.328884833333</c:v>
                </c:pt>
                <c:pt idx="25">
                  <c:v>142.548575083333</c:v>
                </c:pt>
              </c:numCache>
            </c:numRef>
          </c:val>
          <c:smooth val="0"/>
        </c:ser>
        <c:ser>
          <c:idx val="3"/>
          <c:order val="3"/>
          <c:tx>
            <c:strRef>
              <c:f>"Premium Unleaded/ULSP"</c:f>
              <c:strCache>
                <c:ptCount val="1"/>
                <c:pt idx="0">
                  <c:v>Premium Unleaded/ULSP</c:v>
                </c:pt>
              </c:strCache>
            </c:strRef>
          </c:tx>
          <c:spPr>
            <a:solidFill>
              <a:srgbClr val="9bbb59"/>
            </a:solidFill>
            <a:ln w="25560">
              <a:solidFill>
                <a:srgbClr val="9bbb59"/>
              </a:solidFill>
              <a:round/>
            </a:ln>
          </c:spPr>
          <c:marker>
            <c:symbol val="none"/>
          </c:marker>
          <c:dLbls>
            <c:txPr>
              <a:bodyPr wrap="square"/>
              <a:lstStyle/>
              <a:p>
                <a:pPr>
                  <a:defRPr b="0" sz="1025"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cat>
            <c:numRef>
              <c:f>'4.1.2'!$A$37:$A$62</c:f>
              <c:numCache>
                <c:formatCode>General</c:formatCode>
                <c:ptCount val="26"/>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'4.1.2'!$D$37:$D$62</c:f>
              <c:numCache>
                <c:formatCode>#,##0.00\ </c:formatCode>
                <c:ptCount val="26"/>
                <c:pt idx="0">
                  <c:v>79.9266666666667</c:v>
                </c:pt>
                <c:pt idx="1">
                  <c:v>75.7166666666667</c:v>
                </c:pt>
                <c:pt idx="2">
                  <c:v>73.2366666666667</c:v>
                </c:pt>
                <c:pt idx="3">
                  <c:v>76.0391666666667</c:v>
                </c:pt>
                <c:pt idx="4">
                  <c:v>80.2241666666667</c:v>
                </c:pt>
                <c:pt idx="5">
                  <c:v>86.745</c:v>
                </c:pt>
                <c:pt idx="6">
                  <c:v>91.3191666666667</c:v>
                </c:pt>
                <c:pt idx="7">
                  <c:v>94.2441666666667</c:v>
                </c:pt>
                <c:pt idx="8">
                  <c:v>107.075833333333</c:v>
                </c:pt>
                <c:pt idx="9">
                  <c:v>99.2895851666667</c:v>
                </c:pt>
                <c:pt idx="10">
                  <c:v>116.902571</c:v>
                </c:pt>
                <c:pt idx="11">
                  <c:v>133.268790177067</c:v>
                </c:pt>
                <c:pt idx="12">
                  <c:v>135.39054723386</c:v>
                </c:pt>
                <c:pt idx="13">
                  <c:v>134.145278</c:v>
                </c:pt>
                <c:pt idx="14">
                  <c:v>127.495852937778</c:v>
                </c:pt>
                <c:pt idx="15">
                  <c:v>111.130760150684</c:v>
                </c:pt>
                <c:pt idx="16">
                  <c:v>108.845640315663</c:v>
                </c:pt>
                <c:pt idx="17">
                  <c:v>117.588882615795</c:v>
                </c:pt>
                <c:pt idx="18">
                  <c:v>125.195971199362</c:v>
                </c:pt>
                <c:pt idx="19">
                  <c:v>124.877998495829</c:v>
                </c:pt>
                <c:pt idx="20">
                  <c:v>113.947292790583</c:v>
                </c:pt>
                <c:pt idx="21">
                  <c:v>131.269578916459</c:v>
                </c:pt>
                <c:pt idx="22">
                  <c:v>164.732274240988</c:v>
                </c:pt>
                <c:pt idx="23">
                  <c:v>147.746333628493</c:v>
                </c:pt>
                <c:pt idx="24">
                  <c:v>141.477665406703</c:v>
                </c:pt>
                <c:pt idx="25">
                  <c:v>135.072210371991</c:v>
                </c:pt>
              </c:numCache>
            </c:numRef>
          </c:val>
          <c:smooth val="0"/>
        </c:ser>
        <c:hiLowLines>
          <c:spPr>
            <a:ln w="0">
              <a:noFill/>
            </a:ln>
          </c:spPr>
        </c:hiLowLines>
        <c:marker val="0"/>
        <c:axId val="39632582"/>
        <c:axId val="22857108"/>
      </c:lineChart>
      <c:dateAx>
        <c:axId val="39632582"/>
        <c:scaling>
          <c:orientation val="minMax"/>
        </c:scaling>
        <c:delete val="0"/>
        <c:axPos val="b"/>
        <c:numFmt formatCode="General" sourceLinked="0"/>
        <c:majorTickMark val="out"/>
        <c:minorTickMark val="none"/>
        <c:tickLblPos val="nextTo"/>
        <c:spPr>
          <a:ln w="3240">
            <a:solidFill>
              <a:srgbClr val="000000"/>
            </a:solidFill>
            <a:round/>
          </a:ln>
        </c:spPr>
        <c:txPr>
          <a:bodyPr rot="-5400000"/>
          <a:lstStyle/>
          <a:p>
            <a:pPr>
              <a:defRPr b="0" sz="1000" strike="noStrike" u="none">
                <a:solidFill>
                  <a:srgbClr val="000000"/>
                </a:solidFill>
                <a:uFillTx/>
                <a:latin typeface="Arial"/>
                <a:ea typeface="Arial"/>
              </a:defRPr>
            </a:pPr>
          </a:p>
        </c:txPr>
        <c:crossAx val="22857108"/>
        <c:crosses val="autoZero"/>
        <c:auto val="1"/>
        <c:lblOffset val="100"/>
        <c:baseTimeUnit val="days"/>
        <c:majorUnit val="1"/>
        <c:majorTimeUnit val="days"/>
        <c:minorUnit val="1"/>
        <c:minorTimeUnit val="days"/>
        <c:noMultiLvlLbl val="0"/>
      </c:dateAx>
      <c:valAx>
        <c:axId val="22857108"/>
        <c:scaling>
          <c:orientation val="minMax"/>
          <c:max val="180"/>
          <c:min val="40"/>
        </c:scaling>
        <c:delete val="0"/>
        <c:axPos val="l"/>
        <c:title>
          <c:tx>
            <c:rich>
              <a:bodyPr rot="-5400000"/>
              <a:lstStyle/>
              <a:p>
                <a:pPr>
                  <a:defRPr b="0" sz="1300" strike="noStrike" u="none">
                    <a:uFillTx/>
                    <a:latin typeface="Arial"/>
                  </a:defRPr>
                </a:pPr>
                <a:r>
                  <a:rPr b="1" lang="en-GB" sz="1000" strike="noStrike" u="none">
                    <a:solidFill>
                      <a:srgbClr val="000000"/>
                    </a:solidFill>
                    <a:uFillTx/>
                    <a:latin typeface="Arial"/>
                    <a:ea typeface="Arial"/>
                  </a:rPr>
                  <a:t>Pence per litre</a:t>
                </a:r>
              </a:p>
            </c:rich>
          </c:tx>
          <c:layout>
            <c:manualLayout>
              <c:xMode val="edge"/>
              <c:yMode val="edge"/>
              <c:x val="0.0109164596679304"/>
              <c:y val="0.351761252446184"/>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b="0" sz="1000" strike="noStrike" u="none">
                <a:solidFill>
                  <a:srgbClr val="000000"/>
                </a:solidFill>
                <a:uFillTx/>
                <a:latin typeface="Arial"/>
                <a:ea typeface="Arial"/>
              </a:defRPr>
            </a:pPr>
          </a:p>
        </c:txPr>
        <c:crossAx val="39632582"/>
        <c:crosses val="autoZero"/>
        <c:crossBetween val="midCat"/>
        <c:majorUnit val="10"/>
      </c:valAx>
      <c:spPr>
        <a:noFill/>
        <a:ln w="25560">
          <a:noFill/>
        </a:ln>
      </c:spPr>
    </c:plotArea>
    <c:legend>
      <c:legendPos val="r"/>
      <c:layout>
        <c:manualLayout>
          <c:xMode val="edge"/>
          <c:yMode val="edge"/>
          <c:x val="0.547675411195473"/>
          <c:y val="0.510661354947892"/>
          <c:w val="0.388489549806049"/>
          <c:h val="0.278318031698877"/>
        </c:manualLayout>
      </c:layout>
      <c:overlay val="0"/>
      <c:spPr>
        <a:noFill/>
        <a:ln w="25560">
          <a:noFill/>
        </a:ln>
      </c:spPr>
      <c:txPr>
        <a:bodyPr/>
        <a:lstStyle/>
        <a:p>
          <a:pPr>
            <a:defRPr b="0" sz="800" strike="noStrike" u="none">
              <a:solidFill>
                <a:srgbClr val="000000"/>
              </a:solidFill>
              <a:uFillTx/>
              <a:latin typeface="Arial"/>
              <a:ea typeface="Arial"/>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GB" sz="1100" strike="noStrike" u="none">
                <a:solidFill>
                  <a:srgbClr val="000000"/>
                </a:solidFill>
                <a:uFillTx/>
                <a:latin typeface="Arial"/>
                <a:ea typeface="Arial"/>
              </a:rPr>
              <a:t>Price of premium unleaded petrol and diesel excluding taxes</a:t>
            </a:r>
          </a:p>
        </c:rich>
      </c:tx>
      <c:layout>
        <c:manualLayout>
          <c:xMode val="edge"/>
          <c:yMode val="edge"/>
          <c:x val="0.189707859674856"/>
          <c:y val="0.00414533040721775"/>
        </c:manualLayout>
      </c:layout>
      <c:overlay val="0"/>
      <c:spPr>
        <a:noFill/>
        <a:ln w="25560">
          <a:noFill/>
        </a:ln>
      </c:spPr>
    </c:title>
    <c:autoTitleDeleted val="0"/>
    <c:plotArea>
      <c:layout>
        <c:manualLayout>
          <c:layoutTarget val="inner"/>
          <c:xMode val="edge"/>
          <c:yMode val="edge"/>
          <c:x val="0.0878865664344212"/>
          <c:y val="0.103145574250183"/>
          <c:w val="0.899095465102066"/>
          <c:h val="0.685320653499147"/>
        </c:manualLayout>
      </c:layout>
      <c:lineChart>
        <c:grouping val="standard"/>
        <c:varyColors val="0"/>
        <c:ser>
          <c:idx val="0"/>
          <c:order val="0"/>
          <c:tx>
            <c:strRef>
              <c:f>"Diesel/USLD"</c:f>
              <c:strCache>
                <c:ptCount val="1"/>
                <c:pt idx="0">
                  <c:v>Diesel/USLD</c:v>
                </c:pt>
              </c:strCache>
            </c:strRef>
          </c:tx>
          <c:spPr>
            <a:solidFill>
              <a:srgbClr val="404040"/>
            </a:solidFill>
            <a:ln w="25560">
              <a:solidFill>
                <a:srgbClr val="404040"/>
              </a:solidFill>
              <a:round/>
            </a:ln>
          </c:spPr>
          <c:marker>
            <c:symbol val="none"/>
          </c:marker>
          <c:dLbls>
            <c:txPr>
              <a:bodyPr wrap="square"/>
              <a:lstStyle/>
              <a:p>
                <a:pPr>
                  <a:defRPr b="0" sz="8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cat>
            <c:numRef>
              <c:f>'4.1.2 (excl VAT)'!$B$319:$B$440</c:f>
              <c:numCache>
                <c:formatCode>mmm\-yy</c:formatCode>
                <c:ptCount val="122"/>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pt idx="118">
                  <c:v>45962</c:v>
                </c:pt>
                <c:pt idx="119">
                  <c:v>45992</c:v>
                </c:pt>
                <c:pt idx="120">
                  <c:v>46023</c:v>
                </c:pt>
                <c:pt idx="121">
                  <c:v>46054</c:v>
                </c:pt>
              </c:numCache>
            </c:numRef>
          </c:cat>
          <c:val>
            <c:numRef>
              <c:f>'4.1.2 (excl VAT)'!$H$319:$H$440</c:f>
              <c:numCache>
                <c:formatCode>0.00</c:formatCode>
                <c:ptCount val="122"/>
                <c:pt idx="0">
                  <c:v>27.4854966666667</c:v>
                </c:pt>
                <c:pt idx="1">
                  <c:v>26.2340908333333</c:v>
                </c:pt>
                <c:pt idx="2">
                  <c:v>27.3825283333333</c:v>
                </c:pt>
                <c:pt idx="3">
                  <c:v>31.1695175</c:v>
                </c:pt>
                <c:pt idx="4">
                  <c:v>32.9424116666667</c:v>
                </c:pt>
                <c:pt idx="5">
                  <c:v>35.2641608333333</c:v>
                </c:pt>
                <c:pt idx="6">
                  <c:v>35.9257041666667</c:v>
                </c:pt>
                <c:pt idx="7">
                  <c:v>34.2870916666667</c:v>
                </c:pt>
                <c:pt idx="8">
                  <c:v>36.4097833333333</c:v>
                </c:pt>
                <c:pt idx="9">
                  <c:v>38.41839</c:v>
                </c:pt>
                <c:pt idx="10">
                  <c:v>40.6835658333334</c:v>
                </c:pt>
                <c:pt idx="11">
                  <c:v>39.6835625</c:v>
                </c:pt>
                <c:pt idx="12">
                  <c:v>43.7095933333333</c:v>
                </c:pt>
                <c:pt idx="13">
                  <c:v>44.3824616666667</c:v>
                </c:pt>
                <c:pt idx="14">
                  <c:v>44</c:v>
                </c:pt>
                <c:pt idx="15">
                  <c:v>41.9599733333334</c:v>
                </c:pt>
                <c:pt idx="16">
                  <c:v>39.8819633333333</c:v>
                </c:pt>
                <c:pt idx="17">
                  <c:v>39.9969591666667</c:v>
                </c:pt>
                <c:pt idx="18">
                  <c:v>38.2142708333333</c:v>
                </c:pt>
                <c:pt idx="19">
                  <c:v>39.8386275</c:v>
                </c:pt>
                <c:pt idx="20">
                  <c:v>42.4804458333333</c:v>
                </c:pt>
                <c:pt idx="21">
                  <c:v>42.3364033333334</c:v>
                </c:pt>
                <c:pt idx="22">
                  <c:v>44.3135341666667</c:v>
                </c:pt>
                <c:pt idx="23">
                  <c:v>44.9781408333334</c:v>
                </c:pt>
                <c:pt idx="24">
                  <c:v>45.84491</c:v>
                </c:pt>
                <c:pt idx="25">
                  <c:v>45.93507</c:v>
                </c:pt>
                <c:pt idx="26">
                  <c:v>44.3788941666667</c:v>
                </c:pt>
                <c:pt idx="27">
                  <c:v>45.5158291666667</c:v>
                </c:pt>
                <c:pt idx="28">
                  <c:v>48.9584966666667</c:v>
                </c:pt>
                <c:pt idx="29">
                  <c:v>51.94693</c:v>
                </c:pt>
                <c:pt idx="30">
                  <c:v>51.8811583333334</c:v>
                </c:pt>
                <c:pt idx="31">
                  <c:v>52.458485</c:v>
                </c:pt>
                <c:pt idx="32">
                  <c:v>54.1189916666667</c:v>
                </c:pt>
                <c:pt idx="33">
                  <c:v>55.8971775</c:v>
                </c:pt>
                <c:pt idx="34">
                  <c:v>56.265545</c:v>
                </c:pt>
                <c:pt idx="35">
                  <c:v>51.2201766666667</c:v>
                </c:pt>
                <c:pt idx="36">
                  <c:v>49.7736141666667</c:v>
                </c:pt>
                <c:pt idx="37">
                  <c:v>49.4947758333334</c:v>
                </c:pt>
                <c:pt idx="38">
                  <c:v>50.9810516666667</c:v>
                </c:pt>
                <c:pt idx="39">
                  <c:v>52.7605833333334</c:v>
                </c:pt>
                <c:pt idx="40">
                  <c:v>54.82371</c:v>
                </c:pt>
                <c:pt idx="41">
                  <c:v>53.2087316666667</c:v>
                </c:pt>
                <c:pt idx="42">
                  <c:v>51.8505991666667</c:v>
                </c:pt>
                <c:pt idx="43">
                  <c:v>52.53056</c:v>
                </c:pt>
                <c:pt idx="44">
                  <c:v>51.44199</c:v>
                </c:pt>
                <c:pt idx="45">
                  <c:v>51.9606683333333</c:v>
                </c:pt>
                <c:pt idx="46">
                  <c:v>50.6199966666667</c:v>
                </c:pt>
                <c:pt idx="47">
                  <c:v>49.9083483333334</c:v>
                </c:pt>
                <c:pt idx="48">
                  <c:v>52.5786225</c:v>
                </c:pt>
                <c:pt idx="49">
                  <c:v>48.5408575</c:v>
                </c:pt>
                <c:pt idx="50">
                  <c:v>45.4568925</c:v>
                </c:pt>
                <c:pt idx="51">
                  <c:v>38.56119</c:v>
                </c:pt>
                <c:pt idx="52">
                  <c:v>35.0631291666667</c:v>
                </c:pt>
                <c:pt idx="53">
                  <c:v>35.3012533333333</c:v>
                </c:pt>
                <c:pt idx="54">
                  <c:v>39.1730283333334</c:v>
                </c:pt>
                <c:pt idx="55">
                  <c:v>40.1117966666667</c:v>
                </c:pt>
                <c:pt idx="56">
                  <c:v>40.3811391666667</c:v>
                </c:pt>
                <c:pt idx="57">
                  <c:v>40.2582116666667</c:v>
                </c:pt>
                <c:pt idx="58">
                  <c:v>39.5913958333333</c:v>
                </c:pt>
                <c:pt idx="59">
                  <c:v>40.9347158333333</c:v>
                </c:pt>
                <c:pt idx="60">
                  <c:v>43.495535</c:v>
                </c:pt>
                <c:pt idx="61">
                  <c:v>46.1437616666667</c:v>
                </c:pt>
                <c:pt idx="62">
                  <c:v>48.8071175</c:v>
                </c:pt>
                <c:pt idx="63">
                  <c:v>49.7368825</c:v>
                </c:pt>
                <c:pt idx="64">
                  <c:v>51.1592658333334</c:v>
                </c:pt>
                <c:pt idx="65">
                  <c:v>52.8073326666667</c:v>
                </c:pt>
                <c:pt idx="66">
                  <c:v>54.85492672</c:v>
                </c:pt>
                <c:pt idx="67">
                  <c:v>56.15263</c:v>
                </c:pt>
                <c:pt idx="68">
                  <c:v>56.0865125</c:v>
                </c:pt>
                <c:pt idx="69">
                  <c:v>61.451</c:v>
                </c:pt>
                <c:pt idx="70">
                  <c:v>66.8957075</c:v>
                </c:pt>
                <c:pt idx="71">
                  <c:v>66.3794016666667</c:v>
                </c:pt>
                <c:pt idx="72">
                  <c:v>66.0024166666667</c:v>
                </c:pt>
                <c:pt idx="73">
                  <c:v>67.94708</c:v>
                </c:pt>
                <c:pt idx="74">
                  <c:v>84.8755766666667</c:v>
                </c:pt>
                <c:pt idx="75">
                  <c:v>93.4859558333333</c:v>
                </c:pt>
                <c:pt idx="76">
                  <c:v>96.7020525</c:v>
                </c:pt>
                <c:pt idx="77">
                  <c:v>105.508478333333</c:v>
                </c:pt>
                <c:pt idx="78">
                  <c:v>111.531405</c:v>
                </c:pt>
                <c:pt idx="79">
                  <c:v>101.175525833333</c:v>
                </c:pt>
                <c:pt idx="80">
                  <c:v>98.8993616666667</c:v>
                </c:pt>
                <c:pt idx="81">
                  <c:v>99.1840275</c:v>
                </c:pt>
                <c:pt idx="82">
                  <c:v>104.312599166667</c:v>
                </c:pt>
                <c:pt idx="83">
                  <c:v>96.5568375</c:v>
                </c:pt>
                <c:pt idx="84">
                  <c:v>89.7757808333333</c:v>
                </c:pt>
                <c:pt idx="85">
                  <c:v>88.2982591666666</c:v>
                </c:pt>
                <c:pt idx="86">
                  <c:v>86.0731858333334</c:v>
                </c:pt>
                <c:pt idx="87">
                  <c:v>82.1230441666667</c:v>
                </c:pt>
                <c:pt idx="88">
                  <c:v>76.4576158333334</c:v>
                </c:pt>
                <c:pt idx="89">
                  <c:v>68.2730316666667</c:v>
                </c:pt>
                <c:pt idx="90">
                  <c:v>67.5849925</c:v>
                </c:pt>
                <c:pt idx="91">
                  <c:v>72.4306433333333</c:v>
                </c:pt>
                <c:pt idx="92">
                  <c:v>78.999925</c:v>
                </c:pt>
                <c:pt idx="93">
                  <c:v>82.2941758333334</c:v>
                </c:pt>
                <c:pt idx="94">
                  <c:v>80.5641266666667</c:v>
                </c:pt>
                <c:pt idx="95">
                  <c:v>73.6123316666667</c:v>
                </c:pt>
                <c:pt idx="96">
                  <c:v>70.2432458333333</c:v>
                </c:pt>
                <c:pt idx="97">
                  <c:v>72.4266675</c:v>
                </c:pt>
                <c:pt idx="98">
                  <c:v>75.153475</c:v>
                </c:pt>
                <c:pt idx="99">
                  <c:v>78.4989591666667</c:v>
                </c:pt>
                <c:pt idx="100">
                  <c:v>78.0971408333334</c:v>
                </c:pt>
                <c:pt idx="101">
                  <c:v>72.5567683333334</c:v>
                </c:pt>
                <c:pt idx="102">
                  <c:v>72.5824041666667</c:v>
                </c:pt>
                <c:pt idx="103">
                  <c:v>70.6700991666667</c:v>
                </c:pt>
                <c:pt idx="104">
                  <c:v>64.9416433333334</c:v>
                </c:pt>
                <c:pt idx="105">
                  <c:v>62.841015</c:v>
                </c:pt>
                <c:pt idx="106">
                  <c:v>64.0195616666667</c:v>
                </c:pt>
                <c:pt idx="107">
                  <c:v>65.8578683333333</c:v>
                </c:pt>
                <c:pt idx="108">
                  <c:v>66.5633683333333</c:v>
                </c:pt>
                <c:pt idx="109">
                  <c:v>69.1358566666667</c:v>
                </c:pt>
                <c:pt idx="110">
                  <c:v>67.8668475</c:v>
                </c:pt>
                <c:pt idx="111">
                  <c:v>65.1549666666667</c:v>
                </c:pt>
                <c:pt idx="112">
                  <c:v>62.9424941666667</c:v>
                </c:pt>
                <c:pt idx="113">
                  <c:v>61.6129116666667</c:v>
                </c:pt>
                <c:pt idx="114">
                  <c:v>64.412085</c:v>
                </c:pt>
                <c:pt idx="115">
                  <c:v>65.49194</c:v>
                </c:pt>
                <c:pt idx="116">
                  <c:v>65.0231916666667</c:v>
                </c:pt>
                <c:pt idx="117">
                  <c:v>66.2314733333334</c:v>
                </c:pt>
                <c:pt idx="118">
                  <c:v>66.9986316666667</c:v>
                </c:pt>
                <c:pt idx="119">
                  <c:v>68.6519841666667</c:v>
                </c:pt>
                <c:pt idx="120">
                  <c:v>65.7260683333334</c:v>
                </c:pt>
                <c:pt idx="121">
                  <c:v>64.733785</c:v>
                </c:pt>
              </c:numCache>
            </c:numRef>
          </c:val>
          <c:smooth val="0"/>
        </c:ser>
        <c:ser>
          <c:idx val="1"/>
          <c:order val="1"/>
          <c:tx>
            <c:strRef>
              <c:f>"Premium Unleaded/ULSP"</c:f>
              <c:strCache>
                <c:ptCount val="1"/>
                <c:pt idx="0">
                  <c:v>Premium Unleaded/ULSP</c:v>
                </c:pt>
              </c:strCache>
            </c:strRef>
          </c:tx>
          <c:spPr>
            <a:solidFill>
              <a:srgbClr val="9bbb59"/>
            </a:solidFill>
            <a:ln w="25560">
              <a:solidFill>
                <a:srgbClr val="9bbb59"/>
              </a:solidFill>
              <a:round/>
            </a:ln>
          </c:spPr>
          <c:marker>
            <c:symbol val="none"/>
          </c:marker>
          <c:dLbls>
            <c:txPr>
              <a:bodyPr wrap="square"/>
              <a:lstStyle/>
              <a:p>
                <a:pPr>
                  <a:defRPr b="0" sz="8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cat>
            <c:numRef>
              <c:f>'4.1.2 (excl VAT)'!$B$319:$B$440</c:f>
              <c:numCache>
                <c:formatCode>mmm\-yy</c:formatCode>
                <c:ptCount val="122"/>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pt idx="118">
                  <c:v>45962</c:v>
                </c:pt>
                <c:pt idx="119">
                  <c:v>45992</c:v>
                </c:pt>
                <c:pt idx="120">
                  <c:v>46023</c:v>
                </c:pt>
                <c:pt idx="121">
                  <c:v>46054</c:v>
                </c:pt>
              </c:numCache>
            </c:numRef>
          </c:cat>
          <c:val>
            <c:numRef>
              <c:f>'4.1.2 (excl VAT)'!$K$319:$K$440</c:f>
              <c:numCache>
                <c:formatCode>0.00</c:formatCode>
                <c:ptCount val="122"/>
                <c:pt idx="0">
                  <c:v>26.8353220552408</c:v>
                </c:pt>
                <c:pt idx="1">
                  <c:v>26.5521146431845</c:v>
                </c:pt>
                <c:pt idx="2">
                  <c:v>26.8223823699528</c:v>
                </c:pt>
                <c:pt idx="3">
                  <c:v>30.7523713401409</c:v>
                </c:pt>
                <c:pt idx="4">
                  <c:v>32.411760328359</c:v>
                </c:pt>
                <c:pt idx="5">
                  <c:v>34.5195116770517</c:v>
                </c:pt>
                <c:pt idx="6">
                  <c:v>35.102421136358</c:v>
                </c:pt>
                <c:pt idx="7">
                  <c:v>32.924670018209</c:v>
                </c:pt>
                <c:pt idx="8">
                  <c:v>34.7259163997587</c:v>
                </c:pt>
                <c:pt idx="9">
                  <c:v>36.6792699519371</c:v>
                </c:pt>
                <c:pt idx="10">
                  <c:v>38.6203468849333</c:v>
                </c:pt>
                <c:pt idx="11">
                  <c:v>37.1103163515002</c:v>
                </c:pt>
                <c:pt idx="12">
                  <c:v>40.9624849836928</c:v>
                </c:pt>
                <c:pt idx="13">
                  <c:v>41.9354113788992</c:v>
                </c:pt>
                <c:pt idx="14">
                  <c:v>41.5416666666667</c:v>
                </c:pt>
                <c:pt idx="15">
                  <c:v>39.8013494129828</c:v>
                </c:pt>
                <c:pt idx="16">
                  <c:v>38.3176636780647</c:v>
                </c:pt>
                <c:pt idx="17">
                  <c:v>38.3403528764978</c:v>
                </c:pt>
                <c:pt idx="18">
                  <c:v>36.9704490983557</c:v>
                </c:pt>
                <c:pt idx="19">
                  <c:v>38.4172194173749</c:v>
                </c:pt>
                <c:pt idx="20">
                  <c:v>41.1615105042944</c:v>
                </c:pt>
                <c:pt idx="21">
                  <c:v>39.6750355299223</c:v>
                </c:pt>
                <c:pt idx="22">
                  <c:v>41.3207172098283</c:v>
                </c:pt>
                <c:pt idx="23">
                  <c:v>42.0449654013674</c:v>
                </c:pt>
                <c:pt idx="24">
                  <c:v>43.017625146545</c:v>
                </c:pt>
                <c:pt idx="25">
                  <c:v>43.2514507319291</c:v>
                </c:pt>
                <c:pt idx="26">
                  <c:v>41.3077838818754</c:v>
                </c:pt>
                <c:pt idx="27">
                  <c:v>42.5283526748192</c:v>
                </c:pt>
                <c:pt idx="28">
                  <c:v>45.9412716350376</c:v>
                </c:pt>
                <c:pt idx="29">
                  <c:v>48.6708157832577</c:v>
                </c:pt>
                <c:pt idx="30">
                  <c:v>48.3981957887935</c:v>
                </c:pt>
                <c:pt idx="31">
                  <c:v>49.2300629703848</c:v>
                </c:pt>
                <c:pt idx="32">
                  <c:v>51.0093703264659</c:v>
                </c:pt>
                <c:pt idx="33">
                  <c:v>51.117966972776</c:v>
                </c:pt>
                <c:pt idx="34">
                  <c:v>49.2259105746573</c:v>
                </c:pt>
                <c:pt idx="35">
                  <c:v>42.8609055070801</c:v>
                </c:pt>
                <c:pt idx="36">
                  <c:v>41.5971200140632</c:v>
                </c:pt>
                <c:pt idx="37">
                  <c:v>41.0958135726172</c:v>
                </c:pt>
                <c:pt idx="38">
                  <c:v>42.3932448367808</c:v>
                </c:pt>
                <c:pt idx="39">
                  <c:v>45.4629550144928</c:v>
                </c:pt>
                <c:pt idx="40">
                  <c:v>48.7744733762942</c:v>
                </c:pt>
                <c:pt idx="41">
                  <c:v>48.4085462202576</c:v>
                </c:pt>
                <c:pt idx="42">
                  <c:v>48.2037010329068</c:v>
                </c:pt>
                <c:pt idx="43">
                  <c:v>49.1413770904227</c:v>
                </c:pt>
                <c:pt idx="44">
                  <c:v>47.8787858859521</c:v>
                </c:pt>
                <c:pt idx="45">
                  <c:v>47.9405203167284</c:v>
                </c:pt>
                <c:pt idx="46">
                  <c:v>46.7544258847514</c:v>
                </c:pt>
                <c:pt idx="47">
                  <c:v>45.7290217130225</c:v>
                </c:pt>
                <c:pt idx="48">
                  <c:v>48.0004458315254</c:v>
                </c:pt>
                <c:pt idx="49">
                  <c:v>45.0308932988337</c:v>
                </c:pt>
                <c:pt idx="50">
                  <c:v>42.2493534091754</c:v>
                </c:pt>
                <c:pt idx="51">
                  <c:v>32.8585407834167</c:v>
                </c:pt>
                <c:pt idx="52">
                  <c:v>29.3662998204073</c:v>
                </c:pt>
                <c:pt idx="53">
                  <c:v>30.2456093602846</c:v>
                </c:pt>
                <c:pt idx="54">
                  <c:v>34.6727833379424</c:v>
                </c:pt>
                <c:pt idx="55">
                  <c:v>36.0210981720712</c:v>
                </c:pt>
                <c:pt idx="56">
                  <c:v>36.3932623049567</c:v>
                </c:pt>
                <c:pt idx="57">
                  <c:v>36.3453681194187</c:v>
                </c:pt>
                <c:pt idx="58">
                  <c:v>35.805322671098</c:v>
                </c:pt>
                <c:pt idx="59">
                  <c:v>37.0839507967033</c:v>
                </c:pt>
                <c:pt idx="60">
                  <c:v>39.7598341455227</c:v>
                </c:pt>
                <c:pt idx="61">
                  <c:v>42.6230221188482</c:v>
                </c:pt>
                <c:pt idx="62">
                  <c:v>45.4188559157559</c:v>
                </c:pt>
                <c:pt idx="63">
                  <c:v>46.6107784728599</c:v>
                </c:pt>
                <c:pt idx="64">
                  <c:v>48.1393530944528</c:v>
                </c:pt>
                <c:pt idx="65">
                  <c:v>49.8158116063258</c:v>
                </c:pt>
                <c:pt idx="66">
                  <c:v>52.6693470245932</c:v>
                </c:pt>
                <c:pt idx="67">
                  <c:v>54.1537541635952</c:v>
                </c:pt>
                <c:pt idx="68">
                  <c:v>54.2064971914594</c:v>
                </c:pt>
                <c:pt idx="69">
                  <c:v>56.7648628321577</c:v>
                </c:pt>
                <c:pt idx="70">
                  <c:v>63.6719684646251</c:v>
                </c:pt>
                <c:pt idx="71">
                  <c:v>63.4617041343896</c:v>
                </c:pt>
                <c:pt idx="72">
                  <c:v>62.8204166666667</c:v>
                </c:pt>
                <c:pt idx="73">
                  <c:v>64.5538421282896</c:v>
                </c:pt>
                <c:pt idx="74">
                  <c:v>76.9313673646783</c:v>
                </c:pt>
                <c:pt idx="75">
                  <c:v>81.7754111607443</c:v>
                </c:pt>
                <c:pt idx="76">
                  <c:v>84.6883640874411</c:v>
                </c:pt>
                <c:pt idx="77">
                  <c:v>99.6298618249972</c:v>
                </c:pt>
                <c:pt idx="78">
                  <c:v>104.375644183236</c:v>
                </c:pt>
                <c:pt idx="79">
                  <c:v>91.9411190354428</c:v>
                </c:pt>
                <c:pt idx="80">
                  <c:v>86.5302537941706</c:v>
                </c:pt>
                <c:pt idx="81">
                  <c:v>82.9842346016041</c:v>
                </c:pt>
                <c:pt idx="82">
                  <c:v>84.0390415413408</c:v>
                </c:pt>
                <c:pt idx="83">
                  <c:v>76.6531860212691</c:v>
                </c:pt>
                <c:pt idx="84">
                  <c:v>70.7589267801798</c:v>
                </c:pt>
                <c:pt idx="85">
                  <c:v>70.3967036770503</c:v>
                </c:pt>
                <c:pt idx="86">
                  <c:v>69.4403000828786</c:v>
                </c:pt>
                <c:pt idx="87">
                  <c:v>68.8246246288582</c:v>
                </c:pt>
                <c:pt idx="88">
                  <c:v>67.5314279920351</c:v>
                </c:pt>
                <c:pt idx="89">
                  <c:v>65.9714775588871</c:v>
                </c:pt>
                <c:pt idx="90">
                  <c:v>66.0537084268015</c:v>
                </c:pt>
                <c:pt idx="91">
                  <c:v>70.3088491592359</c:v>
                </c:pt>
                <c:pt idx="92">
                  <c:v>75.584222758978</c:v>
                </c:pt>
                <c:pt idx="93">
                  <c:v>76.5100861045455</c:v>
                </c:pt>
                <c:pt idx="94">
                  <c:v>73.9034164052329</c:v>
                </c:pt>
                <c:pt idx="95">
                  <c:v>66.7795927102422</c:v>
                </c:pt>
                <c:pt idx="96">
                  <c:v>63.183515104967</c:v>
                </c:pt>
                <c:pt idx="97">
                  <c:v>64.9416387587462</c:v>
                </c:pt>
                <c:pt idx="98">
                  <c:v>67.5992148952408</c:v>
                </c:pt>
                <c:pt idx="99">
                  <c:v>71.0894308519624</c:v>
                </c:pt>
                <c:pt idx="100">
                  <c:v>71.4770598875444</c:v>
                </c:pt>
                <c:pt idx="101">
                  <c:v>67.9600537888175</c:v>
                </c:pt>
                <c:pt idx="102">
                  <c:v>67.7077666598864</c:v>
                </c:pt>
                <c:pt idx="103">
                  <c:v>66.1279686145743</c:v>
                </c:pt>
                <c:pt idx="104">
                  <c:v>60.725715613424</c:v>
                </c:pt>
                <c:pt idx="105">
                  <c:v>58.6392807055253</c:v>
                </c:pt>
                <c:pt idx="106">
                  <c:v>59.310525936003</c:v>
                </c:pt>
                <c:pt idx="107">
                  <c:v>60.614483250335</c:v>
                </c:pt>
                <c:pt idx="108">
                  <c:v>61.0145026763831</c:v>
                </c:pt>
                <c:pt idx="109">
                  <c:v>63.1730508932059</c:v>
                </c:pt>
                <c:pt idx="110">
                  <c:v>61.7425425565507</c:v>
                </c:pt>
                <c:pt idx="111">
                  <c:v>59.3934606082785</c:v>
                </c:pt>
                <c:pt idx="112">
                  <c:v>57.3108775878285</c:v>
                </c:pt>
                <c:pt idx="113">
                  <c:v>56.6064776520714</c:v>
                </c:pt>
                <c:pt idx="114">
                  <c:v>58.670179326613</c:v>
                </c:pt>
                <c:pt idx="115">
                  <c:v>59.0941583391176</c:v>
                </c:pt>
                <c:pt idx="116">
                  <c:v>58.5823004460135</c:v>
                </c:pt>
                <c:pt idx="117">
                  <c:v>59.3591311728573</c:v>
                </c:pt>
                <c:pt idx="118">
                  <c:v>59.5350517060998</c:v>
                </c:pt>
                <c:pt idx="119">
                  <c:v>60.8403707548912</c:v>
                </c:pt>
                <c:pt idx="120">
                  <c:v>58.0456036225467</c:v>
                </c:pt>
                <c:pt idx="121">
                  <c:v>56.5368312673326</c:v>
                </c:pt>
              </c:numCache>
            </c:numRef>
          </c:val>
          <c:smooth val="0"/>
        </c:ser>
        <c:hiLowLines>
          <c:spPr>
            <a:ln w="0">
              <a:noFill/>
            </a:ln>
          </c:spPr>
        </c:hiLowLines>
        <c:marker val="0"/>
        <c:axId val="18165189"/>
        <c:axId val="16331579"/>
      </c:lineChart>
      <c:dateAx>
        <c:axId val="18165189"/>
        <c:scaling>
          <c:orientation val="minMax"/>
          <c:max val="46054"/>
          <c:min val="43497"/>
        </c:scaling>
        <c:delete val="0"/>
        <c:axPos val="b"/>
        <c:numFmt formatCode="mmm\-yy" sourceLinked="0"/>
        <c:majorTickMark val="out"/>
        <c:minorTickMark val="none"/>
        <c:tickLblPos val="nextTo"/>
        <c:spPr>
          <a:ln w="3240">
            <a:solidFill>
              <a:srgbClr val="000000"/>
            </a:solidFill>
            <a:round/>
          </a:ln>
        </c:spPr>
        <c:txPr>
          <a:bodyPr rot="-5400000"/>
          <a:lstStyle/>
          <a:p>
            <a:pPr>
              <a:defRPr b="0" sz="1000" strike="noStrike" u="none">
                <a:solidFill>
                  <a:srgbClr val="000000"/>
                </a:solidFill>
                <a:uFillTx/>
                <a:latin typeface="Arial"/>
                <a:ea typeface="Arial"/>
              </a:defRPr>
            </a:pPr>
          </a:p>
        </c:txPr>
        <c:crossAx val="16331579"/>
        <c:crosses val="autoZero"/>
        <c:auto val="1"/>
        <c:lblOffset val="100"/>
        <c:baseTimeUnit val="months"/>
        <c:majorUnit val="3"/>
        <c:majorTimeUnit val="months"/>
        <c:minorUnit val="4"/>
        <c:minorTimeUnit val="days"/>
        <c:noMultiLvlLbl val="0"/>
      </c:dateAx>
      <c:valAx>
        <c:axId val="16331579"/>
        <c:scaling>
          <c:orientation val="minMax"/>
          <c:min val="0"/>
        </c:scaling>
        <c:delete val="0"/>
        <c:axPos val="l"/>
        <c:title>
          <c:tx>
            <c:rich>
              <a:bodyPr rot="-5400000"/>
              <a:lstStyle/>
              <a:p>
                <a:pPr>
                  <a:defRPr b="0" sz="1300" strike="noStrike" u="none">
                    <a:uFillTx/>
                    <a:latin typeface="Arial"/>
                  </a:defRPr>
                </a:pPr>
                <a:r>
                  <a:rPr b="1" lang="en-GB" sz="1000" strike="noStrike" u="none">
                    <a:solidFill>
                      <a:srgbClr val="000000"/>
                    </a:solidFill>
                    <a:uFillTx/>
                    <a:latin typeface="Arial"/>
                    <a:ea typeface="Arial"/>
                  </a:rPr>
                  <a:t>Pence per litre</a:t>
                </a:r>
              </a:p>
            </c:rich>
          </c:tx>
          <c:layout>
            <c:manualLayout>
              <c:xMode val="edge"/>
              <c:yMode val="edge"/>
              <c:x val="0.0055005500550055"/>
              <c:y val="0.400146305779078"/>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b="0" sz="1000" strike="noStrike" u="none">
                <a:solidFill>
                  <a:srgbClr val="000000"/>
                </a:solidFill>
                <a:uFillTx/>
                <a:latin typeface="Arial"/>
                <a:ea typeface="Arial"/>
              </a:defRPr>
            </a:pPr>
          </a:p>
        </c:txPr>
        <c:crossAx val="18165189"/>
        <c:crosses val="autoZero"/>
        <c:crossBetween val="midCat"/>
      </c:valAx>
      <c:spPr>
        <a:noFill/>
        <a:ln w="25560">
          <a:noFill/>
        </a:ln>
      </c:spPr>
    </c:plotArea>
    <c:legend>
      <c:legendPos val="r"/>
      <c:layout>
        <c:manualLayout>
          <c:xMode val="edge"/>
          <c:yMode val="edge"/>
          <c:x val="0.112509559515426"/>
          <c:y val="0.215198665479658"/>
          <c:w val="0.36937001930254"/>
          <c:h val="0.15483895356438"/>
        </c:manualLayout>
      </c:layout>
      <c:overlay val="0"/>
      <c:spPr>
        <a:noFill/>
        <a:ln w="25560">
          <a:noFill/>
        </a:ln>
      </c:spPr>
      <c:txPr>
        <a:bodyPr/>
        <a:lstStyle/>
        <a:p>
          <a:pPr>
            <a:defRPr b="0" sz="800" strike="noStrike" u="none">
              <a:solidFill>
                <a:srgbClr val="000000"/>
              </a:solidFill>
              <a:uFillTx/>
              <a:latin typeface="Arial"/>
              <a:ea typeface="Arial"/>
            </a:defRPr>
          </a:pPr>
        </a:p>
      </c:txPr>
    </c:legend>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GB" sz="1100" strike="noStrike" u="none">
                <a:solidFill>
                  <a:srgbClr val="000000"/>
                </a:solidFill>
                <a:uFillTx/>
                <a:latin typeface="Arial"/>
                <a:ea typeface="Arial"/>
              </a:rPr>
              <a:t>Price of Standard Grade Burning Oil and Gas Oil                          </a:t>
            </a:r>
          </a:p>
        </c:rich>
      </c:tx>
      <c:layout>
        <c:manualLayout>
          <c:xMode val="edge"/>
          <c:yMode val="edge"/>
          <c:x val="0.203895511693049"/>
          <c:y val="0.0124755381604697"/>
        </c:manualLayout>
      </c:layout>
      <c:overlay val="0"/>
      <c:spPr>
        <a:noFill/>
        <a:ln w="25560">
          <a:noFill/>
        </a:ln>
      </c:spPr>
    </c:title>
    <c:autoTitleDeleted val="0"/>
    <c:plotArea>
      <c:layout>
        <c:manualLayout>
          <c:layoutTarget val="inner"/>
          <c:xMode val="edge"/>
          <c:yMode val="edge"/>
          <c:x val="0.0904175623737867"/>
          <c:y val="0.151663405088063"/>
          <c:w val="0.871604455735783"/>
          <c:h val="0.670009784735812"/>
        </c:manualLayout>
      </c:layout>
      <c:lineChart>
        <c:grouping val="standard"/>
        <c:varyColors val="0"/>
        <c:ser>
          <c:idx val="0"/>
          <c:order val="0"/>
          <c:tx>
            <c:strRef>
              <c:f>"Burning Oil"</c:f>
              <c:strCache>
                <c:ptCount val="1"/>
                <c:pt idx="0">
                  <c:v>Burning Oil</c:v>
                </c:pt>
              </c:strCache>
            </c:strRef>
          </c:tx>
          <c:spPr>
            <a:solidFill>
              <a:srgbClr val="00b0f0"/>
            </a:solidFill>
            <a:ln w="25560">
              <a:solidFill>
                <a:srgbClr val="00b0f0"/>
              </a:solidFill>
              <a:round/>
            </a:ln>
          </c:spPr>
          <c:marker>
            <c:symbol val="none"/>
          </c:marker>
          <c:dLbls>
            <c:txPr>
              <a:bodyPr wrap="square"/>
              <a:lstStyle/>
              <a:p>
                <a:pPr>
                  <a:defRPr b="0" sz="1025"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cat>
            <c:numRef>
              <c:f>'4.1.1'!$N$335:$N$456</c:f>
              <c:numCache>
                <c:formatCode>mmm\-yy</c:formatCode>
                <c:ptCount val="122"/>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pt idx="118">
                  <c:v>45962</c:v>
                </c:pt>
                <c:pt idx="119">
                  <c:v>45992</c:v>
                </c:pt>
                <c:pt idx="120">
                  <c:v>46023</c:v>
                </c:pt>
                <c:pt idx="121">
                  <c:v>46054</c:v>
                </c:pt>
              </c:numCache>
            </c:numRef>
          </c:cat>
          <c:val>
            <c:numRef>
              <c:f>'4.1.1'!$G$335:$G$456</c:f>
              <c:numCache>
                <c:formatCode>0.00</c:formatCode>
                <c:ptCount val="122"/>
                <c:pt idx="0">
                  <c:v>22.813</c:v>
                </c:pt>
                <c:pt idx="1">
                  <c:v>21.892</c:v>
                </c:pt>
                <c:pt idx="2">
                  <c:v>26.428</c:v>
                </c:pt>
                <c:pt idx="3">
                  <c:v>27.398</c:v>
                </c:pt>
                <c:pt idx="4">
                  <c:v>29.558</c:v>
                </c:pt>
                <c:pt idx="5">
                  <c:v>32.005</c:v>
                </c:pt>
                <c:pt idx="6">
                  <c:v>32.383</c:v>
                </c:pt>
                <c:pt idx="7">
                  <c:v>30.033</c:v>
                </c:pt>
                <c:pt idx="8">
                  <c:v>31.939</c:v>
                </c:pt>
                <c:pt idx="9">
                  <c:v>37.445</c:v>
                </c:pt>
                <c:pt idx="10">
                  <c:v>35.246</c:v>
                </c:pt>
                <c:pt idx="11">
                  <c:v>38.635</c:v>
                </c:pt>
                <c:pt idx="12">
                  <c:v>40.68</c:v>
                </c:pt>
                <c:pt idx="13">
                  <c:v>40.42</c:v>
                </c:pt>
                <c:pt idx="14">
                  <c:v>39.58</c:v>
                </c:pt>
                <c:pt idx="15">
                  <c:v>39.772</c:v>
                </c:pt>
                <c:pt idx="16">
                  <c:v>36.472</c:v>
                </c:pt>
                <c:pt idx="17">
                  <c:v>35.731</c:v>
                </c:pt>
                <c:pt idx="18">
                  <c:v>34.987</c:v>
                </c:pt>
                <c:pt idx="19">
                  <c:v>36.915</c:v>
                </c:pt>
                <c:pt idx="20">
                  <c:v>38.503</c:v>
                </c:pt>
                <c:pt idx="21">
                  <c:v>39.948</c:v>
                </c:pt>
                <c:pt idx="22">
                  <c:v>43.43</c:v>
                </c:pt>
                <c:pt idx="23">
                  <c:v>43.588</c:v>
                </c:pt>
                <c:pt idx="24">
                  <c:v>45.919</c:v>
                </c:pt>
                <c:pt idx="25">
                  <c:v>42.871</c:v>
                </c:pt>
                <c:pt idx="26">
                  <c:v>44.197</c:v>
                </c:pt>
                <c:pt idx="27">
                  <c:v>45.933</c:v>
                </c:pt>
                <c:pt idx="28">
                  <c:v>49.49</c:v>
                </c:pt>
                <c:pt idx="29">
                  <c:v>48.934</c:v>
                </c:pt>
                <c:pt idx="30">
                  <c:v>48.464</c:v>
                </c:pt>
                <c:pt idx="31">
                  <c:v>49.099</c:v>
                </c:pt>
                <c:pt idx="32">
                  <c:v>51.298</c:v>
                </c:pt>
                <c:pt idx="33">
                  <c:v>53.597</c:v>
                </c:pt>
                <c:pt idx="34">
                  <c:v>51.558</c:v>
                </c:pt>
                <c:pt idx="35">
                  <c:v>46.967</c:v>
                </c:pt>
                <c:pt idx="36">
                  <c:v>46.587</c:v>
                </c:pt>
                <c:pt idx="37">
                  <c:v>47.217</c:v>
                </c:pt>
                <c:pt idx="38">
                  <c:v>46.593</c:v>
                </c:pt>
                <c:pt idx="39">
                  <c:v>47.867</c:v>
                </c:pt>
                <c:pt idx="40">
                  <c:v>47.835</c:v>
                </c:pt>
                <c:pt idx="41">
                  <c:v>44.271</c:v>
                </c:pt>
                <c:pt idx="42">
                  <c:v>47.427</c:v>
                </c:pt>
                <c:pt idx="43">
                  <c:v>47.499</c:v>
                </c:pt>
                <c:pt idx="44">
                  <c:v>46.69</c:v>
                </c:pt>
                <c:pt idx="45">
                  <c:v>48.338</c:v>
                </c:pt>
                <c:pt idx="46">
                  <c:v>46.49</c:v>
                </c:pt>
                <c:pt idx="47">
                  <c:v>46.302</c:v>
                </c:pt>
                <c:pt idx="48">
                  <c:v>48.197</c:v>
                </c:pt>
                <c:pt idx="49">
                  <c:v>41.062</c:v>
                </c:pt>
                <c:pt idx="50">
                  <c:v>31.941</c:v>
                </c:pt>
                <c:pt idx="51">
                  <c:v>22.42</c:v>
                </c:pt>
                <c:pt idx="52">
                  <c:v>20.264</c:v>
                </c:pt>
                <c:pt idx="53">
                  <c:v>26.212</c:v>
                </c:pt>
                <c:pt idx="54">
                  <c:v>27.308</c:v>
                </c:pt>
                <c:pt idx="55">
                  <c:v>27.206</c:v>
                </c:pt>
                <c:pt idx="56">
                  <c:v>25.427</c:v>
                </c:pt>
                <c:pt idx="57">
                  <c:v>26.052</c:v>
                </c:pt>
                <c:pt idx="58">
                  <c:v>27.427</c:v>
                </c:pt>
                <c:pt idx="59">
                  <c:v>31.551</c:v>
                </c:pt>
                <c:pt idx="60">
                  <c:v>34.624</c:v>
                </c:pt>
                <c:pt idx="61">
                  <c:v>36.858</c:v>
                </c:pt>
                <c:pt idx="62">
                  <c:v>39.006</c:v>
                </c:pt>
                <c:pt idx="63">
                  <c:v>41.247</c:v>
                </c:pt>
                <c:pt idx="64">
                  <c:v>39.534</c:v>
                </c:pt>
                <c:pt idx="65">
                  <c:v>39.905</c:v>
                </c:pt>
                <c:pt idx="66">
                  <c:v>41.717</c:v>
                </c:pt>
                <c:pt idx="67">
                  <c:v>39.771</c:v>
                </c:pt>
                <c:pt idx="68">
                  <c:v>41.479</c:v>
                </c:pt>
                <c:pt idx="69">
                  <c:v>59.822</c:v>
                </c:pt>
                <c:pt idx="70">
                  <c:v>50.864</c:v>
                </c:pt>
                <c:pt idx="71">
                  <c:v>48.469</c:v>
                </c:pt>
                <c:pt idx="72">
                  <c:v>53.925</c:v>
                </c:pt>
                <c:pt idx="73">
                  <c:v>59.115</c:v>
                </c:pt>
                <c:pt idx="74">
                  <c:v>84.861</c:v>
                </c:pt>
                <c:pt idx="75">
                  <c:v>85.335</c:v>
                </c:pt>
                <c:pt idx="76">
                  <c:v>90.536</c:v>
                </c:pt>
                <c:pt idx="77">
                  <c:v>99.303</c:v>
                </c:pt>
                <c:pt idx="78">
                  <c:v>84.721</c:v>
                </c:pt>
                <c:pt idx="79">
                  <c:v>79.154</c:v>
                </c:pt>
                <c:pt idx="80">
                  <c:v>85.523</c:v>
                </c:pt>
                <c:pt idx="81">
                  <c:v>87.55</c:v>
                </c:pt>
                <c:pt idx="82">
                  <c:v>85.478</c:v>
                </c:pt>
                <c:pt idx="83">
                  <c:v>70.48</c:v>
                </c:pt>
                <c:pt idx="84">
                  <c:v>74.788</c:v>
                </c:pt>
                <c:pt idx="85">
                  <c:v>69.869</c:v>
                </c:pt>
                <c:pt idx="86">
                  <c:v>65.841</c:v>
                </c:pt>
                <c:pt idx="87">
                  <c:v>61.622</c:v>
                </c:pt>
                <c:pt idx="88">
                  <c:v>53.233</c:v>
                </c:pt>
                <c:pt idx="89">
                  <c:v>54.186</c:v>
                </c:pt>
                <c:pt idx="90">
                  <c:v>56.635</c:v>
                </c:pt>
                <c:pt idx="91">
                  <c:v>68.976</c:v>
                </c:pt>
                <c:pt idx="92">
                  <c:v>74.904</c:v>
                </c:pt>
                <c:pt idx="93">
                  <c:v>73.737</c:v>
                </c:pt>
                <c:pt idx="94">
                  <c:v>68.838</c:v>
                </c:pt>
                <c:pt idx="95">
                  <c:v>62.213</c:v>
                </c:pt>
                <c:pt idx="96">
                  <c:v>62.935</c:v>
                </c:pt>
                <c:pt idx="97">
                  <c:v>66.636</c:v>
                </c:pt>
                <c:pt idx="98">
                  <c:v>62.725</c:v>
                </c:pt>
                <c:pt idx="99">
                  <c:v>64.014</c:v>
                </c:pt>
                <c:pt idx="100">
                  <c:v>59.671</c:v>
                </c:pt>
                <c:pt idx="101">
                  <c:v>58.461</c:v>
                </c:pt>
                <c:pt idx="102">
                  <c:v>58.997</c:v>
                </c:pt>
                <c:pt idx="103">
                  <c:v>55.727</c:v>
                </c:pt>
                <c:pt idx="104">
                  <c:v>49.633</c:v>
                </c:pt>
                <c:pt idx="105">
                  <c:v>53.186</c:v>
                </c:pt>
                <c:pt idx="106">
                  <c:v>53.224</c:v>
                </c:pt>
                <c:pt idx="107">
                  <c:v>53.715</c:v>
                </c:pt>
                <c:pt idx="108">
                  <c:v>56.644</c:v>
                </c:pt>
                <c:pt idx="109">
                  <c:v>56.055</c:v>
                </c:pt>
                <c:pt idx="110">
                  <c:v>51.993</c:v>
                </c:pt>
                <c:pt idx="111">
                  <c:v>51.095</c:v>
                </c:pt>
                <c:pt idx="112">
                  <c:v>46.393</c:v>
                </c:pt>
                <c:pt idx="113">
                  <c:v>49.114</c:v>
                </c:pt>
                <c:pt idx="114">
                  <c:v>53.822</c:v>
                </c:pt>
                <c:pt idx="115">
                  <c:v>50.714</c:v>
                </c:pt>
                <c:pt idx="116">
                  <c:v>49.256</c:v>
                </c:pt>
                <c:pt idx="117">
                  <c:v>52.339</c:v>
                </c:pt>
                <c:pt idx="118">
                  <c:v>55.829</c:v>
                </c:pt>
                <c:pt idx="119">
                  <c:v>52.477</c:v>
                </c:pt>
                <c:pt idx="120">
                  <c:v>51.843</c:v>
                </c:pt>
                <c:pt idx="121">
                  <c:v>53.464</c:v>
                </c:pt>
              </c:numCache>
            </c:numRef>
          </c:val>
          <c:smooth val="0"/>
        </c:ser>
        <c:ser>
          <c:idx val="1"/>
          <c:order val="1"/>
          <c:tx>
            <c:strRef>
              <c:f>"Gas Oil"</c:f>
              <c:strCache>
                <c:ptCount val="1"/>
                <c:pt idx="0">
                  <c:v>Gas Oil</c:v>
                </c:pt>
              </c:strCache>
            </c:strRef>
          </c:tx>
          <c:spPr>
            <a:solidFill>
              <a:srgbClr val="b3a2c7"/>
            </a:solidFill>
            <a:ln w="25560">
              <a:solidFill>
                <a:srgbClr val="b3a2c7"/>
              </a:solidFill>
              <a:round/>
            </a:ln>
          </c:spPr>
          <c:marker>
            <c:symbol val="none"/>
          </c:marker>
          <c:dLbls>
            <c:txPr>
              <a:bodyPr wrap="square"/>
              <a:lstStyle/>
              <a:p>
                <a:pPr>
                  <a:defRPr b="0" sz="1025"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5560">
                  <a:solidFill>
                    <a:srgbClr val="000000"/>
                  </a:solidFill>
                </a:ln>
              </c:spPr>
            </c:leaderLines>
            <c:extLst>
              <c:ext xmlns:c15="http://schemas.microsoft.com/office/drawing/2012/chart" uri="{CE6537A1-D6FC-4f65-9D91-7224C49458BB}">
                <c15:showLeaderLines val="1"/>
              </c:ext>
            </c:extLst>
          </c:dLbls>
          <c:cat>
            <c:numRef>
              <c:f>'4.1.1'!$N$335:$N$456</c:f>
              <c:numCache>
                <c:formatCode>mmm\-yy</c:formatCode>
                <c:ptCount val="122"/>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pt idx="118">
                  <c:v>45962</c:v>
                </c:pt>
                <c:pt idx="119">
                  <c:v>45992</c:v>
                </c:pt>
                <c:pt idx="120">
                  <c:v>46023</c:v>
                </c:pt>
                <c:pt idx="121">
                  <c:v>46054</c:v>
                </c:pt>
              </c:numCache>
            </c:numRef>
          </c:cat>
          <c:val>
            <c:numRef>
              <c:f>'4.1.1'!$H$335:$H$456</c:f>
              <c:numCache>
                <c:formatCode>0.00</c:formatCode>
                <c:ptCount val="122"/>
                <c:pt idx="0">
                  <c:v>35.185763</c:v>
                </c:pt>
                <c:pt idx="1">
                  <c:v>33.459595</c:v>
                </c:pt>
                <c:pt idx="2">
                  <c:v>38.213879</c:v>
                </c:pt>
                <c:pt idx="3">
                  <c:v>38.835974</c:v>
                </c:pt>
                <c:pt idx="4">
                  <c:v>42.078426</c:v>
                </c:pt>
                <c:pt idx="5">
                  <c:v>44.299308</c:v>
                </c:pt>
                <c:pt idx="6">
                  <c:v>44.492312</c:v>
                </c:pt>
                <c:pt idx="7">
                  <c:v>43.743884</c:v>
                </c:pt>
                <c:pt idx="8">
                  <c:v>44.483657</c:v>
                </c:pt>
                <c:pt idx="9">
                  <c:v>50.250573</c:v>
                </c:pt>
                <c:pt idx="10">
                  <c:v>46.102402</c:v>
                </c:pt>
                <c:pt idx="11">
                  <c:v>50.012331</c:v>
                </c:pt>
                <c:pt idx="12">
                  <c:v>51.987027</c:v>
                </c:pt>
                <c:pt idx="13">
                  <c:v>51.645923</c:v>
                </c:pt>
                <c:pt idx="14">
                  <c:v>52.21</c:v>
                </c:pt>
                <c:pt idx="15">
                  <c:v>51.420868</c:v>
                </c:pt>
                <c:pt idx="16">
                  <c:v>47.96498</c:v>
                </c:pt>
                <c:pt idx="17">
                  <c:v>45.579841</c:v>
                </c:pt>
                <c:pt idx="18">
                  <c:v>46.466909</c:v>
                </c:pt>
                <c:pt idx="19">
                  <c:v>48.691034</c:v>
                </c:pt>
                <c:pt idx="20">
                  <c:v>50.593099</c:v>
                </c:pt>
                <c:pt idx="21">
                  <c:v>51.687528</c:v>
                </c:pt>
                <c:pt idx="22">
                  <c:v>54.172714</c:v>
                </c:pt>
                <c:pt idx="23">
                  <c:v>53.110375</c:v>
                </c:pt>
                <c:pt idx="24">
                  <c:v>55.511189</c:v>
                </c:pt>
                <c:pt idx="25">
                  <c:v>51.935263</c:v>
                </c:pt>
                <c:pt idx="26">
                  <c:v>52.507655</c:v>
                </c:pt>
                <c:pt idx="27">
                  <c:v>55.431076</c:v>
                </c:pt>
                <c:pt idx="28">
                  <c:v>60.610683</c:v>
                </c:pt>
                <c:pt idx="29">
                  <c:v>60.878897</c:v>
                </c:pt>
                <c:pt idx="30">
                  <c:v>60.911133</c:v>
                </c:pt>
                <c:pt idx="31">
                  <c:v>61.818066</c:v>
                </c:pt>
                <c:pt idx="32">
                  <c:v>63.797068</c:v>
                </c:pt>
                <c:pt idx="33">
                  <c:v>66.463596</c:v>
                </c:pt>
                <c:pt idx="34">
                  <c:v>63.818389</c:v>
                </c:pt>
                <c:pt idx="35">
                  <c:v>58.9787</c:v>
                </c:pt>
                <c:pt idx="36">
                  <c:v>56.722092</c:v>
                </c:pt>
                <c:pt idx="37">
                  <c:v>59.333862</c:v>
                </c:pt>
                <c:pt idx="38">
                  <c:v>58.145568</c:v>
                </c:pt>
                <c:pt idx="39">
                  <c:v>60.179288</c:v>
                </c:pt>
                <c:pt idx="40">
                  <c:v>60.810038</c:v>
                </c:pt>
                <c:pt idx="41">
                  <c:v>57.259907</c:v>
                </c:pt>
                <c:pt idx="42">
                  <c:v>59.763061</c:v>
                </c:pt>
                <c:pt idx="43">
                  <c:v>58.79684</c:v>
                </c:pt>
                <c:pt idx="44">
                  <c:v>60.001689</c:v>
                </c:pt>
                <c:pt idx="45">
                  <c:v>59.274475</c:v>
                </c:pt>
                <c:pt idx="46">
                  <c:v>58.377035</c:v>
                </c:pt>
                <c:pt idx="47">
                  <c:v>57.518974</c:v>
                </c:pt>
                <c:pt idx="48">
                  <c:v>59.820065</c:v>
                </c:pt>
                <c:pt idx="49">
                  <c:v>54.200303</c:v>
                </c:pt>
                <c:pt idx="50">
                  <c:v>46.225133</c:v>
                </c:pt>
                <c:pt idx="51">
                  <c:v>41.22668</c:v>
                </c:pt>
                <c:pt idx="52">
                  <c:v>38.399378</c:v>
                </c:pt>
                <c:pt idx="53">
                  <c:v>43.236079</c:v>
                </c:pt>
                <c:pt idx="54">
                  <c:v>46.035931</c:v>
                </c:pt>
                <c:pt idx="55">
                  <c:v>46.129862</c:v>
                </c:pt>
                <c:pt idx="56">
                  <c:v>42.372527</c:v>
                </c:pt>
                <c:pt idx="57">
                  <c:v>44.345288</c:v>
                </c:pt>
                <c:pt idx="58">
                  <c:v>43.061592</c:v>
                </c:pt>
                <c:pt idx="59">
                  <c:v>48.146516</c:v>
                </c:pt>
                <c:pt idx="60">
                  <c:v>49.851804</c:v>
                </c:pt>
                <c:pt idx="61">
                  <c:v>52.818608</c:v>
                </c:pt>
                <c:pt idx="62">
                  <c:v>55.739205</c:v>
                </c:pt>
                <c:pt idx="63">
                  <c:v>54.181309</c:v>
                </c:pt>
                <c:pt idx="64">
                  <c:v>56.469793</c:v>
                </c:pt>
                <c:pt idx="65">
                  <c:v>56.754743</c:v>
                </c:pt>
                <c:pt idx="66">
                  <c:v>58.049391</c:v>
                </c:pt>
                <c:pt idx="67">
                  <c:v>57.425378</c:v>
                </c:pt>
                <c:pt idx="68">
                  <c:v>59.647313</c:v>
                </c:pt>
                <c:pt idx="69">
                  <c:v>73.270448</c:v>
                </c:pt>
                <c:pt idx="70">
                  <c:v>73.11826</c:v>
                </c:pt>
                <c:pt idx="71">
                  <c:v>71.5265</c:v>
                </c:pt>
                <c:pt idx="72">
                  <c:v>71.8762</c:v>
                </c:pt>
                <c:pt idx="73">
                  <c:v>77.304022</c:v>
                </c:pt>
                <c:pt idx="74">
                  <c:v>121.690985</c:v>
                </c:pt>
                <c:pt idx="75">
                  <c:v>108.541893</c:v>
                </c:pt>
                <c:pt idx="76">
                  <c:v>104.39724</c:v>
                </c:pt>
                <c:pt idx="77">
                  <c:v>118.920852</c:v>
                </c:pt>
                <c:pt idx="78">
                  <c:v>111.095581</c:v>
                </c:pt>
                <c:pt idx="79">
                  <c:v>104.221043</c:v>
                </c:pt>
                <c:pt idx="80">
                  <c:v>103.873587</c:v>
                </c:pt>
                <c:pt idx="81">
                  <c:v>112.228308</c:v>
                </c:pt>
                <c:pt idx="82">
                  <c:v>128.06669</c:v>
                </c:pt>
                <c:pt idx="83">
                  <c:v>90.502306</c:v>
                </c:pt>
                <c:pt idx="84">
                  <c:v>92.105607</c:v>
                </c:pt>
                <c:pt idx="85">
                  <c:v>84.292713</c:v>
                </c:pt>
                <c:pt idx="86">
                  <c:v>80.977239</c:v>
                </c:pt>
                <c:pt idx="87">
                  <c:v>93.773383</c:v>
                </c:pt>
                <c:pt idx="88">
                  <c:v>83.253769</c:v>
                </c:pt>
                <c:pt idx="89">
                  <c:v>67.33322</c:v>
                </c:pt>
                <c:pt idx="90">
                  <c:v>87.184508</c:v>
                </c:pt>
                <c:pt idx="91">
                  <c:v>80.117318</c:v>
                </c:pt>
                <c:pt idx="92">
                  <c:v>89.172152</c:v>
                </c:pt>
                <c:pt idx="93">
                  <c:v>86.934542</c:v>
                </c:pt>
                <c:pt idx="94">
                  <c:v>79.835372</c:v>
                </c:pt>
                <c:pt idx="95">
                  <c:v>76.026225</c:v>
                </c:pt>
                <c:pt idx="96">
                  <c:v>75.359501</c:v>
                </c:pt>
                <c:pt idx="97">
                  <c:v>78.542809</c:v>
                </c:pt>
                <c:pt idx="98">
                  <c:v>78.761923</c:v>
                </c:pt>
                <c:pt idx="99">
                  <c:v>78.453215</c:v>
                </c:pt>
                <c:pt idx="100">
                  <c:v>72.727479</c:v>
                </c:pt>
                <c:pt idx="101">
                  <c:v>72.671046</c:v>
                </c:pt>
                <c:pt idx="102">
                  <c:v>73.489015</c:v>
                </c:pt>
                <c:pt idx="103">
                  <c:v>69.434431</c:v>
                </c:pt>
                <c:pt idx="104">
                  <c:v>63.917708</c:v>
                </c:pt>
                <c:pt idx="105">
                  <c:v>67.783027</c:v>
                </c:pt>
                <c:pt idx="106">
                  <c:v>68.265253</c:v>
                </c:pt>
                <c:pt idx="107">
                  <c:v>68.423573</c:v>
                </c:pt>
                <c:pt idx="108">
                  <c:v>74.680828</c:v>
                </c:pt>
                <c:pt idx="109">
                  <c:v>71.50011</c:v>
                </c:pt>
                <c:pt idx="110">
                  <c:v>67.188178</c:v>
                </c:pt>
                <c:pt idx="111">
                  <c:v>64.213162</c:v>
                </c:pt>
                <c:pt idx="112">
                  <c:v>62.636594</c:v>
                </c:pt>
                <c:pt idx="113">
                  <c:v>63.903946</c:v>
                </c:pt>
                <c:pt idx="114">
                  <c:v>69.279659</c:v>
                </c:pt>
                <c:pt idx="115">
                  <c:v>65.694309</c:v>
                </c:pt>
                <c:pt idx="116">
                  <c:v>66.89165</c:v>
                </c:pt>
                <c:pt idx="117">
                  <c:v>67.226825</c:v>
                </c:pt>
                <c:pt idx="118">
                  <c:v>72.820494</c:v>
                </c:pt>
                <c:pt idx="119">
                  <c:v>65.48046</c:v>
                </c:pt>
                <c:pt idx="120">
                  <c:v>64.43028</c:v>
                </c:pt>
                <c:pt idx="121">
                  <c:v>66.0118</c:v>
                </c:pt>
              </c:numCache>
            </c:numRef>
          </c:val>
          <c:smooth val="0"/>
        </c:ser>
        <c:hiLowLines>
          <c:spPr>
            <a:ln w="0">
              <a:noFill/>
            </a:ln>
          </c:spPr>
        </c:hiLowLines>
        <c:marker val="0"/>
        <c:axId val="83052602"/>
        <c:axId val="26478118"/>
      </c:lineChart>
      <c:dateAx>
        <c:axId val="83052602"/>
        <c:scaling>
          <c:orientation val="minMax"/>
          <c:max val="46054"/>
          <c:min val="43497"/>
        </c:scaling>
        <c:delete val="0"/>
        <c:axPos val="b"/>
        <c:numFmt formatCode="mmm\-yy" sourceLinked="0"/>
        <c:majorTickMark val="out"/>
        <c:minorTickMark val="none"/>
        <c:tickLblPos val="nextTo"/>
        <c:spPr>
          <a:ln w="3240">
            <a:solidFill>
              <a:srgbClr val="000000"/>
            </a:solidFill>
            <a:round/>
          </a:ln>
        </c:spPr>
        <c:txPr>
          <a:bodyPr rot="-5400000"/>
          <a:lstStyle/>
          <a:p>
            <a:pPr>
              <a:defRPr b="0" sz="900" strike="noStrike" u="none">
                <a:solidFill>
                  <a:srgbClr val="000000"/>
                </a:solidFill>
                <a:uFillTx/>
                <a:latin typeface="Arial"/>
                <a:ea typeface="Arial"/>
              </a:defRPr>
            </a:pPr>
          </a:p>
        </c:txPr>
        <c:crossAx val="26478118"/>
        <c:crosses val="autoZero"/>
        <c:auto val="1"/>
        <c:lblOffset val="100"/>
        <c:baseTimeUnit val="months"/>
        <c:majorUnit val="3"/>
        <c:majorTimeUnit val="months"/>
        <c:minorUnit val="4"/>
        <c:minorTimeUnit val="months"/>
        <c:noMultiLvlLbl val="0"/>
      </c:dateAx>
      <c:valAx>
        <c:axId val="26478118"/>
        <c:scaling>
          <c:orientation val="minMax"/>
          <c:max val="140"/>
          <c:min val="0"/>
        </c:scaling>
        <c:delete val="0"/>
        <c:axPos val="l"/>
        <c:title>
          <c:tx>
            <c:rich>
              <a:bodyPr rot="-5400000"/>
              <a:lstStyle/>
              <a:p>
                <a:pPr>
                  <a:defRPr b="0" sz="1300" strike="noStrike" u="none">
                    <a:uFillTx/>
                    <a:latin typeface="Arial"/>
                  </a:defRPr>
                </a:pPr>
                <a:r>
                  <a:rPr b="1" lang="en-GB" sz="1000" strike="noStrike" u="none">
                    <a:solidFill>
                      <a:srgbClr val="000000"/>
                    </a:solidFill>
                    <a:uFillTx/>
                    <a:latin typeface="Arial"/>
                    <a:ea typeface="Arial"/>
                  </a:rPr>
                  <a:t>Pence per litre</a:t>
                </a:r>
              </a:p>
            </c:rich>
          </c:tx>
          <c:layout>
            <c:manualLayout>
              <c:xMode val="edge"/>
              <c:yMode val="edge"/>
              <c:x val="0.000977135040062537"/>
              <c:y val="0.375978473581213"/>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b="0" sz="1000" strike="noStrike" u="none">
                <a:solidFill>
                  <a:srgbClr val="000000"/>
                </a:solidFill>
                <a:uFillTx/>
                <a:latin typeface="Arial"/>
                <a:ea typeface="Arial"/>
              </a:defRPr>
            </a:pPr>
          </a:p>
        </c:txPr>
        <c:crossAx val="83052602"/>
        <c:crossesAt val="1241"/>
        <c:crossBetween val="midCat"/>
        <c:majorUnit val="20"/>
      </c:valAx>
      <c:spPr>
        <a:noFill/>
        <a:ln w="25560">
          <a:noFill/>
        </a:ln>
      </c:spPr>
    </c:plotArea>
    <c:legend>
      <c:legendPos val="r"/>
      <c:layout>
        <c:manualLayout>
          <c:xMode val="edge"/>
          <c:yMode val="edge"/>
          <c:x val="0.126747234175046"/>
          <c:y val="0.283116689621718"/>
          <c:w val="0.225962290807141"/>
          <c:h val="0.155340296762164"/>
        </c:manualLayout>
      </c:layout>
      <c:overlay val="0"/>
      <c:spPr>
        <a:noFill/>
        <a:ln w="25560">
          <a:noFill/>
        </a:ln>
      </c:spPr>
      <c:txPr>
        <a:bodyPr/>
        <a:lstStyle/>
        <a:p>
          <a:pPr>
            <a:defRPr b="0" sz="800" strike="noStrike" u="none">
              <a:solidFill>
                <a:srgbClr val="000000"/>
              </a:solidFill>
              <a:uFillTx/>
              <a:latin typeface="Arial"/>
              <a:ea typeface="Arial"/>
            </a:defRPr>
          </a:pPr>
        </a:p>
      </c:txPr>
    </c:legend>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GB" sz="1100" strike="noStrike" u="none">
                <a:solidFill>
                  <a:srgbClr val="000000"/>
                </a:solidFill>
                <a:uFillTx/>
                <a:latin typeface="Arial"/>
                <a:ea typeface="Arial"/>
              </a:rPr>
              <a:t>Index of crude oil prices    </a:t>
            </a:r>
          </a:p>
          <a:p>
            <a:pPr>
              <a:defRPr b="0" sz="1300" strike="noStrike" u="none">
                <a:uFillTx/>
                <a:latin typeface="Arial"/>
              </a:defRPr>
            </a:pPr>
            <a:r>
              <a:rPr b="1" lang="en-GB" sz="1100" strike="noStrike" u="none">
                <a:solidFill>
                  <a:srgbClr val="000000"/>
                </a:solidFill>
                <a:uFillTx/>
                <a:latin typeface="Arial"/>
                <a:ea typeface="Arial"/>
              </a:rPr>
              <a:t> </a:t>
            </a:r>
          </a:p>
        </c:rich>
      </c:tx>
      <c:layout>
        <c:manualLayout>
          <c:xMode val="edge"/>
          <c:yMode val="edge"/>
          <c:x val="0.345796836187737"/>
          <c:y val="0.0127217125382263"/>
        </c:manualLayout>
      </c:layout>
      <c:overlay val="0"/>
      <c:spPr>
        <a:noFill/>
        <a:ln w="25560">
          <a:noFill/>
        </a:ln>
      </c:spPr>
    </c:title>
    <c:autoTitleDeleted val="0"/>
    <c:plotArea>
      <c:layout>
        <c:manualLayout>
          <c:layoutTarget val="inner"/>
          <c:xMode val="edge"/>
          <c:yMode val="edge"/>
          <c:x val="0.118839063929925"/>
          <c:y val="0.0978593272171254"/>
          <c:w val="0.856321087723886"/>
          <c:h val="0.714128440366972"/>
        </c:manualLayout>
      </c:layout>
      <c:lineChart>
        <c:grouping val="standard"/>
        <c:varyColors val="0"/>
        <c:ser>
          <c:idx val="0"/>
          <c:order val="0"/>
          <c:tx>
            <c:strRef>
              <c:f>"Crude Oil"</c:f>
              <c:strCache>
                <c:ptCount val="1"/>
                <c:pt idx="0">
                  <c:v>Crude Oil</c:v>
                </c:pt>
              </c:strCache>
            </c:strRef>
          </c:tx>
          <c:spPr>
            <a:solidFill>
              <a:srgbClr val="c00000"/>
            </a:solidFill>
            <a:ln w="38160">
              <a:solidFill>
                <a:srgbClr val="c00000"/>
              </a:solidFill>
              <a:round/>
            </a:ln>
          </c:spPr>
          <c:marker>
            <c:symbol val="none"/>
          </c:marker>
          <c:dLbls>
            <c:txPr>
              <a:bodyPr wrap="square"/>
              <a:lstStyle/>
              <a:p>
                <a:pPr>
                  <a:defRPr b="0" sz="1025"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38160">
                  <a:solidFill>
                    <a:srgbClr val="000000"/>
                  </a:solidFill>
                </a:ln>
              </c:spPr>
            </c:leaderLines>
            <c:extLst>
              <c:ext xmlns:c15="http://schemas.microsoft.com/office/drawing/2012/chart" uri="{CE6537A1-D6FC-4f65-9D91-7224C49458BB}">
                <c15:showLeaderLines val="1"/>
              </c:ext>
            </c:extLst>
          </c:dLbls>
          <c:cat>
            <c:numRef>
              <c:f>'4.1.1'!$N$335:$N$455</c:f>
              <c:numCache>
                <c:formatCode>mmm\-yy</c:formatCode>
                <c:ptCount val="121"/>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pt idx="118">
                  <c:v>45962</c:v>
                </c:pt>
                <c:pt idx="119">
                  <c:v>45992</c:v>
                </c:pt>
                <c:pt idx="120">
                  <c:v>46023</c:v>
                </c:pt>
              </c:numCache>
            </c:numRef>
          </c:cat>
          <c:val>
            <c:numRef>
              <c:f>'4.1.1'!$I$335:$I$455</c:f>
              <c:numCache>
                <c:formatCode>0.00</c:formatCode>
                <c:ptCount val="121"/>
                <c:pt idx="0">
                  <c:v>44.1282543708437</c:v>
                </c:pt>
                <c:pt idx="1">
                  <c:v>42.9998847287383</c:v>
                </c:pt>
                <c:pt idx="2">
                  <c:v>52.0342348638792</c:v>
                </c:pt>
                <c:pt idx="3">
                  <c:v>55.6943392012951</c:v>
                </c:pt>
                <c:pt idx="4">
                  <c:v>61.9619186079949</c:v>
                </c:pt>
                <c:pt idx="5">
                  <c:v>66.0936224991744</c:v>
                </c:pt>
                <c:pt idx="6">
                  <c:v>66.8792849094966</c:v>
                </c:pt>
                <c:pt idx="7">
                  <c:v>67.2149991701018</c:v>
                </c:pt>
                <c:pt idx="8">
                  <c:v>69.4311103305754</c:v>
                </c:pt>
                <c:pt idx="9">
                  <c:v>76.8165500692905</c:v>
                </c:pt>
                <c:pt idx="10">
                  <c:v>70.9622365990945</c:v>
                </c:pt>
                <c:pt idx="11">
                  <c:v>82.0994839908255</c:v>
                </c:pt>
                <c:pt idx="12">
                  <c:v>85.9036836767186</c:v>
                </c:pt>
                <c:pt idx="13">
                  <c:v>85.4181696583537</c:v>
                </c:pt>
                <c:pt idx="14">
                  <c:v>81.722697451294</c:v>
                </c:pt>
                <c:pt idx="15">
                  <c:v>79.8380655414937</c:v>
                </c:pt>
                <c:pt idx="16">
                  <c:v>75.7595486806509</c:v>
                </c:pt>
                <c:pt idx="17">
                  <c:v>71.6995087340369</c:v>
                </c:pt>
                <c:pt idx="18">
                  <c:v>71.7784109100223</c:v>
                </c:pt>
                <c:pt idx="19">
                  <c:v>77.0796009933096</c:v>
                </c:pt>
                <c:pt idx="20">
                  <c:v>81.2015378470948</c:v>
                </c:pt>
                <c:pt idx="21">
                  <c:v>84.7144008475117</c:v>
                </c:pt>
                <c:pt idx="22">
                  <c:v>91.1495765938529</c:v>
                </c:pt>
                <c:pt idx="23">
                  <c:v>93.0974346186197</c:v>
                </c:pt>
                <c:pt idx="24">
                  <c:v>96.9724049271618</c:v>
                </c:pt>
                <c:pt idx="25">
                  <c:v>93.1340972734531</c:v>
                </c:pt>
                <c:pt idx="26">
                  <c:v>92.3950980893746</c:v>
                </c:pt>
                <c:pt idx="27">
                  <c:v>97.6538659407616</c:v>
                </c:pt>
                <c:pt idx="28">
                  <c:v>110.639497601403</c:v>
                </c:pt>
                <c:pt idx="29">
                  <c:v>109.456368224822</c:v>
                </c:pt>
                <c:pt idx="30">
                  <c:v>109.725303751157</c:v>
                </c:pt>
                <c:pt idx="31">
                  <c:v>110.47720625334</c:v>
                </c:pt>
                <c:pt idx="32">
                  <c:v>115.036885353992</c:v>
                </c:pt>
                <c:pt idx="33">
                  <c:v>121.151197909538</c:v>
                </c:pt>
                <c:pt idx="34">
                  <c:v>104.897462404201</c:v>
                </c:pt>
                <c:pt idx="35">
                  <c:v>89.057669324826</c:v>
                </c:pt>
                <c:pt idx="36">
                  <c:v>89.4376226445031</c:v>
                </c:pt>
                <c:pt idx="37">
                  <c:v>95.7031472707349</c:v>
                </c:pt>
                <c:pt idx="38">
                  <c:v>98.1070607669395</c:v>
                </c:pt>
                <c:pt idx="39">
                  <c:v>106.141606286916</c:v>
                </c:pt>
                <c:pt idx="40">
                  <c:v>108.703063412878</c:v>
                </c:pt>
                <c:pt idx="41">
                  <c:v>100.853737602671</c:v>
                </c:pt>
                <c:pt idx="42">
                  <c:v>101.48517005435</c:v>
                </c:pt>
                <c:pt idx="43">
                  <c:v>97.5498422360993</c:v>
                </c:pt>
                <c:pt idx="44">
                  <c:v>98.4482901757261</c:v>
                </c:pt>
                <c:pt idx="45">
                  <c:v>94.3298055876869</c:v>
                </c:pt>
                <c:pt idx="46">
                  <c:v>96.4835176116236</c:v>
                </c:pt>
                <c:pt idx="47">
                  <c:v>101.041123285369</c:v>
                </c:pt>
                <c:pt idx="48">
                  <c:v>98.4956943862579</c:v>
                </c:pt>
                <c:pt idx="49">
                  <c:v>89.1263996490469</c:v>
                </c:pt>
                <c:pt idx="50">
                  <c:v>61.6835207720992</c:v>
                </c:pt>
                <c:pt idx="51">
                  <c:v>37.7338937970745</c:v>
                </c:pt>
                <c:pt idx="52">
                  <c:v>42.966051444769</c:v>
                </c:pt>
                <c:pt idx="53">
                  <c:v>58.8778171228676</c:v>
                </c:pt>
                <c:pt idx="54">
                  <c:v>67.2244767515937</c:v>
                </c:pt>
                <c:pt idx="55">
                  <c:v>67.3432028262698</c:v>
                </c:pt>
                <c:pt idx="56">
                  <c:v>63.6050734526646</c:v>
                </c:pt>
                <c:pt idx="57">
                  <c:v>60.8852792920585</c:v>
                </c:pt>
                <c:pt idx="58">
                  <c:v>61.9221876938885</c:v>
                </c:pt>
                <c:pt idx="59">
                  <c:v>70.930490424262</c:v>
                </c:pt>
                <c:pt idx="60">
                  <c:v>77.8270778976658</c:v>
                </c:pt>
                <c:pt idx="61">
                  <c:v>84.4551300502844</c:v>
                </c:pt>
                <c:pt idx="62">
                  <c:v>90.6820154172908</c:v>
                </c:pt>
                <c:pt idx="63">
                  <c:v>91.0610154487598</c:v>
                </c:pt>
                <c:pt idx="64">
                  <c:v>93.0168494630398</c:v>
                </c:pt>
                <c:pt idx="65">
                  <c:v>98.7159276065051</c:v>
                </c:pt>
                <c:pt idx="66">
                  <c:v>104.553542805261</c:v>
                </c:pt>
                <c:pt idx="67">
                  <c:v>100.058709945279</c:v>
                </c:pt>
                <c:pt idx="68">
                  <c:v>102.821479565154</c:v>
                </c:pt>
                <c:pt idx="69">
                  <c:v>115.142093520798</c:v>
                </c:pt>
                <c:pt idx="70">
                  <c:v>118.782155939203</c:v>
                </c:pt>
                <c:pt idx="71">
                  <c:v>110.749314064679</c:v>
                </c:pt>
                <c:pt idx="72">
                  <c:v>121.152505767637</c:v>
                </c:pt>
                <c:pt idx="73">
                  <c:v>139.608953714427</c:v>
                </c:pt>
                <c:pt idx="74">
                  <c:v>176.239748252714</c:v>
                </c:pt>
                <c:pt idx="75">
                  <c:v>163.908626908677</c:v>
                </c:pt>
                <c:pt idx="76">
                  <c:v>180.798182734166</c:v>
                </c:pt>
                <c:pt idx="77">
                  <c:v>196.651038176131</c:v>
                </c:pt>
                <c:pt idx="78">
                  <c:v>194.078855822237</c:v>
                </c:pt>
                <c:pt idx="79">
                  <c:v>170.520151546813</c:v>
                </c:pt>
                <c:pt idx="80">
                  <c:v>162.639452532425</c:v>
                </c:pt>
                <c:pt idx="81">
                  <c:v>162.792023041966</c:v>
                </c:pt>
                <c:pt idx="82">
                  <c:v>152.957689096408</c:v>
                </c:pt>
                <c:pt idx="83">
                  <c:v>136.831840866575</c:v>
                </c:pt>
                <c:pt idx="84">
                  <c:v>131.673077461679</c:v>
                </c:pt>
                <c:pt idx="85">
                  <c:v>134.165534610468</c:v>
                </c:pt>
                <c:pt idx="86">
                  <c:v>131.182157752238</c:v>
                </c:pt>
                <c:pt idx="87">
                  <c:v>131.999410338578</c:v>
                </c:pt>
                <c:pt idx="88">
                  <c:v>121.183084728945</c:v>
                </c:pt>
                <c:pt idx="89">
                  <c:v>115.309734885385</c:v>
                </c:pt>
                <c:pt idx="90">
                  <c:v>119.020388569107</c:v>
                </c:pt>
                <c:pt idx="91">
                  <c:v>134.40412395279</c:v>
                </c:pt>
                <c:pt idx="92">
                  <c:v>147.276381824694</c:v>
                </c:pt>
                <c:pt idx="93">
                  <c:v>150.476076507417</c:v>
                </c:pt>
                <c:pt idx="94">
                  <c:v>137.758308963523</c:v>
                </c:pt>
                <c:pt idx="95">
                  <c:v>124.847358254556</c:v>
                </c:pt>
                <c:pt idx="96">
                  <c:v>122.714223736675</c:v>
                </c:pt>
                <c:pt idx="97">
                  <c:v>130.276036901396</c:v>
                </c:pt>
                <c:pt idx="98">
                  <c:v>132.726473888363</c:v>
                </c:pt>
                <c:pt idx="99">
                  <c:v>140.616811593818</c:v>
                </c:pt>
                <c:pt idx="100">
                  <c:v>129.34714451981</c:v>
                </c:pt>
                <c:pt idx="101">
                  <c:v>127.904327411887</c:v>
                </c:pt>
                <c:pt idx="102">
                  <c:v>129.313709873318</c:v>
                </c:pt>
                <c:pt idx="103">
                  <c:v>125.463053937865</c:v>
                </c:pt>
                <c:pt idx="104">
                  <c:v>113.860377276091</c:v>
                </c:pt>
                <c:pt idx="105">
                  <c:v>114.460042493174</c:v>
                </c:pt>
                <c:pt idx="106">
                  <c:v>116.188312628277</c:v>
                </c:pt>
                <c:pt idx="107">
                  <c:v>115.302538988002</c:v>
                </c:pt>
                <c:pt idx="108">
                  <c:v>124.619878289215</c:v>
                </c:pt>
                <c:pt idx="109">
                  <c:v>118.274352961283</c:v>
                </c:pt>
                <c:pt idx="110">
                  <c:v>111.153811433927</c:v>
                </c:pt>
                <c:pt idx="111">
                  <c:v>101.531998956475</c:v>
                </c:pt>
                <c:pt idx="112">
                  <c:v>96.2674933373812</c:v>
                </c:pt>
                <c:pt idx="113">
                  <c:v>100.989173285112</c:v>
                </c:pt>
                <c:pt idx="114">
                  <c:v>105.489991243571</c:v>
                </c:pt>
                <c:pt idx="115">
                  <c:v>102.286507947966</c:v>
                </c:pt>
                <c:pt idx="116">
                  <c:v>99.3703172286009</c:v>
                </c:pt>
                <c:pt idx="117">
                  <c:v>97.4745926723983</c:v>
                </c:pt>
                <c:pt idx="118">
                  <c:v>96.5290098612676</c:v>
                </c:pt>
                <c:pt idx="119">
                  <c:v>93.1636872159133</c:v>
                </c:pt>
                <c:pt idx="120">
                  <c:v>93.4765009013305</c:v>
                </c:pt>
              </c:numCache>
            </c:numRef>
          </c:val>
          <c:smooth val="0"/>
        </c:ser>
        <c:hiLowLines>
          <c:spPr>
            <a:ln w="0">
              <a:noFill/>
            </a:ln>
          </c:spPr>
        </c:hiLowLines>
        <c:marker val="0"/>
        <c:axId val="46757399"/>
        <c:axId val="22189173"/>
      </c:lineChart>
      <c:dateAx>
        <c:axId val="46757399"/>
        <c:scaling>
          <c:orientation val="minMax"/>
          <c:max val="46023"/>
          <c:min val="43466"/>
        </c:scaling>
        <c:delete val="0"/>
        <c:axPos val="b"/>
        <c:numFmt formatCode="mmm\-yy" sourceLinked="0"/>
        <c:majorTickMark val="out"/>
        <c:minorTickMark val="none"/>
        <c:tickLblPos val="nextTo"/>
        <c:spPr>
          <a:ln w="3240">
            <a:solidFill>
              <a:srgbClr val="000000"/>
            </a:solidFill>
            <a:round/>
          </a:ln>
        </c:spPr>
        <c:txPr>
          <a:bodyPr rot="-5400000"/>
          <a:lstStyle/>
          <a:p>
            <a:pPr>
              <a:defRPr b="0" sz="1000" strike="noStrike" u="none">
                <a:solidFill>
                  <a:srgbClr val="000000"/>
                </a:solidFill>
                <a:uFillTx/>
                <a:latin typeface="Arial"/>
                <a:ea typeface="Arial"/>
              </a:defRPr>
            </a:pPr>
          </a:p>
        </c:txPr>
        <c:crossAx val="22189173"/>
        <c:crosses val="autoZero"/>
        <c:auto val="1"/>
        <c:lblOffset val="100"/>
        <c:baseTimeUnit val="months"/>
        <c:majorUnit val="3"/>
        <c:majorTimeUnit val="months"/>
        <c:minorUnit val="1"/>
        <c:minorTimeUnit val="months"/>
        <c:noMultiLvlLbl val="0"/>
      </c:dateAx>
      <c:valAx>
        <c:axId val="22189173"/>
        <c:scaling>
          <c:orientation val="minMax"/>
          <c:min val="0"/>
        </c:scaling>
        <c:delete val="0"/>
        <c:axPos val="l"/>
        <c:title>
          <c:tx>
            <c:rich>
              <a:bodyPr rot="-5400000"/>
              <a:lstStyle/>
              <a:p>
                <a:pPr>
                  <a:defRPr b="0" sz="1300" strike="noStrike" u="none">
                    <a:uFillTx/>
                    <a:latin typeface="Arial"/>
                  </a:defRPr>
                </a:pPr>
                <a:r>
                  <a:rPr b="1" lang="en-GB" sz="1000" strike="noStrike" u="none">
                    <a:solidFill>
                      <a:srgbClr val="000000"/>
                    </a:solidFill>
                    <a:uFillTx/>
                    <a:latin typeface="Arial"/>
                    <a:ea typeface="Arial"/>
                  </a:rPr>
                  <a:t>Index 2010 = 100</a:t>
                </a:r>
              </a:p>
            </c:rich>
          </c:tx>
          <c:layout>
            <c:manualLayout>
              <c:xMode val="edge"/>
              <c:yMode val="edge"/>
              <c:x val="0.00784416263563865"/>
              <c:y val="0.381284403669725"/>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b="0" sz="1000" strike="noStrike" u="none">
                <a:solidFill>
                  <a:srgbClr val="000000"/>
                </a:solidFill>
                <a:uFillTx/>
                <a:latin typeface="Arial"/>
                <a:ea typeface="Arial"/>
              </a:defRPr>
            </a:pPr>
          </a:p>
        </c:txPr>
        <c:crossAx val="46757399"/>
        <c:crossesAt val="1241"/>
        <c:crossBetween val="midCat"/>
        <c:majorUnit val="20"/>
      </c:valAx>
      <c:spPr>
        <a:noFill/>
        <a:ln w="2556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Relationship Id="rId3"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0</xdr:row>
      <xdr:rowOff>9360</xdr:rowOff>
    </xdr:from>
    <xdr:to>
      <xdr:col>16</xdr:col>
      <xdr:colOff>275400</xdr:colOff>
      <xdr:row>2</xdr:row>
      <xdr:rowOff>104400</xdr:rowOff>
    </xdr:to>
    <xdr:pic>
      <xdr:nvPicPr>
        <xdr:cNvPr id="0" name="Graphic 35" descr="Accredited Official Statistics logo"/>
        <xdr:cNvPicPr/>
      </xdr:nvPicPr>
      <xdr:blipFill>
        <a:blip r:embed="rId1">
          <a:extLst>
            <a:ext uri="{96DAC541-7B7A-43D3-8B79-37D633B846F1}">
              <asvg:svgBlip xmlns:asvg="http://schemas.microsoft.com/office/drawing/2016/SVG/main" r:embed="rId2"/>
            </a:ext>
          </a:extLst>
        </a:blip>
        <a:stretch/>
      </xdr:blipFill>
      <xdr:spPr>
        <a:xfrm>
          <a:off x="9210600" y="9360"/>
          <a:ext cx="889560" cy="857160"/>
        </a:xfrm>
        <a:prstGeom prst="rect">
          <a:avLst/>
        </a:prstGeom>
        <a:noFill/>
        <a:ln w="0">
          <a:noFill/>
        </a:ln>
      </xdr:spPr>
    </xdr:pic>
    <xdr:clientData/>
  </xdr:twoCellAnchor>
  <xdr:twoCellAnchor editAs="oneCell">
    <xdr:from>
      <xdr:col>11</xdr:col>
      <xdr:colOff>431280</xdr:colOff>
      <xdr:row>0</xdr:row>
      <xdr:rowOff>83880</xdr:rowOff>
    </xdr:from>
    <xdr:to>
      <xdr:col>14</xdr:col>
      <xdr:colOff>562680</xdr:colOff>
      <xdr:row>2</xdr:row>
      <xdr:rowOff>25560</xdr:rowOff>
    </xdr:to>
    <xdr:pic>
      <xdr:nvPicPr>
        <xdr:cNvPr id="1" name="Picture 5" descr=""/>
        <xdr:cNvPicPr/>
      </xdr:nvPicPr>
      <xdr:blipFill>
        <a:blip r:embed="rId3"/>
        <a:stretch/>
      </xdr:blipFill>
      <xdr:spPr>
        <a:xfrm>
          <a:off x="7185600" y="83880"/>
          <a:ext cx="1973880" cy="7038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60</xdr:row>
      <xdr:rowOff>0</xdr:rowOff>
    </xdr:from>
    <xdr:to>
      <xdr:col>8</xdr:col>
      <xdr:colOff>460080</xdr:colOff>
      <xdr:row>60</xdr:row>
      <xdr:rowOff>360</xdr:rowOff>
    </xdr:to>
    <xdr:sp>
      <xdr:nvSpPr>
        <xdr:cNvPr id="2" name="Text Box 1"/>
        <xdr:cNvSpPr/>
      </xdr:nvSpPr>
      <xdr:spPr>
        <a:xfrm>
          <a:off x="0" y="12458880"/>
          <a:ext cx="9319680" cy="360"/>
        </a:xfrm>
        <a:prstGeom prst="rect">
          <a:avLst/>
        </a:prstGeom>
        <a:solidFill>
          <a:srgbClr val="ffffff"/>
        </a:solidFill>
        <a:ln w="9525">
          <a:noFill/>
        </a:ln>
      </xdr:spPr>
      <xdr:style>
        <a:lnRef idx="0"/>
        <a:fillRef idx="0"/>
        <a:effectRef idx="0"/>
        <a:fontRef idx="minor"/>
      </xdr:style>
      <xdr:txBody>
        <a:bodyPr vertOverflow="clip" lIns="27360" rIns="0" tIns="11520" bIns="-11160" anchor="t" upright="1">
          <a:noAutofit/>
        </a:bodyPr>
        <a:p>
          <a:pPr>
            <a:lnSpc>
              <a:spcPct val="100000"/>
            </a:lnSpc>
          </a:pPr>
          <a:r>
            <a:rPr b="0" i="1" lang="en-GB" sz="900" strike="noStrike" u="none">
              <a:solidFill>
                <a:srgbClr val="000000"/>
              </a:solidFill>
              <a:effectLst/>
              <a:uFillTx/>
              <a:latin typeface="Arial"/>
            </a:rPr>
            <a:t>(1) The estimates are generally representative of prices paid (inclusive of taxes) at the pump on or about the 15th of the month. Estimates are based on information provided by oil companies from 1977 until 1994.  From January 1995 data from super/hypermarket chains have been included.</a:t>
          </a:r>
          <a:endParaRPr b="0" lang="en-GB" sz="900" strike="noStrike" u="none">
            <a:effectLst/>
            <a:uFillTx/>
            <a:latin typeface="Times New Roman"/>
          </a:endParaRPr>
        </a:p>
        <a:p>
          <a:pPr>
            <a:lnSpc>
              <a:spcPct val="100000"/>
            </a:lnSpc>
          </a:pPr>
          <a:r>
            <a:rPr b="0" i="1" lang="en-GB" sz="900" strike="noStrike" u="none">
              <a:solidFill>
                <a:srgbClr val="000000"/>
              </a:solidFill>
              <a:effectLst/>
              <a:uFillTx/>
              <a:latin typeface="Arial"/>
            </a:rPr>
            <a:t>(2) Maximum retail prices imposed by Order during the period 15 December 1973 to 20 December 1974.</a:t>
          </a:r>
          <a:endParaRPr b="0" lang="en-GB" sz="900" strike="noStrike" u="none">
            <a:effectLst/>
            <a:uFillTx/>
            <a:latin typeface="Times New Roman"/>
          </a:endParaRPr>
        </a:p>
        <a:p>
          <a:pPr>
            <a:lnSpc>
              <a:spcPct val="100000"/>
            </a:lnSpc>
          </a:pPr>
          <a:r>
            <a:rPr b="0" i="1" lang="en-GB" sz="900" strike="noStrike" u="none">
              <a:solidFill>
                <a:srgbClr val="000000"/>
              </a:solidFill>
              <a:effectLst/>
              <a:uFillTx/>
              <a:latin typeface="Arial"/>
            </a:rPr>
            <a:t>(3) From January 2000  diesel prices represent average prices for Ultra Low Sulphur Diesel which now accounts for virtually all diesel sold. Pump prices for both diesels are broadly the same.</a:t>
          </a:r>
          <a:endParaRPr b="0" lang="en-GB" sz="900" strike="noStrike" u="none">
            <a:effectLst/>
            <a:uFillTx/>
            <a:latin typeface="Times New Roman"/>
          </a:endParaRPr>
        </a:p>
        <a:p>
          <a:pPr>
            <a:lnSpc>
              <a:spcPct val="100000"/>
            </a:lnSpc>
          </a:pPr>
          <a:r>
            <a:rPr b="0" i="1" lang="en-GB" sz="900" strike="noStrike" u="none">
              <a:solidFill>
                <a:srgbClr val="000000"/>
              </a:solidFill>
              <a:effectLst/>
              <a:uFillTx/>
              <a:latin typeface="Arial"/>
            </a:rPr>
            <a:t>(4) Typical prices for deliveries of up to 1,000 litres of standard grade burning oil and between 2,000 and 5,000 litres of gas oil.  Prior to 1977, prices were for deliveries of 900 litres of standard grade burning oil and 2,275 litres of gas oil.  Since January 1995  prices include VAT at a rate of 8% until January 1998 when the applicable rate was reduced to 5%.</a:t>
          </a:r>
          <a:endParaRPr b="0" lang="en-GB" sz="900" strike="noStrike" u="none">
            <a:effectLst/>
            <a:uFillTx/>
            <a:latin typeface="Times New Roman"/>
          </a:endParaRPr>
        </a:p>
        <a:p>
          <a:pPr>
            <a:lnSpc>
              <a:spcPct val="100000"/>
            </a:lnSpc>
          </a:pPr>
          <a:r>
            <a:rPr b="0" i="1" lang="en-GB" sz="900" strike="noStrike" u="none">
              <a:solidFill>
                <a:srgbClr val="000000"/>
              </a:solidFill>
              <a:effectLst/>
              <a:uFillTx/>
              <a:latin typeface="Arial"/>
            </a:rPr>
            <a:t>(5) From October 1999 Four Star prices represent ‘Lead Replacement Petrol’ (LRP) which had replaced Four Star at 95 per cent of outlets at that time.  Leaded petrol has now been  phased out.  Pump prices for both petrols are broadly the same.</a:t>
          </a:r>
          <a:endParaRPr b="0" lang="en-GB" sz="900" strike="noStrike" u="none">
            <a:effectLst/>
            <a:uFillTx/>
            <a:latin typeface="Times New Roman"/>
          </a:endParaRPr>
        </a:p>
        <a:p>
          <a:pPr>
            <a:lnSpc>
              <a:spcPct val="100000"/>
            </a:lnSpc>
          </a:pPr>
          <a:endParaRPr b="0" lang="en-GB" sz="900" strike="noStrike" u="none">
            <a:effectLst/>
            <a:uFillTx/>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104760</xdr:colOff>
      <xdr:row>4</xdr:row>
      <xdr:rowOff>97200</xdr:rowOff>
    </xdr:from>
    <xdr:to>
      <xdr:col>10</xdr:col>
      <xdr:colOff>66240</xdr:colOff>
      <xdr:row>22</xdr:row>
      <xdr:rowOff>135000</xdr:rowOff>
    </xdr:to>
    <xdr:graphicFrame>
      <xdr:nvGraphicFramePr>
        <xdr:cNvPr id="3" name="Chart 1"/>
        <xdr:cNvGraphicFramePr/>
      </xdr:nvGraphicFramePr>
      <xdr:xfrm>
        <a:off x="104760" y="945000"/>
        <a:ext cx="6102000" cy="2952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85680</xdr:colOff>
      <xdr:row>25</xdr:row>
      <xdr:rowOff>85680</xdr:rowOff>
    </xdr:from>
    <xdr:to>
      <xdr:col>9</xdr:col>
      <xdr:colOff>66240</xdr:colOff>
      <xdr:row>43</xdr:row>
      <xdr:rowOff>113760</xdr:rowOff>
    </xdr:to>
    <xdr:graphicFrame>
      <xdr:nvGraphicFramePr>
        <xdr:cNvPr id="4" name="Chart 1"/>
        <xdr:cNvGraphicFramePr/>
      </xdr:nvGraphicFramePr>
      <xdr:xfrm>
        <a:off x="85680" y="4333680"/>
        <a:ext cx="5506920" cy="29430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188640</xdr:colOff>
      <xdr:row>4</xdr:row>
      <xdr:rowOff>123840</xdr:rowOff>
    </xdr:from>
    <xdr:to>
      <xdr:col>19</xdr:col>
      <xdr:colOff>552240</xdr:colOff>
      <xdr:row>22</xdr:row>
      <xdr:rowOff>161640</xdr:rowOff>
    </xdr:to>
    <xdr:graphicFrame>
      <xdr:nvGraphicFramePr>
        <xdr:cNvPr id="5" name="Chart 1"/>
        <xdr:cNvGraphicFramePr/>
      </xdr:nvGraphicFramePr>
      <xdr:xfrm>
        <a:off x="6329160" y="971640"/>
        <a:ext cx="5889960" cy="29523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285840</xdr:colOff>
      <xdr:row>25</xdr:row>
      <xdr:rowOff>104760</xdr:rowOff>
    </xdr:from>
    <xdr:to>
      <xdr:col>19</xdr:col>
      <xdr:colOff>285480</xdr:colOff>
      <xdr:row>43</xdr:row>
      <xdr:rowOff>132840</xdr:rowOff>
    </xdr:to>
    <xdr:graphicFrame>
      <xdr:nvGraphicFramePr>
        <xdr:cNvPr id="6" name="Chart 1"/>
        <xdr:cNvGraphicFramePr/>
      </xdr:nvGraphicFramePr>
      <xdr:xfrm>
        <a:off x="6426360" y="4352760"/>
        <a:ext cx="5526000" cy="29430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123840</xdr:colOff>
      <xdr:row>4</xdr:row>
      <xdr:rowOff>114480</xdr:rowOff>
    </xdr:from>
    <xdr:to>
      <xdr:col>29</xdr:col>
      <xdr:colOff>104400</xdr:colOff>
      <xdr:row>22</xdr:row>
      <xdr:rowOff>142560</xdr:rowOff>
    </xdr:to>
    <xdr:graphicFrame>
      <xdr:nvGraphicFramePr>
        <xdr:cNvPr id="7" name="Chart 1"/>
        <xdr:cNvGraphicFramePr/>
      </xdr:nvGraphicFramePr>
      <xdr:xfrm>
        <a:off x="12404880" y="962280"/>
        <a:ext cx="5506920" cy="2942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A:/epa3d/domestic/Q2%25202004/Q2%25202004%2520electricity%2520customers%2520.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Q3 2000 Comp by Region"/>
      <sheetName val="Tariff by Region"/>
      <sheetName val="Reg var over time"/>
      <sheetName val="Sheet1"/>
      <sheetName val="Customer nos by parent company"/>
      <sheetName val="2TS changes over time"/>
      <sheetName val="Pie Chart cust by pay method q1"/>
      <sheetName val="Pie Chart cust.pay methoq1.04"/>
      <sheetName val="Pie Chart cust.pay methoq2.04"/>
      <sheetName val="Pie Chart cust by pay methoq3"/>
      <sheetName val="Pie Chart cust by pay metho q2"/>
      <sheetName val="Matrix q103"/>
      <sheetName val="Matrix q103 (2)"/>
      <sheetName val="QEP Table"/>
      <sheetName val="1TS and 2TS custs by company"/>
      <sheetName val="Prepayment market."/>
      <sheetName val="Chart1"/>
      <sheetName val="q1 to 3 2003 comparison %"/>
      <sheetName val="q1 to 3 2003 comparison"/>
      <sheetName val="overall co nos"/>
      <sheetName val="Q1 04 Matrix"/>
      <sheetName val="Q1 04 to Q4 03 comp"/>
      <sheetName val="Q204 Matrix"/>
      <sheetName val="overall cm nos Q204"/>
      <sheetName val="Source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ables/table1.xml><?xml version="1.0" encoding="utf-8"?>
<table xmlns="http://schemas.openxmlformats.org/spreadsheetml/2006/main" id="1" name="Typical_retail_prices_of_petroleum_products_1954_to_2020_United_Kingdom" displayName="Typical_retail_prices_of_petroleum_products_1954_to_2020_United_Kingdom" ref="A14:I87" headerRowCount="1" totalsRowCount="0" totalsRowShown="0">
  <autoFilter ref="A14:I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Year"/>
    <tableColumn id="2" name="Month"/>
    <tableColumn id="3" name="Motor spirit:&#10;2 star&#10;(Pence per litre)"/>
    <tableColumn id="4" name="Motor spirit:&#10;4 star/LRP&#10;(Pence per litre)&#10;[Note 1]"/>
    <tableColumn id="5" name="Motor spirit: Super unleaded (Pence per litre)"/>
    <tableColumn id="6" name="Motor spirit: Premium unleaded / ULSP&#10;(Pence per litre)&#10;[Note 2]"/>
    <tableColumn id="7" name="Derv: Diesel / ULSD&#10;(Pence per litre)&#10;[Note 3]"/>
    <tableColumn id="8" name="Standard grade burning oil&#10;(Pence per litre)&#10;[Note 4]"/>
    <tableColumn id="9" name="Gas oil&#10;(Pence per litre)&#10;[Note 4]"/>
  </tableColumns>
</table>
</file>

<file path=xl/tables/table2.xml><?xml version="1.0" encoding="utf-8"?>
<table xmlns="http://schemas.openxmlformats.org/spreadsheetml/2006/main" id="2" name="Typical_retail_prices_of_petroleum_products_and_a_crude_oil_price_index_annual" displayName="Typical_retail_prices_of_petroleum_products_and_a_crude_oil_price_index_annual" ref="A13:L62" headerRowCount="1" totalsRowCount="0" totalsRowShown="0">
  <autoFilter ref="A13:L6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Year"/>
    <tableColumn id="2" name="Motor spirit:&#10;4 star / LRP&#10;(Pence per litre)&#10;[Note 1, 2, 3]"/>
    <tableColumn id="3" name="Motor spirit:&#10;Super unleaded&#10;(Pence per litre)&#10;[Note 1]"/>
    <tableColumn id="4" name="Motor spirit:&#10;Premium unleaded / ULSP&#10;(Pence per litre)&#10;[Note 1, 4]"/>
    <tableColumn id="5" name="Derv: Diesel / ULSD&#10;(Pence per litre)&#10;[Note 1, 5]"/>
    <tableColumn id="6" name="Standard grade burning oil&#10;(Pence per litre)&#10;[Note 1, 6]"/>
    <tableColumn id="7" name="Gas oil&#10;(Pence per litre)&#10;[Note 1, 7]"/>
    <tableColumn id="8" name="Crude oil acquired by refineries &#10;2010 = 100&#10;[Note 8] [r]"/>
    <tableColumn id="9" name="ULSP to ULSD Differential (Pence per litre)"/>
    <tableColumn id="10" name="Historic Indices: Crude oil acquired by refineries&#10;2005 = 100"/>
    <tableColumn id="11" name="Historic Indices: Crude oil acquired by refineries&#10;2000 = 100"/>
    <tableColumn id="12" name="Historic Indices: Crude oil acquired by refineries&#10;1995 = 100"/>
  </tableColumns>
</table>
</file>

<file path=xl/tables/table3.xml><?xml version="1.0" encoding="utf-8"?>
<table xmlns="http://schemas.openxmlformats.org/spreadsheetml/2006/main" id="3" name="Typical_retail_prices_of_petroleum_products_and_a_crude_oil_price_index_monthly" displayName="Typical_retail_prices_of_petroleum_products_and_a_crude_oil_price_index_monthly" ref="A10:N456" headerRowCount="1" totalsRowCount="0" totalsRowShown="0">
  <autoFilter ref="A10:N45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Year"/>
    <tableColumn id="2" name="Month"/>
    <tableColumn id="3" name="Motor spirit:&#10;4 star / LRP&#10;(Pence per litre)&#10;[Note 1]"/>
    <tableColumn id="4" name="Motor spirit: Super unleaded &#10;(Pence per litre)&#10;[Note 1]"/>
    <tableColumn id="5" name="Motor spirit: Premium unleaded / ULSP&#10;(Pence per litre)&#10;[Note 1, 2]"/>
    <tableColumn id="6" name="Derv: Diesel / ULSD&#10;(Pence per litre)&#10;[Note 1, 2]"/>
    <tableColumn id="7" name="Standard grade burning oil&#10;(Pence per litre)&#10;[Note 1]"/>
    <tableColumn id="8" name="Gas oil&#10;(Pence per litre)&#10;[Note 1, 3]"/>
    <tableColumn id="9" name="Crude oil acquired by refineries&#10;2010 = 100&#10;[Note 4]"/>
    <tableColumn id="10" name="ULSP to ULSD Differential (Pence per litre)"/>
    <tableColumn id="11" name="Historic Indices: Crude oil acquired by refineries&#10;2005 = 100"/>
    <tableColumn id="12" name="Historic Indices: Crude oil acquired by refineries&#10;2000 = 100"/>
    <tableColumn id="13" name="Historic Indices: Crude oil acquired by refineries&#10;1995 = 100"/>
    <tableColumn id="14" name="Month / Year"/>
  </tableColumns>
</table>
</file>

<file path=xl/tables/table4.xml><?xml version="1.0" encoding="utf-8"?>
<table xmlns="http://schemas.openxmlformats.org/spreadsheetml/2006/main" id="4" name="Typical_retail_prices_of_petroleum_products_and_a_crude_oil_price_index_quarterly" displayName="Typical_retail_prices_of_petroleum_products_and_a_crude_oil_price_index_quarterly" ref="A10:M158" headerRowCount="1" totalsRowCount="0" totalsRowShown="0">
  <autoFilter ref="A10:M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name="Year"/>
    <tableColumn id="2" name="Quarter"/>
    <tableColumn id="3" name="Motor spirit:&#10;4 star / LRP&#10;(Pence per litre&#10;[Note 1]"/>
    <tableColumn id="4" name="Motor spirit: Super unleaded&#10;(Pence per litre)&#10;[Note 1]"/>
    <tableColumn id="5" name="Motor spirit: Premium unleaded / ULSP&#10;(Pence per litre)&#10;[Note 1, 2]"/>
    <tableColumn id="6" name="Derv: Diesel / ULSD&#10;(Pence per litre)&#10;[Note 1, 2]"/>
    <tableColumn id="7" name="Standard grade burning oil&#10;(Pence per litre)&#10;[Note 1]"/>
    <tableColumn id="8" name="Gas oil&#10;(Pence per litre)&#10;[Note 1, 3]"/>
    <tableColumn id="9" name="Crude oil acquired by refineries &#10;2010 = 100&#10;[Note 4] [r]"/>
    <tableColumn id="10" name="ULSP to ULSD Differential (Pence per litre)"/>
    <tableColumn id="11" name="Historic Indices: Crude oil acquired by refineries&#10;2005 = 100"/>
    <tableColumn id="12" name="Historic Indices: Crude oil acquired by refineries&#10;2000 = 100"/>
    <tableColumn id="13" name="Historic Indices: Crude oil acquired by refineries&#10;1995 = 100"/>
  </tableColumns>
</table>
</file>

<file path=xl/tables/table5.xml><?xml version="1.0" encoding="utf-8"?>
<table xmlns="http://schemas.openxmlformats.org/spreadsheetml/2006/main" id="5" name="Typical_retail_prices_of_petroleum_products_excluding_VAT_and_duty" displayName="Typical_retail_prices_of_petroleum_products_excluding_VAT_and_duty" ref="A6:W440" headerRowCount="1" totalsRowCount="0" totalsRowShown="0">
  <autoFilter ref="A6:W4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Year"/>
    <tableColumn id="2" name="Month"/>
    <tableColumn id="3" name="VAT or duty change note "/>
    <tableColumn id="4" name="4 Star/LRP: Ex VAT&#10;(Monthly)&#10;(Pence per litre)"/>
    <tableColumn id="5" name="4 Star/LRP:&#10;Ex VAT &amp; Duty&#10;(Monthly)&#10;(Pence per litre)"/>
    <tableColumn id="6" name="4 Star/LRP:&#10;Ex VAT &amp; Duty&#10;(Quarterly Average)&#10;(Pence per litre)"/>
    <tableColumn id="7" name="Derv (Diesel / ULSD): Diesel / ULSD Ex VAT&#10;(Monthly)&#10;(Pence per litre)"/>
    <tableColumn id="8" name="Derv (Diesel / ULSD): Ex VAT &amp; Duty&#10;(Monthly)&#10;(Pence per litre)"/>
    <tableColumn id="9" name="Derv (Diesel / ULSD): Ex VAT &amp; Duty&#10;(Quarterly Average)&#10;(Pence per litre)"/>
    <tableColumn id="10" name="ULSP (Premium Unleaded): Ex VAT&#10;(Monthly)&#10;(Pence per litre)"/>
    <tableColumn id="11" name="ULSP (Premium Unleaded): Ex VAT &amp; Duty&#10;(Monthly)&#10;(Pence per litre)"/>
    <tableColumn id="12" name="ULSP (Premium Unleaded): Ex VAT &amp; Duty&#10;(Quarterly Average)&#10;(Pence per litre)"/>
    <tableColumn id="13" name="Standard grade burning oil (kerosene): Ex VAT&#10;(Monthly)&#10;(Pence per litre)"/>
    <tableColumn id="14" name="Standard grade burning oil (kerosene): Ex VAT &amp; Duty &#10;(Monthly)&#10;(Pence per litre)"/>
    <tableColumn id="15" name="Standard grade burning oil (kerosene): Ex VAT &amp; Duty &#10;(Quarterly Average)&#10;(Pence per litre)"/>
    <tableColumn id="16" name="Gas oil: Ex VAT &#10;(Monthly)&#10;(Pence per litre)"/>
    <tableColumn id="17" name="Gas oil: Ex VAT &amp; Duty&#10;(Monthly)&#10;(Pence per litre)"/>
    <tableColumn id="18" name="Gas oil: Ex VAT &amp; Duty&#10;(Quarterly Average)&#10;(Pence per litre)"/>
    <tableColumn id="19" name="ULSP to ULSD Differential (Pence per litre)"/>
    <tableColumn id="20" name="Annual Average Derv: Ex VAT&#10;(Pence per litre)"/>
    <tableColumn id="21" name="Annual Average Derv: Ex VAT &amp; Duty&#10;(Pence per litre)"/>
    <tableColumn id="22" name="Annual Average ULSP: Ex VAT&#10;(Pence per litre)"/>
    <tableColumn id="23" name="Annual Average ULSP: Ex VAT &amp; Duty&#10;(Pence per litr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quarterly-energy-prices" TargetMode="External"/><Relationship Id="rId2" Type="http://schemas.openxmlformats.org/officeDocument/2006/relationships/hyperlink" Target="https://www.gov.uk/government/statistical-data-sets/oil-and-petroleum-products-monthly-statistics" TargetMode="External"/><Relationship Id="rId3" Type="http://schemas.openxmlformats.org/officeDocument/2006/relationships/hyperlink" Target="https://www.gov.uk/government/publications/road-fuel-price-statistics-data-sources-and-methodologies" TargetMode="External"/><Relationship Id="rId4" Type="http://schemas.openxmlformats.org/officeDocument/2006/relationships/hyperlink" Target="https://www.gov.uk/government/publications/desnz-standards-for-official-statistics" TargetMode="External"/><Relationship Id="rId5" Type="http://schemas.openxmlformats.org/officeDocument/2006/relationships/hyperlink" Target="https://www.gov.uk/government/uploads/system/uploads/attachment_data/file/338757/Annex_B.pdf" TargetMode="External"/><Relationship Id="rId6" Type="http://schemas.openxmlformats.org/officeDocument/2006/relationships/hyperlink" Target="mailto:energyprices.stats@energysecurity.gov.uk" TargetMode="External"/><Relationship Id="rId7" Type="http://schemas.openxmlformats.org/officeDocument/2006/relationships/hyperlink" Target="mailto:newsdesk@energysecurity.gov.uk" TargetMode="External"/><Relationship Id="rId8"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hyperlink" Target="http://www.ons.gov.uk/economy/inflationandpriceindices/bulletins/producerpriceinflation/previousReleases" TargetMode="External"/><Relationship Id="rId2" Type="http://schemas.openxmlformats.org/officeDocument/2006/relationships/hyperlink" Target="http://www.ons.gov.uk/economy/nationalaccounts/balanceofpayments/articles/asymmetriesintradedataaukperspective/2017-07-1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97D"/>
    <pageSetUpPr fitToPage="true"/>
  </sheetPr>
  <dimension ref="A1:Y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2.75" customHeight="true" zeroHeight="false" outlineLevelRow="0" outlineLevelCol="0"/>
  <sheetData>
    <row r="1" customFormat="false" ht="36" hidden="false" customHeight="true" outlineLevel="0" collapsed="false">
      <c r="A1" s="1" t="s">
        <v>0</v>
      </c>
      <c r="B1" s="2"/>
      <c r="C1" s="2"/>
      <c r="D1" s="2"/>
      <c r="E1" s="2"/>
      <c r="F1" s="2"/>
      <c r="G1" s="2"/>
      <c r="H1" s="2"/>
      <c r="I1" s="2"/>
      <c r="J1" s="2"/>
      <c r="K1" s="2"/>
      <c r="M1" s="3"/>
      <c r="N1" s="3"/>
      <c r="O1" s="3"/>
      <c r="P1" s="4"/>
      <c r="Q1" s="4"/>
      <c r="R1" s="4"/>
      <c r="S1" s="4"/>
      <c r="T1" s="4"/>
      <c r="U1" s="4"/>
      <c r="V1" s="4"/>
      <c r="W1" s="4"/>
      <c r="X1" s="4"/>
      <c r="Y1" s="4"/>
    </row>
    <row r="2" customFormat="false" ht="24" hidden="false" customHeight="true" outlineLevel="0" collapsed="false">
      <c r="A2" s="5" t="s">
        <v>1</v>
      </c>
      <c r="B2" s="2"/>
      <c r="C2" s="2"/>
      <c r="D2" s="2"/>
      <c r="E2" s="2"/>
      <c r="F2" s="2"/>
      <c r="G2" s="2"/>
      <c r="H2" s="2"/>
      <c r="I2" s="2"/>
      <c r="J2" s="2"/>
      <c r="K2" s="2"/>
      <c r="L2" s="2"/>
      <c r="M2" s="4"/>
      <c r="N2" s="4"/>
      <c r="O2" s="4"/>
      <c r="P2" s="4"/>
      <c r="Q2" s="4"/>
      <c r="R2" s="4"/>
      <c r="S2" s="4"/>
      <c r="T2" s="4"/>
      <c r="U2" s="4"/>
      <c r="V2" s="4"/>
      <c r="W2" s="4"/>
      <c r="X2" s="4"/>
      <c r="Y2" s="4"/>
    </row>
    <row r="3" s="4" customFormat="true" ht="18" hidden="false" customHeight="true" outlineLevel="0" collapsed="false">
      <c r="A3" s="6" t="s">
        <v>2</v>
      </c>
      <c r="B3" s="7"/>
      <c r="C3" s="7"/>
      <c r="D3" s="8"/>
      <c r="E3" s="9"/>
      <c r="F3" s="9"/>
      <c r="G3" s="9"/>
      <c r="H3" s="9"/>
      <c r="I3" s="9"/>
      <c r="J3" s="9"/>
      <c r="K3" s="9"/>
      <c r="L3" s="9"/>
      <c r="M3" s="10"/>
    </row>
    <row r="4" s="4" customFormat="true" ht="18" hidden="false" customHeight="true" outlineLevel="0" collapsed="false">
      <c r="A4" s="6" t="s">
        <v>3</v>
      </c>
      <c r="B4" s="7"/>
      <c r="C4" s="7"/>
      <c r="D4" s="9"/>
      <c r="E4" s="9"/>
      <c r="F4" s="9"/>
      <c r="G4" s="9"/>
      <c r="H4" s="9"/>
      <c r="I4" s="9"/>
      <c r="J4" s="9"/>
      <c r="K4" s="9"/>
      <c r="L4" s="9"/>
      <c r="M4" s="10"/>
    </row>
    <row r="5" s="4" customFormat="true" ht="18" hidden="false" customHeight="true" outlineLevel="0" collapsed="false">
      <c r="A5" s="11" t="s">
        <v>4</v>
      </c>
      <c r="B5" s="7"/>
      <c r="C5" s="7"/>
      <c r="D5" s="8"/>
      <c r="E5" s="9"/>
      <c r="F5" s="9"/>
      <c r="G5" s="9"/>
      <c r="H5" s="9"/>
      <c r="I5" s="9"/>
      <c r="J5" s="9"/>
      <c r="K5" s="9"/>
      <c r="L5" s="9"/>
      <c r="M5" s="10"/>
    </row>
    <row r="6" customFormat="false" ht="36" hidden="false" customHeight="true" outlineLevel="0" collapsed="false">
      <c r="A6" s="12" t="s">
        <v>5</v>
      </c>
      <c r="B6" s="9"/>
      <c r="C6" s="9"/>
      <c r="D6" s="9"/>
      <c r="E6" s="9"/>
      <c r="F6" s="9"/>
      <c r="G6" s="9"/>
      <c r="H6" s="9"/>
      <c r="I6" s="9"/>
      <c r="J6" s="9"/>
      <c r="K6" s="9"/>
      <c r="L6" s="9"/>
      <c r="M6" s="10"/>
    </row>
    <row r="7" s="14" customFormat="true" ht="15.75" hidden="false" customHeight="true" outlineLevel="0" collapsed="false">
      <c r="A7" s="13" t="s">
        <v>6</v>
      </c>
      <c r="B7" s="13"/>
      <c r="C7" s="13"/>
      <c r="D7" s="13"/>
      <c r="E7" s="13"/>
      <c r="F7" s="13"/>
      <c r="G7" s="13"/>
      <c r="H7" s="13"/>
      <c r="I7" s="13"/>
      <c r="J7" s="13"/>
      <c r="K7" s="13"/>
      <c r="L7" s="13"/>
      <c r="M7" s="13"/>
    </row>
    <row r="8" s="14" customFormat="true" ht="15.75" hidden="false" customHeight="true" outlineLevel="0" collapsed="false">
      <c r="A8" s="13" t="s">
        <v>7</v>
      </c>
      <c r="B8" s="13"/>
      <c r="C8" s="13"/>
      <c r="D8" s="13"/>
      <c r="E8" s="13"/>
      <c r="F8" s="13"/>
      <c r="G8" s="13"/>
      <c r="H8" s="13"/>
      <c r="I8" s="13"/>
      <c r="J8" s="13"/>
      <c r="K8" s="13"/>
      <c r="L8" s="13"/>
      <c r="M8" s="13"/>
    </row>
    <row r="9" s="14" customFormat="true" ht="15.75" hidden="false" customHeight="true" outlineLevel="0" collapsed="false">
      <c r="A9" s="13" t="s">
        <v>8</v>
      </c>
      <c r="B9" s="13"/>
      <c r="C9" s="13"/>
      <c r="D9" s="13"/>
      <c r="E9" s="13"/>
      <c r="F9" s="13"/>
      <c r="G9" s="13"/>
      <c r="H9" s="13"/>
      <c r="I9" s="13"/>
      <c r="J9" s="13"/>
      <c r="K9" s="13"/>
      <c r="L9" s="13"/>
      <c r="M9" s="13"/>
    </row>
    <row r="10" s="6" customFormat="true" ht="15.75" hidden="false" customHeight="true" outlineLevel="0" collapsed="false">
      <c r="A10" s="6" t="s">
        <v>9</v>
      </c>
    </row>
    <row r="11" s="6" customFormat="true" ht="15.75" hidden="false" customHeight="true" outlineLevel="0" collapsed="false">
      <c r="A11" s="6" t="s">
        <v>10</v>
      </c>
    </row>
    <row r="12" s="6" customFormat="true" ht="15.75" hidden="false" customHeight="true" outlineLevel="0" collapsed="false">
      <c r="A12" s="6" t="s">
        <v>11</v>
      </c>
    </row>
    <row r="13" s="6" customFormat="true" ht="15.75" hidden="false" customHeight="true" outlineLevel="0" collapsed="false">
      <c r="A13" s="6" t="s">
        <v>12</v>
      </c>
    </row>
    <row r="14" customFormat="false" ht="36" hidden="false" customHeight="true" outlineLevel="0" collapsed="false">
      <c r="A14" s="12" t="s">
        <v>13</v>
      </c>
      <c r="B14" s="9"/>
      <c r="C14" s="9"/>
      <c r="D14" s="9"/>
      <c r="E14" s="9"/>
      <c r="F14" s="9"/>
      <c r="G14" s="9"/>
      <c r="H14" s="9"/>
      <c r="I14" s="9"/>
      <c r="J14" s="9"/>
      <c r="K14" s="9"/>
      <c r="L14" s="9"/>
      <c r="M14" s="10"/>
    </row>
    <row r="15" customFormat="false" ht="15.75" hidden="false" customHeight="true" outlineLevel="0" collapsed="false">
      <c r="A15" s="15" t="s">
        <v>14</v>
      </c>
      <c r="B15" s="9"/>
      <c r="C15" s="9"/>
      <c r="D15" s="9"/>
      <c r="E15" s="9"/>
      <c r="F15" s="9"/>
      <c r="G15" s="9"/>
      <c r="H15" s="9"/>
      <c r="I15" s="9"/>
      <c r="J15" s="10"/>
    </row>
    <row r="16" customFormat="false" ht="15.75" hidden="false" customHeight="true" outlineLevel="0" collapsed="false">
      <c r="A16" s="15" t="s">
        <v>15</v>
      </c>
      <c r="B16" s="9"/>
      <c r="C16" s="9"/>
      <c r="D16" s="9"/>
      <c r="E16" s="9"/>
      <c r="F16" s="9"/>
      <c r="G16" s="9"/>
      <c r="H16" s="9"/>
      <c r="I16" s="9"/>
      <c r="J16" s="10"/>
    </row>
    <row r="17" customFormat="false" ht="15.75" hidden="false" customHeight="true" outlineLevel="0" collapsed="false">
      <c r="A17" s="15" t="s">
        <v>16</v>
      </c>
      <c r="B17" s="9"/>
      <c r="C17" s="9"/>
      <c r="D17" s="9"/>
      <c r="E17" s="9"/>
      <c r="F17" s="9"/>
      <c r="G17" s="9"/>
      <c r="H17" s="9"/>
      <c r="I17" s="9"/>
      <c r="J17" s="10"/>
    </row>
    <row r="18" customFormat="false" ht="15.75" hidden="false" customHeight="true" outlineLevel="0" collapsed="false">
      <c r="A18" s="15" t="s">
        <v>17</v>
      </c>
      <c r="B18" s="9"/>
      <c r="C18" s="9"/>
      <c r="D18" s="9"/>
      <c r="E18" s="9"/>
      <c r="F18" s="9"/>
      <c r="G18" s="9"/>
      <c r="H18" s="9"/>
      <c r="I18" s="9"/>
      <c r="J18" s="10"/>
    </row>
    <row r="19" customFormat="false" ht="15.75" hidden="false" customHeight="true" outlineLevel="0" collapsed="false">
      <c r="A19" s="16" t="s">
        <v>18</v>
      </c>
      <c r="B19" s="17"/>
      <c r="C19" s="17"/>
      <c r="D19" s="17"/>
    </row>
    <row r="20" customFormat="false" ht="36" hidden="false" customHeight="true" outlineLevel="0" collapsed="false">
      <c r="A20" s="12" t="s">
        <v>19</v>
      </c>
      <c r="B20" s="9"/>
      <c r="C20" s="9"/>
      <c r="D20" s="18"/>
      <c r="E20" s="9"/>
      <c r="F20" s="9"/>
      <c r="G20" s="9"/>
      <c r="H20" s="9"/>
      <c r="I20" s="9"/>
      <c r="J20" s="9"/>
      <c r="K20" s="9"/>
      <c r="L20" s="9"/>
      <c r="M20" s="10"/>
    </row>
    <row r="21" customFormat="false" ht="15.75" hidden="false" customHeight="true" outlineLevel="0" collapsed="false">
      <c r="A21" s="19" t="s">
        <v>20</v>
      </c>
    </row>
    <row r="22" customFormat="false" ht="15.75" hidden="false" customHeight="true" outlineLevel="0" collapsed="false">
      <c r="A22" s="19" t="s">
        <v>21</v>
      </c>
    </row>
    <row r="23" customFormat="false" ht="15.75" hidden="false" customHeight="true" outlineLevel="0" collapsed="false">
      <c r="A23" s="20" t="s">
        <v>22</v>
      </c>
    </row>
    <row r="24" customFormat="false" ht="36" hidden="false" customHeight="true" outlineLevel="0" collapsed="false">
      <c r="A24" s="14" t="s">
        <v>23</v>
      </c>
    </row>
    <row r="25" customFormat="false" ht="15.75" hidden="false" customHeight="true" outlineLevel="0" collapsed="false">
      <c r="A25" s="19" t="s">
        <v>24</v>
      </c>
    </row>
    <row r="26" customFormat="false" ht="15.75" hidden="false" customHeight="true" outlineLevel="0" collapsed="false">
      <c r="A26" s="20" t="s">
        <v>25</v>
      </c>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sheetData>
  <hyperlinks>
    <hyperlink ref="A15" r:id="rId1" display="Quarterly Energy Prices Publication (opens in a new window)"/>
    <hyperlink ref="A16" r:id="rId2" display="Monthly and annual prices of road fuels and petroleum products website (opens in a new window)"/>
    <hyperlink ref="A17" r:id="rId3" display="Road fuel price statistics data sources and methodologies (opens in a new window)"/>
    <hyperlink ref="A18" r:id="rId4" display="Revision policy and standards for official statistics (opens in a new window)"/>
    <hyperlink ref="A19" r:id="rId5" display="Digest of United Kingdom Energy Statistics (DUKES): glossary and acronyms (opens in a new window)"/>
    <hyperlink ref="A23" r:id="rId6" display="energyprices.stats@energysecurity.gov.uk "/>
    <hyperlink ref="A26" r:id="rId7" display="newsdesk@energysecurity.gov.uk "/>
  </hyperlinks>
  <printOptions headings="false" gridLines="false" gridLinesSet="true" horizontalCentered="false" verticalCentered="false"/>
  <pageMargins left="0" right="0" top="0.747916666666667" bottom="0.74791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97D"/>
    <pageSetUpPr fitToPage="false"/>
  </sheetPr>
  <dimension ref="A1:M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2.75" customHeight="true" zeroHeight="false" outlineLevelRow="0" outlineLevelCol="0"/>
  <sheetData>
    <row r="1" customFormat="false" ht="18" hidden="false" customHeight="true" outlineLevel="0" collapsed="false">
      <c r="A1" s="21" t="s">
        <v>26</v>
      </c>
      <c r="B1" s="7"/>
      <c r="C1" s="7"/>
      <c r="D1" s="18"/>
      <c r="E1" s="9"/>
      <c r="F1" s="9"/>
      <c r="G1" s="9"/>
      <c r="H1" s="9"/>
      <c r="I1" s="9"/>
      <c r="J1" s="9"/>
      <c r="K1" s="9"/>
      <c r="L1" s="9"/>
      <c r="M1" s="10"/>
    </row>
    <row r="2" customFormat="false" ht="18" hidden="false" customHeight="true" outlineLevel="0" collapsed="false">
      <c r="A2" s="9" t="s">
        <v>27</v>
      </c>
      <c r="B2" s="9"/>
      <c r="C2" s="9"/>
      <c r="E2" s="9"/>
      <c r="F2" s="9"/>
      <c r="G2" s="9"/>
      <c r="H2" s="9"/>
      <c r="I2" s="9"/>
      <c r="J2" s="9"/>
      <c r="K2" s="9"/>
      <c r="L2" s="9"/>
      <c r="M2" s="10"/>
    </row>
    <row r="3" customFormat="false" ht="18" hidden="false" customHeight="true" outlineLevel="0" collapsed="false">
      <c r="A3" s="22" t="s">
        <v>28</v>
      </c>
      <c r="B3" s="9"/>
      <c r="C3" s="9"/>
      <c r="D3" s="22"/>
      <c r="E3" s="9"/>
      <c r="F3" s="9"/>
      <c r="G3" s="9"/>
      <c r="H3" s="9"/>
      <c r="I3" s="9"/>
      <c r="J3" s="9"/>
      <c r="K3" s="9"/>
      <c r="L3" s="9"/>
      <c r="M3" s="10"/>
    </row>
    <row r="4" customFormat="false" ht="18" hidden="false" customHeight="true" outlineLevel="0" collapsed="false">
      <c r="A4" s="22" t="s">
        <v>29</v>
      </c>
      <c r="B4" s="9"/>
      <c r="C4" s="9"/>
      <c r="D4" s="22"/>
      <c r="E4" s="9"/>
      <c r="F4" s="9"/>
      <c r="G4" s="9"/>
      <c r="H4" s="9"/>
      <c r="I4" s="9"/>
      <c r="J4" s="9"/>
      <c r="K4" s="9"/>
      <c r="L4" s="9"/>
      <c r="M4" s="10"/>
    </row>
    <row r="5" customFormat="false" ht="18" hidden="false" customHeight="true" outlineLevel="0" collapsed="false">
      <c r="A5" s="22" t="s">
        <v>30</v>
      </c>
      <c r="B5" s="9"/>
      <c r="C5" s="9"/>
      <c r="E5" s="9"/>
      <c r="F5" s="9"/>
      <c r="G5" s="9"/>
      <c r="H5" s="9"/>
      <c r="I5" s="9"/>
      <c r="J5" s="9"/>
      <c r="K5" s="9"/>
      <c r="L5" s="9"/>
      <c r="M5" s="10"/>
    </row>
    <row r="6" customFormat="false" ht="18" hidden="false" customHeight="true" outlineLevel="0" collapsed="false">
      <c r="A6" s="22" t="s">
        <v>31</v>
      </c>
      <c r="B6" s="9"/>
      <c r="C6" s="9"/>
      <c r="E6" s="9"/>
      <c r="F6" s="9"/>
      <c r="G6" s="9"/>
      <c r="H6" s="9"/>
      <c r="I6" s="9"/>
      <c r="J6" s="9"/>
      <c r="K6" s="9"/>
      <c r="L6" s="9"/>
      <c r="M6" s="10"/>
    </row>
    <row r="7" customFormat="false" ht="18" hidden="false" customHeight="true" outlineLevel="0" collapsed="false">
      <c r="A7" s="22" t="s">
        <v>32</v>
      </c>
      <c r="B7" s="9"/>
      <c r="C7" s="9"/>
      <c r="E7" s="9"/>
      <c r="F7" s="9"/>
      <c r="G7" s="9"/>
      <c r="H7" s="9"/>
      <c r="I7" s="9"/>
      <c r="J7" s="9"/>
      <c r="K7" s="9"/>
      <c r="L7" s="9"/>
      <c r="M7" s="10"/>
    </row>
    <row r="8" customFormat="false" ht="18" hidden="false" customHeight="true" outlineLevel="0" collapsed="false">
      <c r="A8" s="9" t="s">
        <v>33</v>
      </c>
      <c r="B8" s="9"/>
      <c r="C8" s="9"/>
      <c r="E8" s="9"/>
      <c r="F8" s="9"/>
      <c r="G8" s="9"/>
      <c r="H8" s="9"/>
      <c r="I8" s="9"/>
      <c r="J8" s="9"/>
      <c r="K8" s="9"/>
      <c r="L8" s="9"/>
      <c r="M8" s="10"/>
    </row>
    <row r="9" customFormat="false" ht="18" hidden="false" customHeight="true" outlineLevel="0" collapsed="false">
      <c r="A9" s="22" t="s">
        <v>33</v>
      </c>
    </row>
    <row r="10" customFormat="false" ht="18" hidden="false" customHeight="true" outlineLevel="0" collapsed="false">
      <c r="A10" s="9" t="s">
        <v>34</v>
      </c>
      <c r="B10" s="9"/>
      <c r="C10" s="9"/>
      <c r="E10" s="9"/>
      <c r="F10" s="9"/>
      <c r="G10" s="9"/>
      <c r="H10" s="9"/>
      <c r="I10" s="9"/>
      <c r="J10" s="9"/>
      <c r="K10" s="9"/>
      <c r="L10" s="9"/>
      <c r="M10" s="10"/>
    </row>
    <row r="11" customFormat="false" ht="18" hidden="false" customHeight="true" outlineLevel="0" collapsed="false">
      <c r="A11" s="22" t="s">
        <v>35</v>
      </c>
      <c r="B11" s="9"/>
      <c r="C11" s="9"/>
      <c r="D11" s="22"/>
      <c r="E11" s="9"/>
      <c r="F11" s="9"/>
      <c r="G11" s="9"/>
      <c r="H11" s="9"/>
      <c r="I11" s="9"/>
      <c r="J11" s="9"/>
      <c r="K11" s="9"/>
      <c r="L11" s="9"/>
      <c r="M11" s="10"/>
    </row>
  </sheetData>
  <hyperlinks>
    <hyperlink ref="A3" location="'4.1.1'!A1" display="Table 4.1.1: Monthly retail prices of petroleum products and a crude oil price index"/>
    <hyperlink ref="A4" location="'4.1.1 (Quarterly)'!A1" display="Table 4.1.1: Typical retail prices of petroleum products and a crude oil price index (quarterly)"/>
    <hyperlink ref="A5" location="'4.1.2'!A1" display="Table 4.1.2: Annual retail prices of petroleum products and a crude oil price index"/>
    <hyperlink ref="A6" location="'4.1.2 (excl VAT)'!A1" display="Table 4.1.2: Typical retail prices of petroleum products excluding VAT and duty"/>
    <hyperlink ref="A7" location="'4.1.3'!A1" display="Table 4.1.3: Typical January retail prices of petroleum products and a crude oil price index"/>
    <hyperlink ref="A9" location="Charts!A1" display="Charts"/>
    <hyperlink ref="A11" location="Methodology!A1" display="Methodology note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F81BD"/>
    <pageSetUpPr fitToPage="false"/>
  </sheetPr>
  <dimension ref="A1:N4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300" activePane="bottomLeft" state="frozen"/>
      <selection pane="topLeft" activeCell="A1" activeCellId="0" sqref="A1"/>
      <selection pane="bottomLeft" activeCell="A1" activeCellId="0" sqref="A1"/>
    </sheetView>
  </sheetViews>
  <sheetFormatPr defaultColWidth="15.00390625" defaultRowHeight="12.75" customHeight="true" zeroHeight="false" outlineLevelRow="0" outlineLevelCol="0"/>
  <cols>
    <col collapsed="false" customWidth="true" hidden="false" outlineLevel="0" max="14" min="1" style="0" width="15.57"/>
  </cols>
  <sheetData>
    <row r="1" customFormat="false" ht="18" hidden="false" customHeight="true" outlineLevel="0" collapsed="false">
      <c r="A1" s="23" t="s">
        <v>36</v>
      </c>
      <c r="B1" s="23"/>
      <c r="C1" s="23"/>
      <c r="D1" s="23"/>
      <c r="E1" s="23"/>
      <c r="F1" s="23"/>
      <c r="G1" s="23"/>
      <c r="H1" s="23"/>
      <c r="I1" s="23"/>
      <c r="J1" s="24"/>
      <c r="K1" s="25"/>
      <c r="L1" s="25"/>
      <c r="M1" s="25"/>
      <c r="N1" s="25"/>
    </row>
    <row r="2" customFormat="false" ht="18" hidden="false" customHeight="true" outlineLevel="0" collapsed="false">
      <c r="A2" s="9" t="s">
        <v>37</v>
      </c>
      <c r="B2" s="23"/>
      <c r="C2" s="23"/>
      <c r="D2" s="23"/>
      <c r="E2" s="23"/>
      <c r="F2" s="23"/>
      <c r="G2" s="23"/>
      <c r="H2" s="23"/>
      <c r="I2" s="23"/>
      <c r="J2" s="24"/>
      <c r="K2" s="25"/>
      <c r="L2" s="25"/>
      <c r="M2" s="25"/>
      <c r="N2" s="25"/>
    </row>
    <row r="3" customFormat="false" ht="18" hidden="false" customHeight="true" outlineLevel="0" collapsed="false">
      <c r="A3" s="9" t="s">
        <v>38</v>
      </c>
      <c r="B3" s="23"/>
      <c r="C3" s="23"/>
      <c r="D3" s="23"/>
      <c r="E3" s="23"/>
      <c r="F3" s="23"/>
      <c r="G3" s="23"/>
      <c r="H3" s="23"/>
      <c r="I3" s="23"/>
      <c r="J3" s="24"/>
      <c r="K3" s="25"/>
      <c r="L3" s="25"/>
      <c r="M3" s="25"/>
      <c r="N3" s="25"/>
    </row>
    <row r="4" customFormat="false" ht="18" hidden="false" customHeight="true" outlineLevel="0" collapsed="false">
      <c r="A4" s="9" t="s">
        <v>39</v>
      </c>
      <c r="B4" s="23"/>
      <c r="C4" s="23"/>
      <c r="D4" s="23"/>
      <c r="E4" s="23"/>
      <c r="F4" s="23"/>
      <c r="G4" s="23"/>
      <c r="H4" s="23"/>
      <c r="I4" s="23"/>
      <c r="J4" s="24"/>
      <c r="K4" s="25"/>
      <c r="L4" s="25"/>
      <c r="M4" s="25"/>
      <c r="N4" s="25"/>
    </row>
    <row r="5" customFormat="false" ht="18" hidden="false" customHeight="true" outlineLevel="0" collapsed="false">
      <c r="A5" s="9" t="s">
        <v>40</v>
      </c>
      <c r="B5" s="23"/>
      <c r="C5" s="23"/>
      <c r="D5" s="23"/>
      <c r="E5" s="23"/>
      <c r="F5" s="23"/>
      <c r="G5" s="23"/>
      <c r="H5" s="23"/>
      <c r="I5" s="23"/>
      <c r="J5" s="24"/>
      <c r="K5" s="25"/>
      <c r="L5" s="25"/>
      <c r="M5" s="25"/>
      <c r="N5" s="25"/>
    </row>
    <row r="6" customFormat="false" ht="18" hidden="false" customHeight="true" outlineLevel="0" collapsed="false">
      <c r="A6" s="17" t="s">
        <v>41</v>
      </c>
      <c r="B6" s="23"/>
      <c r="C6" s="23"/>
      <c r="D6" s="23"/>
      <c r="E6" s="23"/>
      <c r="F6" s="23"/>
      <c r="G6" s="23"/>
      <c r="H6" s="23"/>
      <c r="I6" s="23"/>
      <c r="J6" s="24"/>
      <c r="K6" s="25"/>
      <c r="L6" s="25"/>
      <c r="M6" s="25"/>
      <c r="N6" s="25"/>
    </row>
    <row r="7" customFormat="false" ht="18" hidden="false" customHeight="true" outlineLevel="0" collapsed="false">
      <c r="A7" s="26" t="s">
        <v>42</v>
      </c>
    </row>
    <row r="8" customFormat="false" ht="18" hidden="false" customHeight="true" outlineLevel="0" collapsed="false">
      <c r="A8" s="17" t="s">
        <v>43</v>
      </c>
      <c r="B8" s="23"/>
      <c r="C8" s="23"/>
      <c r="D8" s="23"/>
      <c r="E8" s="23"/>
      <c r="F8" s="23"/>
      <c r="G8" s="23"/>
      <c r="H8" s="23"/>
      <c r="I8" s="23"/>
      <c r="J8" s="24"/>
      <c r="K8" s="25"/>
      <c r="L8" s="25"/>
      <c r="M8" s="25"/>
      <c r="N8" s="25"/>
    </row>
    <row r="9" customFormat="false" ht="18" hidden="false" customHeight="true" outlineLevel="0" collapsed="false">
      <c r="A9" s="17" t="s">
        <v>44</v>
      </c>
      <c r="B9" s="23"/>
      <c r="C9" s="23"/>
      <c r="D9" s="23"/>
      <c r="E9" s="23"/>
      <c r="F9" s="23"/>
      <c r="G9" s="23"/>
      <c r="H9" s="23"/>
      <c r="I9" s="23"/>
      <c r="J9" s="24"/>
      <c r="K9" s="25"/>
      <c r="L9" s="25"/>
      <c r="M9" s="25"/>
      <c r="N9" s="25"/>
    </row>
    <row r="10" customFormat="false" ht="91.5" hidden="false" customHeight="true" outlineLevel="0" collapsed="false">
      <c r="A10" s="27" t="s">
        <v>45</v>
      </c>
      <c r="B10" s="28" t="s">
        <v>46</v>
      </c>
      <c r="C10" s="29" t="s">
        <v>47</v>
      </c>
      <c r="D10" s="29" t="s">
        <v>48</v>
      </c>
      <c r="E10" s="29" t="s">
        <v>49</v>
      </c>
      <c r="F10" s="29" t="s">
        <v>50</v>
      </c>
      <c r="G10" s="29" t="s">
        <v>51</v>
      </c>
      <c r="H10" s="29" t="s">
        <v>52</v>
      </c>
      <c r="I10" s="30" t="s">
        <v>53</v>
      </c>
      <c r="J10" s="31" t="s">
        <v>54</v>
      </c>
      <c r="K10" s="30" t="s">
        <v>55</v>
      </c>
      <c r="L10" s="30" t="s">
        <v>56</v>
      </c>
      <c r="M10" s="30" t="s">
        <v>57</v>
      </c>
      <c r="N10" s="30" t="s">
        <v>58</v>
      </c>
    </row>
    <row r="11" customFormat="false" ht="14.25" hidden="false" customHeight="true" outlineLevel="0" collapsed="false">
      <c r="A11" s="32" t="n">
        <v>1989</v>
      </c>
      <c r="B11" s="33" t="s">
        <v>59</v>
      </c>
      <c r="C11" s="34" t="n">
        <v>37.14</v>
      </c>
      <c r="D11" s="35"/>
      <c r="E11" s="35" t="n">
        <v>36.02</v>
      </c>
      <c r="F11" s="35" t="n">
        <v>34.17</v>
      </c>
      <c r="G11" s="35" t="n">
        <v>11.41</v>
      </c>
      <c r="H11" s="35" t="n">
        <v>11.15</v>
      </c>
      <c r="I11" s="35"/>
      <c r="J11" s="36"/>
      <c r="K11" s="37"/>
      <c r="L11" s="38"/>
      <c r="M11" s="38"/>
      <c r="N11" s="39" t="n">
        <f aca="false">(Typical_retail_prices_of_petroleum_products_and_a_crude_oil_price_index_monthly[[#This Row],[Month]]&amp;" "&amp;Typical_retail_prices_of_petroleum_products_and_a_crude_oil_price_index_monthly[[#This Row],[Year]])*1</f>
        <v>32509</v>
      </c>
    </row>
    <row r="12" customFormat="false" ht="14.25" hidden="false" customHeight="true" outlineLevel="0" collapsed="false">
      <c r="A12" s="32" t="n">
        <v>1989</v>
      </c>
      <c r="B12" s="33" t="s">
        <v>60</v>
      </c>
      <c r="C12" s="34" t="n">
        <v>38.3</v>
      </c>
      <c r="D12" s="35"/>
      <c r="E12" s="35" t="n">
        <v>36.88</v>
      </c>
      <c r="F12" s="35" t="n">
        <v>35.03</v>
      </c>
      <c r="G12" s="35" t="n">
        <v>10.83</v>
      </c>
      <c r="H12" s="35" t="n">
        <v>10.49</v>
      </c>
      <c r="I12" s="35"/>
      <c r="J12" s="36"/>
      <c r="K12" s="37"/>
      <c r="L12" s="40"/>
      <c r="M12" s="40"/>
      <c r="N12" s="39" t="n">
        <f aca="false">(Typical_retail_prices_of_petroleum_products_and_a_crude_oil_price_index_monthly[[#This Row],[Month]]&amp;" "&amp;Typical_retail_prices_of_petroleum_products_and_a_crude_oil_price_index_monthly[[#This Row],[Year]])*1</f>
        <v>32540</v>
      </c>
    </row>
    <row r="13" customFormat="false" ht="14.25" hidden="false" customHeight="true" outlineLevel="0" collapsed="false">
      <c r="A13" s="32" t="n">
        <v>1989</v>
      </c>
      <c r="B13" s="33" t="s">
        <v>61</v>
      </c>
      <c r="C13" s="34" t="n">
        <v>38.85</v>
      </c>
      <c r="D13" s="35"/>
      <c r="E13" s="35" t="n">
        <v>37.3</v>
      </c>
      <c r="F13" s="35" t="n">
        <v>35.09</v>
      </c>
      <c r="G13" s="35" t="n">
        <v>11.4</v>
      </c>
      <c r="H13" s="35" t="n">
        <v>10.9</v>
      </c>
      <c r="I13" s="35"/>
      <c r="J13" s="36"/>
      <c r="K13" s="37"/>
      <c r="L13" s="34"/>
      <c r="M13" s="34"/>
      <c r="N13" s="39" t="n">
        <f aca="false">(Typical_retail_prices_of_petroleum_products_and_a_crude_oil_price_index_monthly[[#This Row],[Month]]&amp;" "&amp;Typical_retail_prices_of_petroleum_products_and_a_crude_oil_price_index_monthly[[#This Row],[Year]])*1</f>
        <v>32568</v>
      </c>
    </row>
    <row r="14" customFormat="false" ht="14.25" hidden="false" customHeight="true" outlineLevel="0" collapsed="false">
      <c r="A14" s="32" t="n">
        <v>1989</v>
      </c>
      <c r="B14" s="33" t="s">
        <v>62</v>
      </c>
      <c r="C14" s="34" t="n">
        <v>41.14</v>
      </c>
      <c r="D14" s="35"/>
      <c r="E14" s="35" t="n">
        <v>39.09</v>
      </c>
      <c r="F14" s="35" t="n">
        <v>36.08</v>
      </c>
      <c r="G14" s="35" t="n">
        <v>11.45</v>
      </c>
      <c r="H14" s="35" t="n">
        <v>10.83</v>
      </c>
      <c r="I14" s="35"/>
      <c r="J14" s="36"/>
      <c r="K14" s="37"/>
      <c r="L14" s="34"/>
      <c r="M14" s="34"/>
      <c r="N14" s="39" t="n">
        <f aca="false">(Typical_retail_prices_of_petroleum_products_and_a_crude_oil_price_index_monthly[[#This Row],[Month]]&amp;" "&amp;Typical_retail_prices_of_petroleum_products_and_a_crude_oil_price_index_monthly[[#This Row],[Year]])*1</f>
        <v>32599</v>
      </c>
    </row>
    <row r="15" customFormat="false" ht="14.25" hidden="false" customHeight="true" outlineLevel="0" collapsed="false">
      <c r="A15" s="32" t="n">
        <v>1989</v>
      </c>
      <c r="B15" s="33" t="s">
        <v>63</v>
      </c>
      <c r="C15" s="34" t="n">
        <v>42.83</v>
      </c>
      <c r="D15" s="35"/>
      <c r="E15" s="35" t="n">
        <v>40.81</v>
      </c>
      <c r="F15" s="35" t="n">
        <v>36.06</v>
      </c>
      <c r="G15" s="35" t="n">
        <v>11.41</v>
      </c>
      <c r="H15" s="35" t="n">
        <v>10.81</v>
      </c>
      <c r="I15" s="35"/>
      <c r="J15" s="36"/>
      <c r="K15" s="37"/>
      <c r="L15" s="34"/>
      <c r="M15" s="34"/>
      <c r="N15" s="39" t="n">
        <f aca="false">(Typical_retail_prices_of_petroleum_products_and_a_crude_oil_price_index_monthly[[#This Row],[Month]]&amp;" "&amp;Typical_retail_prices_of_petroleum_products_and_a_crude_oil_price_index_monthly[[#This Row],[Year]])*1</f>
        <v>32629</v>
      </c>
    </row>
    <row r="16" customFormat="false" ht="14.25" hidden="false" customHeight="true" outlineLevel="0" collapsed="false">
      <c r="A16" s="32" t="n">
        <v>1989</v>
      </c>
      <c r="B16" s="33" t="s">
        <v>64</v>
      </c>
      <c r="C16" s="34" t="n">
        <v>42.7</v>
      </c>
      <c r="D16" s="35"/>
      <c r="E16" s="35" t="n">
        <v>40.74</v>
      </c>
      <c r="F16" s="35" t="n">
        <v>35.93</v>
      </c>
      <c r="G16" s="35" t="n">
        <v>11.48</v>
      </c>
      <c r="H16" s="35" t="n">
        <v>11.26</v>
      </c>
      <c r="I16" s="35"/>
      <c r="J16" s="36"/>
      <c r="K16" s="37"/>
      <c r="L16" s="34"/>
      <c r="M16" s="34"/>
      <c r="N16" s="39" t="n">
        <f aca="false">(Typical_retail_prices_of_petroleum_products_and_a_crude_oil_price_index_monthly[[#This Row],[Month]]&amp;" "&amp;Typical_retail_prices_of_petroleum_products_and_a_crude_oil_price_index_monthly[[#This Row],[Year]])*1</f>
        <v>32660</v>
      </c>
    </row>
    <row r="17" customFormat="false" ht="14.25" hidden="false" customHeight="true" outlineLevel="0" collapsed="false">
      <c r="A17" s="32" t="n">
        <v>1989</v>
      </c>
      <c r="B17" s="33" t="s">
        <v>65</v>
      </c>
      <c r="C17" s="34" t="n">
        <v>41.49</v>
      </c>
      <c r="D17" s="35"/>
      <c r="E17" s="35" t="n">
        <v>39.26</v>
      </c>
      <c r="F17" s="35" t="n">
        <v>35.87</v>
      </c>
      <c r="G17" s="35" t="n">
        <v>11</v>
      </c>
      <c r="H17" s="35" t="n">
        <v>10.91</v>
      </c>
      <c r="I17" s="35"/>
      <c r="J17" s="36"/>
      <c r="K17" s="37"/>
      <c r="L17" s="34"/>
      <c r="M17" s="34"/>
      <c r="N17" s="39" t="n">
        <f aca="false">(Typical_retail_prices_of_petroleum_products_and_a_crude_oil_price_index_monthly[[#This Row],[Month]]&amp;" "&amp;Typical_retail_prices_of_petroleum_products_and_a_crude_oil_price_index_monthly[[#This Row],[Year]])*1</f>
        <v>32690</v>
      </c>
    </row>
    <row r="18" customFormat="false" ht="14.25" hidden="false" customHeight="true" outlineLevel="0" collapsed="false">
      <c r="A18" s="32" t="n">
        <v>1989</v>
      </c>
      <c r="B18" s="33" t="s">
        <v>66</v>
      </c>
      <c r="C18" s="34" t="n">
        <v>39.92</v>
      </c>
      <c r="D18" s="35"/>
      <c r="E18" s="35" t="n">
        <v>37.4</v>
      </c>
      <c r="F18" s="35" t="n">
        <v>35.7</v>
      </c>
      <c r="G18" s="35" t="n">
        <v>11.48</v>
      </c>
      <c r="H18" s="35" t="n">
        <v>11.19</v>
      </c>
      <c r="I18" s="35"/>
      <c r="J18" s="36"/>
      <c r="K18" s="37"/>
      <c r="L18" s="34"/>
      <c r="M18" s="34"/>
      <c r="N18" s="39" t="n">
        <f aca="false">(Typical_retail_prices_of_petroleum_products_and_a_crude_oil_price_index_monthly[[#This Row],[Month]]&amp;" "&amp;Typical_retail_prices_of_petroleum_products_and_a_crude_oil_price_index_monthly[[#This Row],[Year]])*1</f>
        <v>32721</v>
      </c>
    </row>
    <row r="19" customFormat="false" ht="14.25" hidden="false" customHeight="true" outlineLevel="0" collapsed="false">
      <c r="A19" s="32" t="n">
        <v>1989</v>
      </c>
      <c r="B19" s="33" t="s">
        <v>67</v>
      </c>
      <c r="C19" s="34" t="n">
        <v>40.79</v>
      </c>
      <c r="D19" s="35"/>
      <c r="E19" s="35" t="n">
        <v>38.19</v>
      </c>
      <c r="F19" s="35" t="n">
        <v>36</v>
      </c>
      <c r="G19" s="35" t="n">
        <v>12.33</v>
      </c>
      <c r="H19" s="35" t="n">
        <v>11.89</v>
      </c>
      <c r="I19" s="35"/>
      <c r="J19" s="36"/>
      <c r="K19" s="37"/>
      <c r="L19" s="34"/>
      <c r="M19" s="34"/>
      <c r="N19" s="39" t="n">
        <f aca="false">(Typical_retail_prices_of_petroleum_products_and_a_crude_oil_price_index_monthly[[#This Row],[Month]]&amp;" "&amp;Typical_retail_prices_of_petroleum_products_and_a_crude_oil_price_index_monthly[[#This Row],[Year]])*1</f>
        <v>32752</v>
      </c>
    </row>
    <row r="20" customFormat="false" ht="14.25" hidden="false" customHeight="true" outlineLevel="0" collapsed="false">
      <c r="A20" s="32" t="n">
        <v>1989</v>
      </c>
      <c r="B20" s="33" t="s">
        <v>68</v>
      </c>
      <c r="C20" s="34" t="n">
        <v>40.89</v>
      </c>
      <c r="D20" s="35"/>
      <c r="E20" s="35" t="n">
        <v>38.3</v>
      </c>
      <c r="F20" s="35" t="n">
        <v>37.33</v>
      </c>
      <c r="G20" s="35" t="n">
        <v>13.13</v>
      </c>
      <c r="H20" s="35" t="n">
        <v>12.5</v>
      </c>
      <c r="I20" s="35"/>
      <c r="J20" s="36"/>
      <c r="K20" s="37"/>
      <c r="L20" s="34"/>
      <c r="M20" s="34"/>
      <c r="N20" s="39" t="n">
        <f aca="false">(Typical_retail_prices_of_petroleum_products_and_a_crude_oil_price_index_monthly[[#This Row],[Month]]&amp;" "&amp;Typical_retail_prices_of_petroleum_products_and_a_crude_oil_price_index_monthly[[#This Row],[Year]])*1</f>
        <v>32782</v>
      </c>
    </row>
    <row r="21" customFormat="false" ht="14.25" hidden="false" customHeight="true" outlineLevel="0" collapsed="false">
      <c r="A21" s="32" t="n">
        <v>1989</v>
      </c>
      <c r="B21" s="33" t="s">
        <v>69</v>
      </c>
      <c r="C21" s="34" t="n">
        <v>40.68</v>
      </c>
      <c r="D21" s="35"/>
      <c r="E21" s="35" t="n">
        <v>38.08</v>
      </c>
      <c r="F21" s="35" t="n">
        <v>37.76</v>
      </c>
      <c r="G21" s="35" t="n">
        <v>13.79</v>
      </c>
      <c r="H21" s="35" t="n">
        <v>13.28</v>
      </c>
      <c r="I21" s="35"/>
      <c r="J21" s="36"/>
      <c r="K21" s="37"/>
      <c r="L21" s="34"/>
      <c r="M21" s="34"/>
      <c r="N21" s="39" t="n">
        <f aca="false">(Typical_retail_prices_of_petroleum_products_and_a_crude_oil_price_index_monthly[[#This Row],[Month]]&amp;" "&amp;Typical_retail_prices_of_petroleum_products_and_a_crude_oil_price_index_monthly[[#This Row],[Year]])*1</f>
        <v>32813</v>
      </c>
    </row>
    <row r="22" customFormat="false" ht="14.25" hidden="false" customHeight="true" outlineLevel="0" collapsed="false">
      <c r="A22" s="32" t="n">
        <v>1989</v>
      </c>
      <c r="B22" s="33" t="s">
        <v>70</v>
      </c>
      <c r="C22" s="34" t="n">
        <v>39.97</v>
      </c>
      <c r="D22" s="35"/>
      <c r="E22" s="35" t="n">
        <v>37.38</v>
      </c>
      <c r="F22" s="35" t="n">
        <v>39.16</v>
      </c>
      <c r="G22" s="35" t="n">
        <v>14.71</v>
      </c>
      <c r="H22" s="35" t="n">
        <v>14.44</v>
      </c>
      <c r="I22" s="35"/>
      <c r="J22" s="36"/>
      <c r="K22" s="37"/>
      <c r="L22" s="34"/>
      <c r="M22" s="34"/>
      <c r="N22" s="39" t="n">
        <f aca="false">(Typical_retail_prices_of_petroleum_products_and_a_crude_oil_price_index_monthly[[#This Row],[Month]]&amp;" "&amp;Typical_retail_prices_of_petroleum_products_and_a_crude_oil_price_index_monthly[[#This Row],[Year]])*1</f>
        <v>32843</v>
      </c>
    </row>
    <row r="23" customFormat="false" ht="14.25" hidden="false" customHeight="true" outlineLevel="0" collapsed="false">
      <c r="A23" s="32" t="n">
        <v>1990</v>
      </c>
      <c r="B23" s="33" t="s">
        <v>59</v>
      </c>
      <c r="C23" s="34" t="n">
        <v>40.92</v>
      </c>
      <c r="D23" s="35"/>
      <c r="E23" s="35" t="n">
        <v>38.37</v>
      </c>
      <c r="F23" s="35" t="n">
        <v>39.21</v>
      </c>
      <c r="G23" s="35" t="n">
        <v>15.45</v>
      </c>
      <c r="H23" s="35" t="n">
        <v>15.46</v>
      </c>
      <c r="I23" s="35"/>
      <c r="J23" s="36"/>
      <c r="K23" s="37"/>
      <c r="L23" s="34"/>
      <c r="M23" s="34"/>
      <c r="N23" s="39" t="n">
        <f aca="false">(Typical_retail_prices_of_petroleum_products_and_a_crude_oil_price_index_monthly[[#This Row],[Month]]&amp;" "&amp;Typical_retail_prices_of_petroleum_products_and_a_crude_oil_price_index_monthly[[#This Row],[Year]])*1</f>
        <v>32874</v>
      </c>
    </row>
    <row r="24" customFormat="false" ht="14.25" hidden="false" customHeight="true" outlineLevel="0" collapsed="false">
      <c r="A24" s="32" t="n">
        <v>1990</v>
      </c>
      <c r="B24" s="33" t="s">
        <v>60</v>
      </c>
      <c r="C24" s="34" t="n">
        <v>40.85</v>
      </c>
      <c r="D24" s="35"/>
      <c r="E24" s="35" t="n">
        <v>38.26</v>
      </c>
      <c r="F24" s="35" t="n">
        <v>37.62</v>
      </c>
      <c r="G24" s="35" t="n">
        <v>13.64</v>
      </c>
      <c r="H24" s="35" t="n">
        <v>12.96</v>
      </c>
      <c r="I24" s="35"/>
      <c r="J24" s="36"/>
      <c r="K24" s="37"/>
      <c r="L24" s="34"/>
      <c r="M24" s="34"/>
      <c r="N24" s="39" t="n">
        <f aca="false">(Typical_retail_prices_of_petroleum_products_and_a_crude_oil_price_index_monthly[[#This Row],[Month]]&amp;" "&amp;Typical_retail_prices_of_petroleum_products_and_a_crude_oil_price_index_monthly[[#This Row],[Year]])*1</f>
        <v>32905</v>
      </c>
    </row>
    <row r="25" customFormat="false" ht="14.25" hidden="false" customHeight="true" outlineLevel="0" collapsed="false">
      <c r="A25" s="32" t="n">
        <v>1990</v>
      </c>
      <c r="B25" s="33" t="s">
        <v>61</v>
      </c>
      <c r="C25" s="34" t="n">
        <v>40.9</v>
      </c>
      <c r="D25" s="35"/>
      <c r="E25" s="35" t="n">
        <v>38.28</v>
      </c>
      <c r="F25" s="35" t="n">
        <v>37.37</v>
      </c>
      <c r="G25" s="35" t="n">
        <v>13.04</v>
      </c>
      <c r="H25" s="35" t="n">
        <v>12.56</v>
      </c>
      <c r="I25" s="35"/>
      <c r="J25" s="36"/>
      <c r="K25" s="37"/>
      <c r="L25" s="34"/>
      <c r="M25" s="34"/>
      <c r="N25" s="39" t="n">
        <f aca="false">(Typical_retail_prices_of_petroleum_products_and_a_crude_oil_price_index_monthly[[#This Row],[Month]]&amp;" "&amp;Typical_retail_prices_of_petroleum_products_and_a_crude_oil_price_index_monthly[[#This Row],[Year]])*1</f>
        <v>32933</v>
      </c>
    </row>
    <row r="26" customFormat="false" ht="14.25" hidden="false" customHeight="true" outlineLevel="0" collapsed="false">
      <c r="A26" s="32" t="n">
        <v>1990</v>
      </c>
      <c r="B26" s="33" t="s">
        <v>62</v>
      </c>
      <c r="C26" s="34" t="n">
        <v>44.27</v>
      </c>
      <c r="D26" s="35"/>
      <c r="E26" s="35" t="n">
        <v>41.37</v>
      </c>
      <c r="F26" s="35" t="n">
        <v>39.19</v>
      </c>
      <c r="G26" s="35" t="n">
        <v>12.47</v>
      </c>
      <c r="H26" s="35" t="n">
        <v>12.37</v>
      </c>
      <c r="I26" s="35"/>
      <c r="J26" s="36"/>
      <c r="K26" s="37"/>
      <c r="L26" s="34"/>
      <c r="M26" s="34"/>
      <c r="N26" s="39" t="n">
        <f aca="false">(Typical_retail_prices_of_petroleum_products_and_a_crude_oil_price_index_monthly[[#This Row],[Month]]&amp;" "&amp;Typical_retail_prices_of_petroleum_products_and_a_crude_oil_price_index_monthly[[#This Row],[Year]])*1</f>
        <v>32964</v>
      </c>
    </row>
    <row r="27" customFormat="false" ht="14.25" hidden="false" customHeight="true" outlineLevel="0" collapsed="false">
      <c r="A27" s="32" t="n">
        <v>1990</v>
      </c>
      <c r="B27" s="33" t="s">
        <v>63</v>
      </c>
      <c r="C27" s="34" t="n">
        <v>43.84</v>
      </c>
      <c r="D27" s="35"/>
      <c r="E27" s="35" t="n">
        <v>40.98</v>
      </c>
      <c r="F27" s="35" t="n">
        <v>39.68</v>
      </c>
      <c r="G27" s="35" t="n">
        <v>12.19</v>
      </c>
      <c r="H27" s="35" t="n">
        <v>11.92</v>
      </c>
      <c r="I27" s="35"/>
      <c r="J27" s="36"/>
      <c r="K27" s="37"/>
      <c r="L27" s="34"/>
      <c r="M27" s="34"/>
      <c r="N27" s="39" t="n">
        <f aca="false">(Typical_retail_prices_of_petroleum_products_and_a_crude_oil_price_index_monthly[[#This Row],[Month]]&amp;" "&amp;Typical_retail_prices_of_petroleum_products_and_a_crude_oil_price_index_monthly[[#This Row],[Year]])*1</f>
        <v>32994</v>
      </c>
    </row>
    <row r="28" customFormat="false" ht="14.25" hidden="false" customHeight="true" outlineLevel="0" collapsed="false">
      <c r="A28" s="32" t="n">
        <v>1990</v>
      </c>
      <c r="B28" s="33" t="s">
        <v>64</v>
      </c>
      <c r="C28" s="34" t="n">
        <v>43.73</v>
      </c>
      <c r="D28" s="35"/>
      <c r="E28" s="35" t="n">
        <v>40.83</v>
      </c>
      <c r="F28" s="35" t="n">
        <v>38.13</v>
      </c>
      <c r="G28" s="35" t="n">
        <v>11.84</v>
      </c>
      <c r="H28" s="35" t="n">
        <v>11.51</v>
      </c>
      <c r="I28" s="35"/>
      <c r="J28" s="36"/>
      <c r="K28" s="37"/>
      <c r="L28" s="34"/>
      <c r="M28" s="34"/>
      <c r="N28" s="39" t="n">
        <f aca="false">(Typical_retail_prices_of_petroleum_products_and_a_crude_oil_price_index_monthly[[#This Row],[Month]]&amp;" "&amp;Typical_retail_prices_of_petroleum_products_and_a_crude_oil_price_index_monthly[[#This Row],[Year]])*1</f>
        <v>33025</v>
      </c>
    </row>
    <row r="29" customFormat="false" ht="14.25" hidden="false" customHeight="true" outlineLevel="0" collapsed="false">
      <c r="A29" s="32" t="n">
        <v>1990</v>
      </c>
      <c r="B29" s="33" t="s">
        <v>65</v>
      </c>
      <c r="C29" s="34" t="n">
        <v>43.26</v>
      </c>
      <c r="D29" s="35"/>
      <c r="E29" s="35" t="n">
        <v>40.33</v>
      </c>
      <c r="F29" s="35" t="n">
        <v>37.58</v>
      </c>
      <c r="G29" s="35" t="n">
        <v>12.17</v>
      </c>
      <c r="H29" s="35" t="n">
        <v>11.9</v>
      </c>
      <c r="I29" s="35"/>
      <c r="J29" s="36"/>
      <c r="K29" s="37"/>
      <c r="L29" s="34"/>
      <c r="M29" s="34"/>
      <c r="N29" s="39" t="n">
        <f aca="false">(Typical_retail_prices_of_petroleum_products_and_a_crude_oil_price_index_monthly[[#This Row],[Month]]&amp;" "&amp;Typical_retail_prices_of_petroleum_products_and_a_crude_oil_price_index_monthly[[#This Row],[Year]])*1</f>
        <v>33055</v>
      </c>
    </row>
    <row r="30" customFormat="false" ht="14.25" hidden="false" customHeight="true" outlineLevel="0" collapsed="false">
      <c r="A30" s="32" t="n">
        <v>1990</v>
      </c>
      <c r="B30" s="33" t="s">
        <v>66</v>
      </c>
      <c r="C30" s="34" t="n">
        <v>46.82</v>
      </c>
      <c r="D30" s="35"/>
      <c r="E30" s="35" t="n">
        <v>43.89</v>
      </c>
      <c r="F30" s="35" t="n">
        <v>40.26</v>
      </c>
      <c r="G30" s="35" t="n">
        <v>15.39</v>
      </c>
      <c r="H30" s="35" t="n">
        <v>14.93</v>
      </c>
      <c r="I30" s="35"/>
      <c r="J30" s="36"/>
      <c r="K30" s="37"/>
      <c r="L30" s="34"/>
      <c r="M30" s="34"/>
      <c r="N30" s="39" t="n">
        <f aca="false">(Typical_retail_prices_of_petroleum_products_and_a_crude_oil_price_index_monthly[[#This Row],[Month]]&amp;" "&amp;Typical_retail_prices_of_petroleum_products_and_a_crude_oil_price_index_monthly[[#This Row],[Year]])*1</f>
        <v>33086</v>
      </c>
    </row>
    <row r="31" customFormat="false" ht="14.25" hidden="false" customHeight="true" outlineLevel="0" collapsed="false">
      <c r="A31" s="32" t="n">
        <v>1990</v>
      </c>
      <c r="B31" s="33" t="s">
        <v>67</v>
      </c>
      <c r="C31" s="34" t="n">
        <v>50.64</v>
      </c>
      <c r="D31" s="35"/>
      <c r="E31" s="35" t="n">
        <v>47.71</v>
      </c>
      <c r="F31" s="35" t="n">
        <v>42.67</v>
      </c>
      <c r="G31" s="35" t="n">
        <v>18.31</v>
      </c>
      <c r="H31" s="35" t="n">
        <v>16.94</v>
      </c>
      <c r="I31" s="35"/>
      <c r="J31" s="36"/>
      <c r="K31" s="37"/>
      <c r="L31" s="34"/>
      <c r="M31" s="34"/>
      <c r="N31" s="39" t="n">
        <f aca="false">(Typical_retail_prices_of_petroleum_products_and_a_crude_oil_price_index_monthly[[#This Row],[Month]]&amp;" "&amp;Typical_retail_prices_of_petroleum_products_and_a_crude_oil_price_index_monthly[[#This Row],[Year]])*1</f>
        <v>33117</v>
      </c>
    </row>
    <row r="32" customFormat="false" ht="14.25" hidden="false" customHeight="true" outlineLevel="0" collapsed="false">
      <c r="A32" s="32" t="n">
        <v>1990</v>
      </c>
      <c r="B32" s="33" t="s">
        <v>68</v>
      </c>
      <c r="C32" s="34" t="n">
        <v>51.45</v>
      </c>
      <c r="D32" s="35"/>
      <c r="E32" s="35" t="n">
        <v>48.52</v>
      </c>
      <c r="F32" s="35" t="n">
        <v>45.85</v>
      </c>
      <c r="G32" s="35" t="n">
        <v>23.91</v>
      </c>
      <c r="H32" s="35" t="n">
        <v>19.66</v>
      </c>
      <c r="I32" s="35"/>
      <c r="J32" s="36"/>
      <c r="K32" s="37"/>
      <c r="L32" s="34"/>
      <c r="M32" s="34"/>
      <c r="N32" s="39" t="n">
        <f aca="false">(Typical_retail_prices_of_petroleum_products_and_a_crude_oil_price_index_monthly[[#This Row],[Month]]&amp;" "&amp;Typical_retail_prices_of_petroleum_products_and_a_crude_oil_price_index_monthly[[#This Row],[Year]])*1</f>
        <v>33147</v>
      </c>
    </row>
    <row r="33" customFormat="false" ht="14.25" hidden="false" customHeight="true" outlineLevel="0" collapsed="false">
      <c r="A33" s="32" t="n">
        <v>1990</v>
      </c>
      <c r="B33" s="33" t="s">
        <v>69</v>
      </c>
      <c r="C33" s="34" t="n">
        <v>47.53</v>
      </c>
      <c r="D33" s="35"/>
      <c r="E33" s="35" t="n">
        <v>44.55</v>
      </c>
      <c r="F33" s="35" t="n">
        <v>44.52</v>
      </c>
      <c r="G33" s="35" t="n">
        <v>20.64</v>
      </c>
      <c r="H33" s="35" t="n">
        <v>18.11</v>
      </c>
      <c r="I33" s="35"/>
      <c r="J33" s="36"/>
      <c r="K33" s="37"/>
      <c r="L33" s="34"/>
      <c r="M33" s="34"/>
      <c r="N33" s="39" t="n">
        <f aca="false">(Typical_retail_prices_of_petroleum_products_and_a_crude_oil_price_index_monthly[[#This Row],[Month]]&amp;" "&amp;Typical_retail_prices_of_petroleum_products_and_a_crude_oil_price_index_monthly[[#This Row],[Year]])*1</f>
        <v>33178</v>
      </c>
    </row>
    <row r="34" customFormat="false" ht="14.25" hidden="false" customHeight="true" outlineLevel="0" collapsed="false">
      <c r="A34" s="32" t="n">
        <v>1990</v>
      </c>
      <c r="B34" s="33" t="s">
        <v>70</v>
      </c>
      <c r="C34" s="34" t="n">
        <v>44.28</v>
      </c>
      <c r="D34" s="35"/>
      <c r="E34" s="35" t="n">
        <v>41.29</v>
      </c>
      <c r="F34" s="35" t="n">
        <v>43.7</v>
      </c>
      <c r="G34" s="35" t="n">
        <v>17.67</v>
      </c>
      <c r="H34" s="35" t="n">
        <v>17.35</v>
      </c>
      <c r="I34" s="35"/>
      <c r="J34" s="36"/>
      <c r="K34" s="37"/>
      <c r="L34" s="34"/>
      <c r="M34" s="34"/>
      <c r="N34" s="39" t="n">
        <f aca="false">(Typical_retail_prices_of_petroleum_products_and_a_crude_oil_price_index_monthly[[#This Row],[Month]]&amp;" "&amp;Typical_retail_prices_of_petroleum_products_and_a_crude_oil_price_index_monthly[[#This Row],[Year]])*1</f>
        <v>33208</v>
      </c>
    </row>
    <row r="35" customFormat="false" ht="14.25" hidden="false" customHeight="true" outlineLevel="0" collapsed="false">
      <c r="A35" s="32" t="n">
        <v>1991</v>
      </c>
      <c r="B35" s="33" t="s">
        <v>59</v>
      </c>
      <c r="C35" s="34" t="n">
        <v>45.13</v>
      </c>
      <c r="D35" s="35" t="n">
        <v>44.38</v>
      </c>
      <c r="E35" s="35" t="n">
        <v>42.14</v>
      </c>
      <c r="F35" s="35" t="n">
        <v>43.31</v>
      </c>
      <c r="G35" s="35" t="n">
        <v>17.52</v>
      </c>
      <c r="H35" s="35" t="n">
        <v>17.13</v>
      </c>
      <c r="I35" s="35"/>
      <c r="J35" s="36" t="n">
        <f aca="false">F35-E35</f>
        <v>1.17</v>
      </c>
      <c r="K35" s="36" t="n">
        <v>44.8162543361009</v>
      </c>
      <c r="L35" s="36" t="n">
        <v>70.2793711134804</v>
      </c>
      <c r="M35" s="36" t="n">
        <v>121.4</v>
      </c>
      <c r="N35" s="39" t="n">
        <f aca="false">(Typical_retail_prices_of_petroleum_products_and_a_crude_oil_price_index_monthly[[#This Row],[Month]]&amp;" "&amp;Typical_retail_prices_of_petroleum_products_and_a_crude_oil_price_index_monthly[[#This Row],[Year]])*1</f>
        <v>33239</v>
      </c>
    </row>
    <row r="36" customFormat="false" ht="14.25" hidden="false" customHeight="true" outlineLevel="0" collapsed="false">
      <c r="A36" s="32" t="n">
        <v>1991</v>
      </c>
      <c r="B36" s="33" t="s">
        <v>60</v>
      </c>
      <c r="C36" s="34" t="n">
        <v>43.62</v>
      </c>
      <c r="D36" s="35" t="n">
        <v>42.91</v>
      </c>
      <c r="E36" s="35" t="n">
        <v>40.61</v>
      </c>
      <c r="F36" s="35" t="n">
        <v>43.19</v>
      </c>
      <c r="G36" s="35" t="n">
        <v>16.68</v>
      </c>
      <c r="H36" s="35" t="n">
        <v>15.39</v>
      </c>
      <c r="I36" s="35"/>
      <c r="J36" s="36" t="n">
        <f aca="false">F36-E36</f>
        <v>2.58</v>
      </c>
      <c r="K36" s="36" t="n">
        <v>35.7127219478946</v>
      </c>
      <c r="L36" s="36" t="n">
        <v>56.003512038864</v>
      </c>
      <c r="M36" s="36" t="n">
        <v>96.74</v>
      </c>
      <c r="N36" s="39" t="n">
        <f aca="false">(Typical_retail_prices_of_petroleum_products_and_a_crude_oil_price_index_monthly[[#This Row],[Month]]&amp;" "&amp;Typical_retail_prices_of_petroleum_products_and_a_crude_oil_price_index_monthly[[#This Row],[Year]])*1</f>
        <v>33270</v>
      </c>
    </row>
    <row r="37" customFormat="false" ht="14.25" hidden="false" customHeight="true" outlineLevel="0" collapsed="false">
      <c r="A37" s="32" t="n">
        <v>1991</v>
      </c>
      <c r="B37" s="33" t="s">
        <v>61</v>
      </c>
      <c r="C37" s="34" t="n">
        <v>44.74</v>
      </c>
      <c r="D37" s="35" t="n">
        <v>43.8</v>
      </c>
      <c r="E37" s="35" t="n">
        <v>41.66</v>
      </c>
      <c r="F37" s="35" t="n">
        <v>40.31</v>
      </c>
      <c r="G37" s="35" t="n">
        <v>13.54</v>
      </c>
      <c r="H37" s="35" t="n">
        <v>13.4</v>
      </c>
      <c r="I37" s="35"/>
      <c r="J37" s="36" t="n">
        <f aca="false">F37-E37</f>
        <v>-1.34999999999999</v>
      </c>
      <c r="K37" s="36" t="n">
        <v>35.4653834766822</v>
      </c>
      <c r="L37" s="36" t="n">
        <v>55.6156440104782</v>
      </c>
      <c r="M37" s="36" t="n">
        <v>96.07</v>
      </c>
      <c r="N37" s="39" t="n">
        <f aca="false">(Typical_retail_prices_of_petroleum_products_and_a_crude_oil_price_index_monthly[[#This Row],[Month]]&amp;" "&amp;Typical_retail_prices_of_petroleum_products_and_a_crude_oil_price_index_monthly[[#This Row],[Year]])*1</f>
        <v>33298</v>
      </c>
    </row>
    <row r="38" customFormat="false" ht="14.25" hidden="false" customHeight="true" outlineLevel="0" collapsed="false">
      <c r="A38" s="32" t="n">
        <v>1991</v>
      </c>
      <c r="B38" s="33" t="s">
        <v>62</v>
      </c>
      <c r="C38" s="34" t="n">
        <v>49.03</v>
      </c>
      <c r="D38" s="35" t="n">
        <v>47.52</v>
      </c>
      <c r="E38" s="35" t="n">
        <v>45.41</v>
      </c>
      <c r="F38" s="35" t="n">
        <v>43.41</v>
      </c>
      <c r="G38" s="35" t="n">
        <v>12.49</v>
      </c>
      <c r="H38" s="35" t="n">
        <v>12.16</v>
      </c>
      <c r="I38" s="35"/>
      <c r="J38" s="36" t="n">
        <f aca="false">F38-E38</f>
        <v>-2</v>
      </c>
      <c r="K38" s="36" t="n">
        <v>36.9937137316365</v>
      </c>
      <c r="L38" s="36" t="n">
        <v>58.0123210813992</v>
      </c>
      <c r="M38" s="36" t="n">
        <v>100.21</v>
      </c>
      <c r="N38" s="39" t="n">
        <f aca="false">(Typical_retail_prices_of_petroleum_products_and_a_crude_oil_price_index_monthly[[#This Row],[Month]]&amp;" "&amp;Typical_retail_prices_of_petroleum_products_and_a_crude_oil_price_index_monthly[[#This Row],[Year]])*1</f>
        <v>33329</v>
      </c>
    </row>
    <row r="39" customFormat="false" ht="14.25" hidden="false" customHeight="true" outlineLevel="0" collapsed="false">
      <c r="A39" s="32" t="n">
        <v>1991</v>
      </c>
      <c r="B39" s="33" t="s">
        <v>63</v>
      </c>
      <c r="C39" s="34" t="n">
        <v>50.16</v>
      </c>
      <c r="D39" s="35" t="n">
        <v>48.94</v>
      </c>
      <c r="E39" s="35" t="n">
        <v>46.64</v>
      </c>
      <c r="F39" s="35" t="n">
        <v>43.64</v>
      </c>
      <c r="G39" s="35" t="n">
        <v>13.15</v>
      </c>
      <c r="H39" s="35" t="n">
        <v>12.91</v>
      </c>
      <c r="I39" s="35"/>
      <c r="J39" s="36" t="n">
        <f aca="false">F39-E39</f>
        <v>-3</v>
      </c>
      <c r="K39" s="36" t="n">
        <v>37.4440912463815</v>
      </c>
      <c r="L39" s="36" t="n">
        <v>58.7185882375644</v>
      </c>
      <c r="M39" s="36" t="n">
        <v>101.43</v>
      </c>
      <c r="N39" s="39" t="n">
        <f aca="false">(Typical_retail_prices_of_petroleum_products_and_a_crude_oil_price_index_monthly[[#This Row],[Month]]&amp;" "&amp;Typical_retail_prices_of_petroleum_products_and_a_crude_oil_price_index_monthly[[#This Row],[Year]])*1</f>
        <v>33359</v>
      </c>
    </row>
    <row r="40" customFormat="false" ht="14.25" hidden="false" customHeight="true" outlineLevel="0" collapsed="false">
      <c r="A40" s="32" t="n">
        <v>1991</v>
      </c>
      <c r="B40" s="33" t="s">
        <v>64</v>
      </c>
      <c r="C40" s="34" t="n">
        <v>50.04</v>
      </c>
      <c r="D40" s="35" t="n">
        <v>48.76</v>
      </c>
      <c r="E40" s="35" t="n">
        <v>46.53</v>
      </c>
      <c r="F40" s="35" t="n">
        <v>43.64</v>
      </c>
      <c r="G40" s="35" t="n">
        <v>13.38</v>
      </c>
      <c r="H40" s="35" t="n">
        <v>13.05</v>
      </c>
      <c r="I40" s="35"/>
      <c r="J40" s="36" t="n">
        <f aca="false">F40-E40</f>
        <v>-2.89</v>
      </c>
      <c r="K40" s="36" t="n">
        <v>37.4219415325416</v>
      </c>
      <c r="L40" s="36" t="n">
        <v>58.6838537872612</v>
      </c>
      <c r="M40" s="36" t="n">
        <v>101.37</v>
      </c>
      <c r="N40" s="39" t="n">
        <f aca="false">(Typical_retail_prices_of_petroleum_products_and_a_crude_oil_price_index_monthly[[#This Row],[Month]]&amp;" "&amp;Typical_retail_prices_of_petroleum_products_and_a_crude_oil_price_index_monthly[[#This Row],[Year]])*1</f>
        <v>33390</v>
      </c>
    </row>
    <row r="41" customFormat="false" ht="14.25" hidden="false" customHeight="true" outlineLevel="0" collapsed="false">
      <c r="A41" s="32" t="n">
        <v>1991</v>
      </c>
      <c r="B41" s="33" t="s">
        <v>65</v>
      </c>
      <c r="C41" s="34" t="n">
        <v>50.65</v>
      </c>
      <c r="D41" s="35" t="n">
        <v>49.35</v>
      </c>
      <c r="E41" s="35" t="n">
        <v>47.08</v>
      </c>
      <c r="F41" s="35" t="n">
        <v>44.26</v>
      </c>
      <c r="G41" s="35" t="n">
        <v>13.67</v>
      </c>
      <c r="H41" s="35" t="n">
        <v>12.97</v>
      </c>
      <c r="I41" s="35"/>
      <c r="J41" s="36" t="n">
        <f aca="false">F41-E41</f>
        <v>-2.82</v>
      </c>
      <c r="K41" s="36" t="n">
        <v>38.7767656957499</v>
      </c>
      <c r="L41" s="36" t="n">
        <v>60.8084443308071</v>
      </c>
      <c r="M41" s="36" t="n">
        <v>105.04</v>
      </c>
      <c r="N41" s="39" t="n">
        <f aca="false">(Typical_retail_prices_of_petroleum_products_and_a_crude_oil_price_index_monthly[[#This Row],[Month]]&amp;" "&amp;Typical_retail_prices_of_petroleum_products_and_a_crude_oil_price_index_monthly[[#This Row],[Year]])*1</f>
        <v>33420</v>
      </c>
    </row>
    <row r="42" customFormat="false" ht="14.25" hidden="false" customHeight="true" outlineLevel="0" collapsed="false">
      <c r="A42" s="32" t="n">
        <v>1991</v>
      </c>
      <c r="B42" s="33" t="s">
        <v>66</v>
      </c>
      <c r="C42" s="34" t="n">
        <v>50.23</v>
      </c>
      <c r="D42" s="35" t="n">
        <v>48.9</v>
      </c>
      <c r="E42" s="35" t="n">
        <v>46.71</v>
      </c>
      <c r="F42" s="35" t="n">
        <v>44.17</v>
      </c>
      <c r="G42" s="35" t="n">
        <v>13.33</v>
      </c>
      <c r="H42" s="35" t="n">
        <v>12.71</v>
      </c>
      <c r="I42" s="35"/>
      <c r="J42" s="36" t="n">
        <f aca="false">F42-E42</f>
        <v>-2.54</v>
      </c>
      <c r="K42" s="36" t="n">
        <v>39.4154157781342</v>
      </c>
      <c r="L42" s="36" t="n">
        <v>61.8099543145494</v>
      </c>
      <c r="M42" s="36" t="n">
        <v>106.77</v>
      </c>
      <c r="N42" s="39" t="n">
        <f aca="false">(Typical_retail_prices_of_petroleum_products_and_a_crude_oil_price_index_monthly[[#This Row],[Month]]&amp;" "&amp;Typical_retail_prices_of_petroleum_products_and_a_crude_oil_price_index_monthly[[#This Row],[Year]])*1</f>
        <v>33451</v>
      </c>
    </row>
    <row r="43" customFormat="false" ht="14.25" hidden="false" customHeight="true" outlineLevel="0" collapsed="false">
      <c r="A43" s="32" t="n">
        <v>1991</v>
      </c>
      <c r="B43" s="33" t="s">
        <v>67</v>
      </c>
      <c r="C43" s="34" t="n">
        <v>50.11</v>
      </c>
      <c r="D43" s="35" t="n">
        <v>48.85</v>
      </c>
      <c r="E43" s="35" t="n">
        <v>46.58</v>
      </c>
      <c r="F43" s="35" t="n">
        <v>44.24</v>
      </c>
      <c r="G43" s="35" t="n">
        <v>13.64</v>
      </c>
      <c r="H43" s="35" t="n">
        <v>13.01</v>
      </c>
      <c r="I43" s="35"/>
      <c r="J43" s="36" t="n">
        <f aca="false">F43-E43</f>
        <v>-2.34</v>
      </c>
      <c r="K43" s="36" t="n">
        <v>40.0392993846252</v>
      </c>
      <c r="L43" s="36" t="n">
        <v>62.7883079980896</v>
      </c>
      <c r="M43" s="36" t="n">
        <v>108.46</v>
      </c>
      <c r="N43" s="39" t="n">
        <f aca="false">(Typical_retail_prices_of_petroleum_products_and_a_crude_oil_price_index_monthly[[#This Row],[Month]]&amp;" "&amp;Typical_retail_prices_of_petroleum_products_and_a_crude_oil_price_index_monthly[[#This Row],[Year]])*1</f>
        <v>33482</v>
      </c>
    </row>
    <row r="44" customFormat="false" ht="14.25" hidden="false" customHeight="true" outlineLevel="0" collapsed="false">
      <c r="A44" s="32" t="n">
        <v>1991</v>
      </c>
      <c r="B44" s="33" t="s">
        <v>68</v>
      </c>
      <c r="C44" s="34" t="n">
        <v>49.99</v>
      </c>
      <c r="D44" s="35" t="n">
        <v>48.7</v>
      </c>
      <c r="E44" s="35" t="n">
        <v>46.48</v>
      </c>
      <c r="F44" s="35" t="n">
        <v>45.1</v>
      </c>
      <c r="G44" s="35" t="n">
        <v>14.18</v>
      </c>
      <c r="H44" s="35" t="n">
        <v>13.66</v>
      </c>
      <c r="I44" s="35"/>
      <c r="J44" s="36" t="n">
        <f aca="false">F44-E44</f>
        <v>-1.38</v>
      </c>
      <c r="K44" s="36" t="n">
        <v>42.0290820112446</v>
      </c>
      <c r="L44" s="36" t="n">
        <v>65.9086194503273</v>
      </c>
      <c r="M44" s="36" t="n">
        <v>113.85</v>
      </c>
      <c r="N44" s="39" t="n">
        <f aca="false">(Typical_retail_prices_of_petroleum_products_and_a_crude_oil_price_index_monthly[[#This Row],[Month]]&amp;" "&amp;Typical_retail_prices_of_petroleum_products_and_a_crude_oil_price_index_monthly[[#This Row],[Year]])*1</f>
        <v>33512</v>
      </c>
    </row>
    <row r="45" customFormat="false" ht="14.25" hidden="false" customHeight="true" outlineLevel="0" collapsed="false">
      <c r="A45" s="32" t="n">
        <v>1991</v>
      </c>
      <c r="B45" s="33" t="s">
        <v>69</v>
      </c>
      <c r="C45" s="34" t="n">
        <v>49.69</v>
      </c>
      <c r="D45" s="35" t="n">
        <v>48.44</v>
      </c>
      <c r="E45" s="35" t="n">
        <v>46.18</v>
      </c>
      <c r="F45" s="35" t="n">
        <v>46.05</v>
      </c>
      <c r="G45" s="35" t="n">
        <v>14.33</v>
      </c>
      <c r="H45" s="35" t="n">
        <v>14.25</v>
      </c>
      <c r="I45" s="35"/>
      <c r="J45" s="36" t="n">
        <f aca="false">F45-E45</f>
        <v>-0.130000000000003</v>
      </c>
      <c r="K45" s="36" t="n">
        <v>42.4425433362564</v>
      </c>
      <c r="L45" s="36" t="n">
        <v>66.5569958559871</v>
      </c>
      <c r="M45" s="36" t="n">
        <v>114.97</v>
      </c>
      <c r="N45" s="39" t="n">
        <f aca="false">(Typical_retail_prices_of_petroleum_products_and_a_crude_oil_price_index_monthly[[#This Row],[Month]]&amp;" "&amp;Typical_retail_prices_of_petroleum_products_and_a_crude_oil_price_index_monthly[[#This Row],[Year]])*1</f>
        <v>33543</v>
      </c>
    </row>
    <row r="46" customFormat="false" ht="14.25" hidden="false" customHeight="true" outlineLevel="0" collapsed="false">
      <c r="A46" s="32" t="n">
        <v>1991</v>
      </c>
      <c r="B46" s="33" t="s">
        <v>70</v>
      </c>
      <c r="C46" s="34" t="n">
        <v>48.39</v>
      </c>
      <c r="D46" s="35" t="n">
        <v>47.12</v>
      </c>
      <c r="E46" s="35" t="n">
        <v>44.86</v>
      </c>
      <c r="F46" s="35" t="n">
        <v>44.5</v>
      </c>
      <c r="G46" s="35" t="n">
        <v>13.43</v>
      </c>
      <c r="H46" s="35" t="n">
        <v>13.16</v>
      </c>
      <c r="I46" s="35"/>
      <c r="J46" s="36" t="n">
        <f aca="false">F46-E46</f>
        <v>-0.359999999999999</v>
      </c>
      <c r="K46" s="36" t="n">
        <v>36.5174948840783</v>
      </c>
      <c r="L46" s="36" t="n">
        <v>57.2655303998804</v>
      </c>
      <c r="M46" s="36" t="n">
        <v>98.92</v>
      </c>
      <c r="N46" s="39" t="n">
        <f aca="false">(Typical_retail_prices_of_petroleum_products_and_a_crude_oil_price_index_monthly[[#This Row],[Month]]&amp;" "&amp;Typical_retail_prices_of_petroleum_products_and_a_crude_oil_price_index_monthly[[#This Row],[Year]])*1</f>
        <v>33573</v>
      </c>
    </row>
    <row r="47" customFormat="false" ht="14.25" hidden="false" customHeight="true" outlineLevel="0" collapsed="false">
      <c r="A47" s="32" t="n">
        <v>1992</v>
      </c>
      <c r="B47" s="33" t="s">
        <v>59</v>
      </c>
      <c r="C47" s="34" t="n">
        <v>46.93</v>
      </c>
      <c r="D47" s="35" t="n">
        <v>45.57</v>
      </c>
      <c r="E47" s="35" t="n">
        <v>43.43</v>
      </c>
      <c r="F47" s="35" t="n">
        <v>43.19</v>
      </c>
      <c r="G47" s="35" t="n">
        <v>12.47</v>
      </c>
      <c r="H47" s="35" t="n">
        <v>12.02</v>
      </c>
      <c r="I47" s="35"/>
      <c r="J47" s="36" t="n">
        <f aca="false">F47-E47</f>
        <v>-0.240000000000002</v>
      </c>
      <c r="K47" s="36" t="n">
        <v>33.7635471299818</v>
      </c>
      <c r="L47" s="36" t="n">
        <v>52.9468804121821</v>
      </c>
      <c r="M47" s="36" t="n">
        <v>91.46</v>
      </c>
      <c r="N47" s="39" t="n">
        <f aca="false">(Typical_retail_prices_of_petroleum_products_and_a_crude_oil_price_index_monthly[[#This Row],[Month]]&amp;" "&amp;Typical_retail_prices_of_petroleum_products_and_a_crude_oil_price_index_monthly[[#This Row],[Year]])*1</f>
        <v>33604</v>
      </c>
    </row>
    <row r="48" customFormat="false" ht="14.25" hidden="false" customHeight="true" outlineLevel="0" collapsed="false">
      <c r="A48" s="32" t="n">
        <v>1992</v>
      </c>
      <c r="B48" s="33" t="s">
        <v>60</v>
      </c>
      <c r="C48" s="34" t="n">
        <v>47.76</v>
      </c>
      <c r="D48" s="35" t="n">
        <v>46.42</v>
      </c>
      <c r="E48" s="35" t="n">
        <v>44.23</v>
      </c>
      <c r="F48" s="35" t="n">
        <v>43.69</v>
      </c>
      <c r="G48" s="35" t="n">
        <v>12.88</v>
      </c>
      <c r="H48" s="35" t="n">
        <v>12.31</v>
      </c>
      <c r="I48" s="35"/>
      <c r="J48" s="36" t="n">
        <f aca="false">F48-E48</f>
        <v>-0.539999999999999</v>
      </c>
      <c r="K48" s="36" t="n">
        <v>33.973969411461</v>
      </c>
      <c r="L48" s="36" t="n">
        <v>53.2768576900626</v>
      </c>
      <c r="M48" s="36" t="n">
        <v>92.03</v>
      </c>
      <c r="N48" s="39" t="n">
        <f aca="false">(Typical_retail_prices_of_petroleum_products_and_a_crude_oil_price_index_monthly[[#This Row],[Month]]&amp;" "&amp;Typical_retail_prices_of_petroleum_products_and_a_crude_oil_price_index_monthly[[#This Row],[Year]])*1</f>
        <v>33635</v>
      </c>
    </row>
    <row r="49" customFormat="false" ht="14.25" hidden="false" customHeight="true" outlineLevel="0" collapsed="false">
      <c r="A49" s="32" t="n">
        <v>1992</v>
      </c>
      <c r="B49" s="33" t="s">
        <v>61</v>
      </c>
      <c r="C49" s="34" t="n">
        <v>50.37</v>
      </c>
      <c r="D49" s="35" t="n">
        <v>48.29</v>
      </c>
      <c r="E49" s="35" t="n">
        <v>46.02</v>
      </c>
      <c r="F49" s="35" t="n">
        <v>44.38</v>
      </c>
      <c r="G49" s="35" t="n">
        <v>14.4</v>
      </c>
      <c r="H49" s="35" t="n">
        <v>11.98</v>
      </c>
      <c r="I49" s="35"/>
      <c r="J49" s="36" t="n">
        <f aca="false">F49-E49</f>
        <v>-1.64</v>
      </c>
      <c r="K49" s="36" t="n">
        <v>33.4497595172496</v>
      </c>
      <c r="L49" s="36" t="n">
        <v>52.4548090328868</v>
      </c>
      <c r="M49" s="36" t="n">
        <v>90.61</v>
      </c>
      <c r="N49" s="39" t="n">
        <f aca="false">(Typical_retail_prices_of_petroleum_products_and_a_crude_oil_price_index_monthly[[#This Row],[Month]]&amp;" "&amp;Typical_retail_prices_of_petroleum_products_and_a_crude_oil_price_index_monthly[[#This Row],[Year]])*1</f>
        <v>33664</v>
      </c>
    </row>
    <row r="50" customFormat="false" ht="14.25" hidden="false" customHeight="true" outlineLevel="0" collapsed="false">
      <c r="A50" s="32" t="n">
        <v>1992</v>
      </c>
      <c r="B50" s="33" t="s">
        <v>62</v>
      </c>
      <c r="C50" s="34" t="n">
        <v>50.61</v>
      </c>
      <c r="D50" s="35" t="n">
        <v>48.41</v>
      </c>
      <c r="E50" s="35" t="n">
        <v>46.07</v>
      </c>
      <c r="F50" s="35" t="n">
        <v>44.59</v>
      </c>
      <c r="G50" s="35" t="n">
        <v>12.64</v>
      </c>
      <c r="H50" s="35" t="n">
        <v>12.16</v>
      </c>
      <c r="I50" s="35"/>
      <c r="J50" s="36" t="n">
        <f aca="false">F50-E50</f>
        <v>-1.48</v>
      </c>
      <c r="K50" s="36" t="n">
        <v>36.3550636492522</v>
      </c>
      <c r="L50" s="36" t="n">
        <v>57.0108110976569</v>
      </c>
      <c r="M50" s="36" t="n">
        <v>98.48</v>
      </c>
      <c r="N50" s="39" t="n">
        <f aca="false">(Typical_retail_prices_of_petroleum_products_and_a_crude_oil_price_index_monthly[[#This Row],[Month]]&amp;" "&amp;Typical_retail_prices_of_petroleum_products_and_a_crude_oil_price_index_monthly[[#This Row],[Year]])*1</f>
        <v>33695</v>
      </c>
    </row>
    <row r="51" customFormat="false" ht="14.25" hidden="false" customHeight="true" outlineLevel="0" collapsed="false">
      <c r="A51" s="32" t="n">
        <v>1992</v>
      </c>
      <c r="B51" s="33" t="s">
        <v>63</v>
      </c>
      <c r="C51" s="34" t="n">
        <v>51.36</v>
      </c>
      <c r="D51" s="35" t="n">
        <v>49.24</v>
      </c>
      <c r="E51" s="35" t="n">
        <v>47.05</v>
      </c>
      <c r="F51" s="35" t="n">
        <v>45.37</v>
      </c>
      <c r="G51" s="35" t="n">
        <v>12.62</v>
      </c>
      <c r="H51" s="35" t="n">
        <v>12.34</v>
      </c>
      <c r="I51" s="35"/>
      <c r="J51" s="36" t="n">
        <f aca="false">F51-E51</f>
        <v>-1.68</v>
      </c>
      <c r="K51" s="36" t="n">
        <v>37.4367080084349</v>
      </c>
      <c r="L51" s="36" t="n">
        <v>58.7070100874633</v>
      </c>
      <c r="M51" s="36" t="n">
        <v>101.41</v>
      </c>
      <c r="N51" s="39" t="n">
        <f aca="false">(Typical_retail_prices_of_petroleum_products_and_a_crude_oil_price_index_monthly[[#This Row],[Month]]&amp;" "&amp;Typical_retail_prices_of_petroleum_products_and_a_crude_oil_price_index_monthly[[#This Row],[Year]])*1</f>
        <v>33725</v>
      </c>
    </row>
    <row r="52" customFormat="false" ht="14.25" hidden="false" customHeight="true" outlineLevel="0" collapsed="false">
      <c r="A52" s="32" t="n">
        <v>1992</v>
      </c>
      <c r="B52" s="33" t="s">
        <v>64</v>
      </c>
      <c r="C52" s="34" t="n">
        <v>52.09</v>
      </c>
      <c r="D52" s="35" t="n">
        <v>50.03</v>
      </c>
      <c r="E52" s="35" t="n">
        <v>47.48</v>
      </c>
      <c r="F52" s="35" t="n">
        <v>45.25</v>
      </c>
      <c r="G52" s="35" t="n">
        <v>12.66</v>
      </c>
      <c r="H52" s="35" t="n">
        <v>12.33</v>
      </c>
      <c r="I52" s="35"/>
      <c r="J52" s="36" t="n">
        <f aca="false">F52-E52</f>
        <v>-2.23</v>
      </c>
      <c r="K52" s="36" t="n">
        <v>38.6992416973102</v>
      </c>
      <c r="L52" s="36" t="n">
        <v>60.6868737547458</v>
      </c>
      <c r="M52" s="36" t="n">
        <v>104.83</v>
      </c>
      <c r="N52" s="39" t="n">
        <f aca="false">(Typical_retail_prices_of_petroleum_products_and_a_crude_oil_price_index_monthly[[#This Row],[Month]]&amp;" "&amp;Typical_retail_prices_of_petroleum_products_and_a_crude_oil_price_index_monthly[[#This Row],[Year]])*1</f>
        <v>33756</v>
      </c>
    </row>
    <row r="53" customFormat="false" ht="14.25" hidden="false" customHeight="true" outlineLevel="0" collapsed="false">
      <c r="A53" s="32" t="n">
        <v>1992</v>
      </c>
      <c r="B53" s="33" t="s">
        <v>65</v>
      </c>
      <c r="C53" s="34" t="n">
        <v>50.66</v>
      </c>
      <c r="D53" s="35" t="n">
        <v>48.55</v>
      </c>
      <c r="E53" s="35" t="n">
        <v>46.36</v>
      </c>
      <c r="F53" s="35" t="n">
        <v>44.95</v>
      </c>
      <c r="G53" s="35" t="n">
        <v>12.41</v>
      </c>
      <c r="H53" s="35" t="n">
        <v>11.98</v>
      </c>
      <c r="I53" s="35"/>
      <c r="J53" s="36" t="n">
        <f aca="false">F53-E53</f>
        <v>-1.41</v>
      </c>
      <c r="K53" s="36" t="n">
        <v>38.5368104624841</v>
      </c>
      <c r="L53" s="36" t="n">
        <v>60.4321544525224</v>
      </c>
      <c r="M53" s="36" t="n">
        <v>104.39</v>
      </c>
      <c r="N53" s="39" t="n">
        <f aca="false">(Typical_retail_prices_of_petroleum_products_and_a_crude_oil_price_index_monthly[[#This Row],[Month]]&amp;" "&amp;Typical_retail_prices_of_petroleum_products_and_a_crude_oil_price_index_monthly[[#This Row],[Year]])*1</f>
        <v>33786</v>
      </c>
    </row>
    <row r="54" customFormat="false" ht="14.25" hidden="false" customHeight="true" outlineLevel="0" collapsed="false">
      <c r="A54" s="32" t="n">
        <v>1992</v>
      </c>
      <c r="B54" s="33" t="s">
        <v>66</v>
      </c>
      <c r="C54" s="34" t="n">
        <v>49.74</v>
      </c>
      <c r="D54" s="35" t="n">
        <v>47.62</v>
      </c>
      <c r="E54" s="35" t="n">
        <v>45.44</v>
      </c>
      <c r="F54" s="35" t="n">
        <v>44.5</v>
      </c>
      <c r="G54" s="35" t="n">
        <v>12.04</v>
      </c>
      <c r="H54" s="35" t="n">
        <v>11.6</v>
      </c>
      <c r="I54" s="35"/>
      <c r="J54" s="36" t="n">
        <f aca="false">F54-E54</f>
        <v>-0.939999999999998</v>
      </c>
      <c r="K54" s="36" t="n">
        <v>35.3767846213225</v>
      </c>
      <c r="L54" s="36" t="n">
        <v>55.4767062092654</v>
      </c>
      <c r="M54" s="36" t="n">
        <v>95.83</v>
      </c>
      <c r="N54" s="39" t="n">
        <f aca="false">(Typical_retail_prices_of_petroleum_products_and_a_crude_oil_price_index_monthly[[#This Row],[Month]]&amp;" "&amp;Typical_retail_prices_of_petroleum_products_and_a_crude_oil_price_index_monthly[[#This Row],[Year]])*1</f>
        <v>33817</v>
      </c>
    </row>
    <row r="55" customFormat="false" ht="14.25" hidden="false" customHeight="true" outlineLevel="0" collapsed="false">
      <c r="A55" s="32" t="n">
        <v>1992</v>
      </c>
      <c r="B55" s="33" t="s">
        <v>67</v>
      </c>
      <c r="C55" s="34" t="n">
        <v>49.53</v>
      </c>
      <c r="D55" s="35" t="n">
        <v>47.42</v>
      </c>
      <c r="E55" s="35" t="n">
        <v>45.15</v>
      </c>
      <c r="F55" s="35" t="n">
        <v>44.27</v>
      </c>
      <c r="G55" s="35" t="n">
        <v>12.44</v>
      </c>
      <c r="H55" s="35" t="n">
        <v>12.23</v>
      </c>
      <c r="I55" s="35"/>
      <c r="J55" s="36" t="n">
        <f aca="false">F55-E55</f>
        <v>-0.879999999999996</v>
      </c>
      <c r="K55" s="36" t="n">
        <v>35.4949164284687</v>
      </c>
      <c r="L55" s="36" t="n">
        <v>55.6619566108825</v>
      </c>
      <c r="M55" s="36" t="n">
        <v>96.15</v>
      </c>
      <c r="N55" s="39" t="n">
        <f aca="false">(Typical_retail_prices_of_petroleum_products_and_a_crude_oil_price_index_monthly[[#This Row],[Month]]&amp;" "&amp;Typical_retail_prices_of_petroleum_products_and_a_crude_oil_price_index_monthly[[#This Row],[Year]])*1</f>
        <v>33848</v>
      </c>
    </row>
    <row r="56" customFormat="false" ht="14.25" hidden="false" customHeight="true" outlineLevel="0" collapsed="false">
      <c r="A56" s="32" t="n">
        <v>1992</v>
      </c>
      <c r="B56" s="33" t="s">
        <v>68</v>
      </c>
      <c r="C56" s="34" t="n">
        <v>51.35</v>
      </c>
      <c r="D56" s="35" t="n">
        <v>49.44</v>
      </c>
      <c r="E56" s="35" t="n">
        <v>47.04</v>
      </c>
      <c r="F56" s="35" t="n">
        <v>46.26</v>
      </c>
      <c r="G56" s="35" t="n">
        <v>13.75</v>
      </c>
      <c r="H56" s="35" t="n">
        <v>13.35</v>
      </c>
      <c r="I56" s="35"/>
      <c r="J56" s="36" t="n">
        <f aca="false">F56-E56</f>
        <v>-0.780000000000001</v>
      </c>
      <c r="K56" s="36" t="n">
        <v>36.8755819244903</v>
      </c>
      <c r="L56" s="36" t="n">
        <v>57.8270706797821</v>
      </c>
      <c r="M56" s="36" t="n">
        <v>99.89</v>
      </c>
      <c r="N56" s="39" t="n">
        <f aca="false">(Typical_retail_prices_of_petroleum_products_and_a_crude_oil_price_index_monthly[[#This Row],[Month]]&amp;" "&amp;Typical_retail_prices_of_petroleum_products_and_a_crude_oil_price_index_monthly[[#This Row],[Year]])*1</f>
        <v>33878</v>
      </c>
    </row>
    <row r="57" customFormat="false" ht="14.25" hidden="false" customHeight="true" outlineLevel="0" collapsed="false">
      <c r="A57" s="32" t="n">
        <v>1992</v>
      </c>
      <c r="B57" s="33" t="s">
        <v>69</v>
      </c>
      <c r="C57" s="34" t="n">
        <v>51.71</v>
      </c>
      <c r="D57" s="35" t="n">
        <v>49.97</v>
      </c>
      <c r="E57" s="35" t="n">
        <v>47.63</v>
      </c>
      <c r="F57" s="35" t="n">
        <v>47.21</v>
      </c>
      <c r="G57" s="35" t="n">
        <v>14.46</v>
      </c>
      <c r="H57" s="35" t="n">
        <v>14.09</v>
      </c>
      <c r="I57" s="35"/>
      <c r="J57" s="36" t="n">
        <f aca="false">F57-E57</f>
        <v>-0.420000000000002</v>
      </c>
      <c r="K57" s="36" t="n">
        <v>39.8141106272527</v>
      </c>
      <c r="L57" s="36" t="n">
        <v>62.4351744200071</v>
      </c>
      <c r="M57" s="36" t="n">
        <v>107.85</v>
      </c>
      <c r="N57" s="39" t="n">
        <f aca="false">(Typical_retail_prices_of_petroleum_products_and_a_crude_oil_price_index_monthly[[#This Row],[Month]]&amp;" "&amp;Typical_retail_prices_of_petroleum_products_and_a_crude_oil_price_index_monthly[[#This Row],[Year]])*1</f>
        <v>33909</v>
      </c>
    </row>
    <row r="58" customFormat="false" ht="14.25" hidden="false" customHeight="true" outlineLevel="0" collapsed="false">
      <c r="A58" s="32" t="n">
        <v>1992</v>
      </c>
      <c r="B58" s="33" t="s">
        <v>70</v>
      </c>
      <c r="C58" s="34" t="n">
        <v>51.25</v>
      </c>
      <c r="D58" s="35" t="n">
        <v>49.55</v>
      </c>
      <c r="E58" s="35" t="n">
        <v>46.95</v>
      </c>
      <c r="F58" s="35" t="n">
        <v>46.47</v>
      </c>
      <c r="G58" s="35" t="n">
        <v>13.89</v>
      </c>
      <c r="H58" s="35" t="n">
        <v>13.52</v>
      </c>
      <c r="I58" s="35"/>
      <c r="J58" s="36" t="n">
        <f aca="false">F58-E58</f>
        <v>-0.480000000000004</v>
      </c>
      <c r="K58" s="36" t="n">
        <v>41.0655694592081</v>
      </c>
      <c r="L58" s="36" t="n">
        <v>64.397670862138</v>
      </c>
      <c r="M58" s="36" t="n">
        <v>111.24</v>
      </c>
      <c r="N58" s="39" t="n">
        <f aca="false">(Typical_retail_prices_of_petroleum_products_and_a_crude_oil_price_index_monthly[[#This Row],[Month]]&amp;" "&amp;Typical_retail_prices_of_petroleum_products_and_a_crude_oil_price_index_monthly[[#This Row],[Year]])*1</f>
        <v>33939</v>
      </c>
    </row>
    <row r="59" customFormat="false" ht="14.25" hidden="false" customHeight="true" outlineLevel="0" collapsed="false">
      <c r="A59" s="32" t="n">
        <v>1993</v>
      </c>
      <c r="B59" s="33" t="s">
        <v>59</v>
      </c>
      <c r="C59" s="34" t="n">
        <v>51.27</v>
      </c>
      <c r="D59" s="35" t="n">
        <v>49.76</v>
      </c>
      <c r="E59" s="35" t="n">
        <v>47.13</v>
      </c>
      <c r="F59" s="35" t="n">
        <v>47.05</v>
      </c>
      <c r="G59" s="35" t="n">
        <v>14.1</v>
      </c>
      <c r="H59" s="35" t="n">
        <v>13.52</v>
      </c>
      <c r="I59" s="35"/>
      <c r="J59" s="36" t="n">
        <f aca="false">F59-E59</f>
        <v>-0.0800000000000054</v>
      </c>
      <c r="K59" s="36" t="n">
        <v>38.7287746490968</v>
      </c>
      <c r="L59" s="36" t="n">
        <v>60.7331863551501</v>
      </c>
      <c r="M59" s="36" t="n">
        <v>104.91</v>
      </c>
      <c r="N59" s="39" t="n">
        <f aca="false">(Typical_retail_prices_of_petroleum_products_and_a_crude_oil_price_index_monthly[[#This Row],[Month]]&amp;" "&amp;Typical_retail_prices_of_petroleum_products_and_a_crude_oil_price_index_monthly[[#This Row],[Year]])*1</f>
        <v>33970</v>
      </c>
    </row>
    <row r="60" customFormat="false" ht="14.25" hidden="false" customHeight="true" outlineLevel="0" collapsed="false">
      <c r="A60" s="32" t="n">
        <v>1993</v>
      </c>
      <c r="B60" s="33" t="s">
        <v>60</v>
      </c>
      <c r="C60" s="34" t="n">
        <v>51.96</v>
      </c>
      <c r="D60" s="35" t="n">
        <v>50.58</v>
      </c>
      <c r="E60" s="35" t="n">
        <v>47.67</v>
      </c>
      <c r="F60" s="35" t="n">
        <v>47.81</v>
      </c>
      <c r="G60" s="35" t="n">
        <v>14.41</v>
      </c>
      <c r="H60" s="35" t="n">
        <v>13.81</v>
      </c>
      <c r="I60" s="35"/>
      <c r="J60" s="36" t="n">
        <f aca="false">F60-E60</f>
        <v>0.140000000000001</v>
      </c>
      <c r="K60" s="36" t="n">
        <v>40.3752367111973</v>
      </c>
      <c r="L60" s="36" t="n">
        <v>63.3151138276882</v>
      </c>
      <c r="M60" s="36" t="n">
        <v>109.37</v>
      </c>
      <c r="N60" s="39" t="n">
        <f aca="false">(Typical_retail_prices_of_petroleum_products_and_a_crude_oil_price_index_monthly[[#This Row],[Month]]&amp;" "&amp;Typical_retail_prices_of_petroleum_products_and_a_crude_oil_price_index_monthly[[#This Row],[Year]])*1</f>
        <v>34001</v>
      </c>
    </row>
    <row r="61" customFormat="false" ht="14.25" hidden="false" customHeight="true" outlineLevel="0" collapsed="false">
      <c r="A61" s="32" t="n">
        <v>1993</v>
      </c>
      <c r="B61" s="33" t="s">
        <v>61</v>
      </c>
      <c r="C61" s="34" t="n">
        <v>52.72</v>
      </c>
      <c r="D61" s="35" t="n">
        <v>51.54</v>
      </c>
      <c r="E61" s="35" t="n">
        <v>48.44</v>
      </c>
      <c r="F61" s="35" t="n">
        <v>48.36</v>
      </c>
      <c r="G61" s="35" t="n">
        <v>14.53</v>
      </c>
      <c r="H61" s="35" t="n">
        <v>14.04</v>
      </c>
      <c r="I61" s="35"/>
      <c r="J61" s="36" t="n">
        <f aca="false">F61-E61</f>
        <v>-0.0799999999999983</v>
      </c>
      <c r="K61" s="36" t="n">
        <v>44.1849874916632</v>
      </c>
      <c r="L61" s="36" t="n">
        <v>69.2894392798391</v>
      </c>
      <c r="M61" s="36" t="n">
        <v>119.69</v>
      </c>
      <c r="N61" s="39" t="n">
        <f aca="false">(Typical_retail_prices_of_petroleum_products_and_a_crude_oil_price_index_monthly[[#This Row],[Month]]&amp;" "&amp;Typical_retail_prices_of_petroleum_products_and_a_crude_oil_price_index_monthly[[#This Row],[Year]])*1</f>
        <v>34029</v>
      </c>
    </row>
    <row r="62" customFormat="false" ht="14.25" hidden="false" customHeight="true" outlineLevel="0" collapsed="false">
      <c r="A62" s="32" t="n">
        <v>1993</v>
      </c>
      <c r="B62" s="33" t="s">
        <v>62</v>
      </c>
      <c r="C62" s="34" t="n">
        <v>54.84</v>
      </c>
      <c r="D62" s="35" t="n">
        <v>53.52</v>
      </c>
      <c r="E62" s="35" t="n">
        <v>50.06</v>
      </c>
      <c r="F62" s="35" t="n">
        <v>49.28</v>
      </c>
      <c r="G62" s="35" t="n">
        <v>14.07</v>
      </c>
      <c r="H62" s="35" t="n">
        <v>14.34</v>
      </c>
      <c r="I62" s="35"/>
      <c r="J62" s="36" t="n">
        <f aca="false">F62-E62</f>
        <v>-0.780000000000001</v>
      </c>
      <c r="K62" s="36" t="n">
        <v>42.6271242849223</v>
      </c>
      <c r="L62" s="36" t="n">
        <v>66.8464496085138</v>
      </c>
      <c r="M62" s="36" t="n">
        <v>115.47</v>
      </c>
      <c r="N62" s="39" t="n">
        <f aca="false">(Typical_retail_prices_of_petroleum_products_and_a_crude_oil_price_index_monthly[[#This Row],[Month]]&amp;" "&amp;Typical_retail_prices_of_petroleum_products_and_a_crude_oil_price_index_monthly[[#This Row],[Year]])*1</f>
        <v>34060</v>
      </c>
    </row>
    <row r="63" customFormat="false" ht="14.25" hidden="false" customHeight="true" outlineLevel="0" collapsed="false">
      <c r="A63" s="32" t="n">
        <v>1993</v>
      </c>
      <c r="B63" s="33" t="s">
        <v>63</v>
      </c>
      <c r="C63" s="34" t="n">
        <v>55.04</v>
      </c>
      <c r="D63" s="35" t="n">
        <v>53.76</v>
      </c>
      <c r="E63" s="35" t="n">
        <v>50.23</v>
      </c>
      <c r="F63" s="35" t="n">
        <v>49.38</v>
      </c>
      <c r="G63" s="35" t="n">
        <v>13.73</v>
      </c>
      <c r="H63" s="35" t="n">
        <v>13.73</v>
      </c>
      <c r="I63" s="35"/>
      <c r="J63" s="36" t="n">
        <f aca="false">F63-E63</f>
        <v>-0.849999999999994</v>
      </c>
      <c r="K63" s="36" t="n">
        <v>39.9580837672122</v>
      </c>
      <c r="L63" s="36" t="n">
        <v>62.6609483469779</v>
      </c>
      <c r="M63" s="36" t="n">
        <v>108.24</v>
      </c>
      <c r="N63" s="39" t="n">
        <f aca="false">(Typical_retail_prices_of_petroleum_products_and_a_crude_oil_price_index_monthly[[#This Row],[Month]]&amp;" "&amp;Typical_retail_prices_of_petroleum_products_and_a_crude_oil_price_index_monthly[[#This Row],[Year]])*1</f>
        <v>34090</v>
      </c>
    </row>
    <row r="64" customFormat="false" ht="14.25" hidden="false" customHeight="true" outlineLevel="0" collapsed="false">
      <c r="A64" s="32" t="n">
        <v>1993</v>
      </c>
      <c r="B64" s="33" t="s">
        <v>64</v>
      </c>
      <c r="C64" s="34" t="n">
        <v>55.64</v>
      </c>
      <c r="D64" s="35" t="n">
        <v>54.29</v>
      </c>
      <c r="E64" s="35" t="n">
        <v>50.66</v>
      </c>
      <c r="F64" s="35" t="n">
        <v>49.69</v>
      </c>
      <c r="G64" s="35" t="n">
        <v>13.33</v>
      </c>
      <c r="H64" s="35" t="n">
        <v>13.26</v>
      </c>
      <c r="I64" s="35"/>
      <c r="J64" s="36" t="n">
        <f aca="false">F64-E64</f>
        <v>-0.969999999999999</v>
      </c>
      <c r="K64" s="36" t="n">
        <v>37.5954476242876</v>
      </c>
      <c r="L64" s="36" t="n">
        <v>58.9559403146362</v>
      </c>
      <c r="M64" s="36" t="n">
        <v>101.84</v>
      </c>
      <c r="N64" s="39" t="n">
        <f aca="false">(Typical_retail_prices_of_petroleum_products_and_a_crude_oil_price_index_monthly[[#This Row],[Month]]&amp;" "&amp;Typical_retail_prices_of_petroleum_products_and_a_crude_oil_price_index_monthly[[#This Row],[Year]])*1</f>
        <v>34121</v>
      </c>
    </row>
    <row r="65" customFormat="false" ht="14.25" hidden="false" customHeight="true" outlineLevel="0" collapsed="false">
      <c r="A65" s="32" t="n">
        <v>1993</v>
      </c>
      <c r="B65" s="33" t="s">
        <v>65</v>
      </c>
      <c r="C65" s="34" t="n">
        <v>54.86</v>
      </c>
      <c r="D65" s="35" t="n">
        <v>53.69</v>
      </c>
      <c r="E65" s="35" t="n">
        <v>50.03</v>
      </c>
      <c r="F65" s="35" t="n">
        <v>49.43</v>
      </c>
      <c r="G65" s="35" t="n">
        <v>13.1</v>
      </c>
      <c r="H65" s="35" t="n">
        <v>12.88</v>
      </c>
      <c r="I65" s="35"/>
      <c r="J65" s="36" t="n">
        <f aca="false">F65-E65</f>
        <v>-0.600000000000001</v>
      </c>
      <c r="K65" s="36" t="n">
        <v>36.8755819244903</v>
      </c>
      <c r="L65" s="36" t="n">
        <v>57.8270706797821</v>
      </c>
      <c r="M65" s="36" t="n">
        <v>99.89</v>
      </c>
      <c r="N65" s="39" t="n">
        <f aca="false">(Typical_retail_prices_of_petroleum_products_and_a_crude_oil_price_index_monthly[[#This Row],[Month]]&amp;" "&amp;Typical_retail_prices_of_petroleum_products_and_a_crude_oil_price_index_monthly[[#This Row],[Year]])*1</f>
        <v>34151</v>
      </c>
    </row>
    <row r="66" customFormat="false" ht="14.25" hidden="false" customHeight="true" outlineLevel="0" collapsed="false">
      <c r="A66" s="32" t="n">
        <v>1993</v>
      </c>
      <c r="B66" s="33" t="s">
        <v>66</v>
      </c>
      <c r="C66" s="34" t="n">
        <v>54.46</v>
      </c>
      <c r="D66" s="35" t="n">
        <v>53.31</v>
      </c>
      <c r="E66" s="35" t="n">
        <v>49.66</v>
      </c>
      <c r="F66" s="35" t="n">
        <v>49.08</v>
      </c>
      <c r="G66" s="35" t="n">
        <v>12.87</v>
      </c>
      <c r="H66" s="35" t="n">
        <v>12.66</v>
      </c>
      <c r="I66" s="35"/>
      <c r="J66" s="36" t="n">
        <f aca="false">F66-E66</f>
        <v>-0.579999999999998</v>
      </c>
      <c r="K66" s="36" t="n">
        <v>37.1524533474893</v>
      </c>
      <c r="L66" s="36" t="n">
        <v>58.2612513085722</v>
      </c>
      <c r="M66" s="36" t="n">
        <v>100.64</v>
      </c>
      <c r="N66" s="39" t="n">
        <f aca="false">(Typical_retail_prices_of_petroleum_products_and_a_crude_oil_price_index_monthly[[#This Row],[Month]]&amp;" "&amp;Typical_retail_prices_of_petroleum_products_and_a_crude_oil_price_index_monthly[[#This Row],[Year]])*1</f>
        <v>34182</v>
      </c>
    </row>
    <row r="67" customFormat="false" ht="14.25" hidden="false" customHeight="true" outlineLevel="0" collapsed="false">
      <c r="A67" s="32" t="n">
        <v>1993</v>
      </c>
      <c r="B67" s="33" t="s">
        <v>67</v>
      </c>
      <c r="C67" s="34" t="n">
        <v>54.64</v>
      </c>
      <c r="D67" s="35" t="n">
        <v>53.54</v>
      </c>
      <c r="E67" s="35" t="n">
        <v>49.98</v>
      </c>
      <c r="F67" s="35" t="n">
        <v>49.38</v>
      </c>
      <c r="G67" s="35" t="n">
        <v>12.84</v>
      </c>
      <c r="H67" s="35" t="n">
        <v>12.72</v>
      </c>
      <c r="I67" s="35"/>
      <c r="J67" s="36" t="n">
        <f aca="false">F67-E67</f>
        <v>-0.599999999999994</v>
      </c>
      <c r="K67" s="36" t="n">
        <v>35.2254282434164</v>
      </c>
      <c r="L67" s="36" t="n">
        <v>55.2393541321935</v>
      </c>
      <c r="M67" s="36" t="n">
        <v>95.42</v>
      </c>
      <c r="N67" s="39" t="n">
        <f aca="false">(Typical_retail_prices_of_petroleum_products_and_a_crude_oil_price_index_monthly[[#This Row],[Month]]&amp;" "&amp;Typical_retail_prices_of_petroleum_products_and_a_crude_oil_price_index_monthly[[#This Row],[Year]])*1</f>
        <v>34213</v>
      </c>
    </row>
    <row r="68" customFormat="false" ht="14.25" hidden="false" customHeight="true" outlineLevel="0" collapsed="false">
      <c r="A68" s="32" t="n">
        <v>1993</v>
      </c>
      <c r="B68" s="33" t="s">
        <v>68</v>
      </c>
      <c r="C68" s="34" t="n">
        <v>54.09</v>
      </c>
      <c r="D68" s="35" t="n">
        <v>53.01</v>
      </c>
      <c r="E68" s="35" t="n">
        <v>49.29</v>
      </c>
      <c r="F68" s="35" t="n">
        <v>49.26</v>
      </c>
      <c r="G68" s="35" t="n">
        <v>13.64</v>
      </c>
      <c r="H68" s="35" t="n">
        <v>13.51</v>
      </c>
      <c r="I68" s="35"/>
      <c r="J68" s="36" t="n">
        <f aca="false">F68-E68</f>
        <v>-0.0300000000000011</v>
      </c>
      <c r="K68" s="36" t="n">
        <v>36.3624468871988</v>
      </c>
      <c r="L68" s="36" t="n">
        <v>57.0223892477579</v>
      </c>
      <c r="M68" s="36" t="n">
        <v>98.5</v>
      </c>
      <c r="N68" s="39" t="n">
        <f aca="false">(Typical_retail_prices_of_petroleum_products_and_a_crude_oil_price_index_monthly[[#This Row],[Month]]&amp;" "&amp;Typical_retail_prices_of_petroleum_products_and_a_crude_oil_price_index_monthly[[#This Row],[Year]])*1</f>
        <v>34243</v>
      </c>
    </row>
    <row r="69" customFormat="false" ht="14.25" hidden="false" customHeight="true" outlineLevel="0" collapsed="false">
      <c r="A69" s="32" t="n">
        <v>1993</v>
      </c>
      <c r="B69" s="33" t="s">
        <v>69</v>
      </c>
      <c r="C69" s="34" t="n">
        <v>54.15</v>
      </c>
      <c r="D69" s="35" t="n">
        <v>53.11</v>
      </c>
      <c r="E69" s="35" t="n">
        <v>49.38</v>
      </c>
      <c r="F69" s="35" t="n">
        <v>50.01</v>
      </c>
      <c r="G69" s="35" t="n">
        <v>13.68</v>
      </c>
      <c r="H69" s="35" t="n">
        <v>13.42</v>
      </c>
      <c r="I69" s="35"/>
      <c r="J69" s="36" t="n">
        <f aca="false">F69-E69</f>
        <v>0.629999999999996</v>
      </c>
      <c r="K69" s="36" t="n">
        <v>34.620002731792</v>
      </c>
      <c r="L69" s="36" t="n">
        <v>54.289945823906</v>
      </c>
      <c r="M69" s="36" t="n">
        <v>93.78</v>
      </c>
      <c r="N69" s="39" t="n">
        <f aca="false">(Typical_retail_prices_of_petroleum_products_and_a_crude_oil_price_index_monthly[[#This Row],[Month]]&amp;" "&amp;Typical_retail_prices_of_petroleum_products_and_a_crude_oil_price_index_monthly[[#This Row],[Year]])*1</f>
        <v>34274</v>
      </c>
    </row>
    <row r="70" customFormat="false" ht="14.25" hidden="false" customHeight="true" outlineLevel="0" collapsed="false">
      <c r="A70" s="32" t="n">
        <v>1993</v>
      </c>
      <c r="B70" s="33" t="s">
        <v>70</v>
      </c>
      <c r="C70" s="34" t="n">
        <v>55.78</v>
      </c>
      <c r="D70" s="35" t="n">
        <v>54.76</v>
      </c>
      <c r="E70" s="35" t="n">
        <v>50.79</v>
      </c>
      <c r="F70" s="35" t="n">
        <v>51.61</v>
      </c>
      <c r="G70" s="35" t="n">
        <v>13.35</v>
      </c>
      <c r="H70" s="35" t="n">
        <v>13.14</v>
      </c>
      <c r="I70" s="35"/>
      <c r="J70" s="36" t="n">
        <f aca="false">F70-E70</f>
        <v>0.82</v>
      </c>
      <c r="K70" s="36" t="n">
        <v>35.3694013833758</v>
      </c>
      <c r="L70" s="36" t="n">
        <v>55.4651280591644</v>
      </c>
      <c r="M70" s="36" t="n">
        <v>95.81</v>
      </c>
      <c r="N70" s="39" t="n">
        <f aca="false">(Typical_retail_prices_of_petroleum_products_and_a_crude_oil_price_index_monthly[[#This Row],[Month]]&amp;" "&amp;Typical_retail_prices_of_petroleum_products_and_a_crude_oil_price_index_monthly[[#This Row],[Year]])*1</f>
        <v>34304</v>
      </c>
    </row>
    <row r="71" customFormat="false" ht="14.25" hidden="false" customHeight="true" outlineLevel="0" collapsed="false">
      <c r="A71" s="32" t="n">
        <v>1994</v>
      </c>
      <c r="B71" s="33" t="s">
        <v>59</v>
      </c>
      <c r="C71" s="34" t="n">
        <v>55.5</v>
      </c>
      <c r="D71" s="35" t="n">
        <v>54.48</v>
      </c>
      <c r="E71" s="35" t="n">
        <v>50.83</v>
      </c>
      <c r="F71" s="35" t="n">
        <v>51.72</v>
      </c>
      <c r="G71" s="35" t="n">
        <v>12.94</v>
      </c>
      <c r="H71" s="35" t="n">
        <v>12.72</v>
      </c>
      <c r="I71" s="35"/>
      <c r="J71" s="36" t="n">
        <f aca="false">F71-E71</f>
        <v>0.890000000000001</v>
      </c>
      <c r="K71" s="36" t="n">
        <v>31.9103544053753</v>
      </c>
      <c r="L71" s="36" t="n">
        <v>50.0407647368142</v>
      </c>
      <c r="M71" s="36" t="n">
        <v>86.44</v>
      </c>
      <c r="N71" s="39" t="n">
        <f aca="false">(Typical_retail_prices_of_petroleum_products_and_a_crude_oil_price_index_monthly[[#This Row],[Month]]&amp;" "&amp;Typical_retail_prices_of_petroleum_products_and_a_crude_oil_price_index_monthly[[#This Row],[Year]])*1</f>
        <v>34335</v>
      </c>
    </row>
    <row r="72" customFormat="false" ht="14.25" hidden="false" customHeight="true" outlineLevel="0" collapsed="false">
      <c r="A72" s="32" t="n">
        <v>1994</v>
      </c>
      <c r="B72" s="33" t="s">
        <v>60</v>
      </c>
      <c r="C72" s="34" t="n">
        <v>55.91</v>
      </c>
      <c r="D72" s="35" t="n">
        <v>54.6</v>
      </c>
      <c r="E72" s="35" t="n">
        <v>50.52</v>
      </c>
      <c r="F72" s="35" t="n">
        <v>51.03</v>
      </c>
      <c r="G72" s="35" t="n">
        <v>12.87</v>
      </c>
      <c r="H72" s="35" t="n">
        <v>12.65</v>
      </c>
      <c r="I72" s="35"/>
      <c r="J72" s="36" t="n">
        <f aca="false">F72-E72</f>
        <v>0.509999999999998</v>
      </c>
      <c r="K72" s="36" t="n">
        <v>36.1298748918797</v>
      </c>
      <c r="L72" s="36" t="n">
        <v>56.6576775195743</v>
      </c>
      <c r="M72" s="36" t="n">
        <v>97.87</v>
      </c>
      <c r="N72" s="39" t="n">
        <f aca="false">(Typical_retail_prices_of_petroleum_products_and_a_crude_oil_price_index_monthly[[#This Row],[Month]]&amp;" "&amp;Typical_retail_prices_of_petroleum_products_and_a_crude_oil_price_index_monthly[[#This Row],[Year]])*1</f>
        <v>34366</v>
      </c>
    </row>
    <row r="73" customFormat="false" ht="14.25" hidden="false" customHeight="true" outlineLevel="0" collapsed="false">
      <c r="A73" s="32" t="n">
        <v>1994</v>
      </c>
      <c r="B73" s="33" t="s">
        <v>61</v>
      </c>
      <c r="C73" s="34" t="n">
        <v>55.73</v>
      </c>
      <c r="D73" s="35" t="n">
        <v>54.33</v>
      </c>
      <c r="E73" s="35" t="n">
        <v>50.35</v>
      </c>
      <c r="F73" s="35" t="n">
        <v>50.62</v>
      </c>
      <c r="G73" s="35" t="n">
        <v>12.63</v>
      </c>
      <c r="H73" s="35" t="n">
        <v>12.37</v>
      </c>
      <c r="I73" s="35"/>
      <c r="J73" s="36" t="n">
        <f aca="false">F73-E73</f>
        <v>0.269999999999996</v>
      </c>
      <c r="K73" s="36" t="n">
        <v>31.2938540368309</v>
      </c>
      <c r="L73" s="36" t="n">
        <v>49.073989203375</v>
      </c>
      <c r="M73" s="36" t="n">
        <v>84.77</v>
      </c>
      <c r="N73" s="39" t="n">
        <f aca="false">(Typical_retail_prices_of_petroleum_products_and_a_crude_oil_price_index_monthly[[#This Row],[Month]]&amp;" "&amp;Typical_retail_prices_of_petroleum_products_and_a_crude_oil_price_index_monthly[[#This Row],[Year]])*1</f>
        <v>34394</v>
      </c>
    </row>
    <row r="74" customFormat="false" ht="14.25" hidden="false" customHeight="true" outlineLevel="0" collapsed="false">
      <c r="A74" s="32" t="n">
        <v>1994</v>
      </c>
      <c r="B74" s="33" t="s">
        <v>62</v>
      </c>
      <c r="C74" s="34" t="n">
        <v>56.4</v>
      </c>
      <c r="D74" s="35" t="n">
        <v>55.18</v>
      </c>
      <c r="E74" s="35" t="n">
        <v>51.21</v>
      </c>
      <c r="F74" s="35" t="n">
        <v>51.38</v>
      </c>
      <c r="G74" s="35" t="n">
        <v>13.64</v>
      </c>
      <c r="H74" s="35" t="n">
        <v>13.63</v>
      </c>
      <c r="I74" s="35"/>
      <c r="J74" s="36" t="n">
        <f aca="false">F74-E74</f>
        <v>0.170000000000002</v>
      </c>
      <c r="K74" s="36" t="n">
        <v>33.5420499915826</v>
      </c>
      <c r="L74" s="36" t="n">
        <v>52.5995359091501</v>
      </c>
      <c r="M74" s="36" t="n">
        <v>90.86</v>
      </c>
      <c r="N74" s="39" t="n">
        <f aca="false">(Typical_retail_prices_of_petroleum_products_and_a_crude_oil_price_index_monthly[[#This Row],[Month]]&amp;" "&amp;Typical_retail_prices_of_petroleum_products_and_a_crude_oil_price_index_monthly[[#This Row],[Year]])*1</f>
        <v>34425</v>
      </c>
    </row>
    <row r="75" customFormat="false" ht="14.25" hidden="false" customHeight="true" outlineLevel="0" collapsed="false">
      <c r="A75" s="32" t="n">
        <v>1994</v>
      </c>
      <c r="B75" s="33" t="s">
        <v>63</v>
      </c>
      <c r="C75" s="34" t="n">
        <v>56.72</v>
      </c>
      <c r="D75" s="35" t="n">
        <v>55.69</v>
      </c>
      <c r="E75" s="35" t="n">
        <v>51.32</v>
      </c>
      <c r="F75" s="35" t="n">
        <v>51.51</v>
      </c>
      <c r="G75" s="35" t="n">
        <v>13.62</v>
      </c>
      <c r="H75" s="35" t="n">
        <v>13.72</v>
      </c>
      <c r="I75" s="35"/>
      <c r="J75" s="36" t="n">
        <f aca="false">F75-E75</f>
        <v>0.189999999999998</v>
      </c>
      <c r="K75" s="36" t="n">
        <v>35.5613655699885</v>
      </c>
      <c r="L75" s="36" t="n">
        <v>55.7661599617921</v>
      </c>
      <c r="M75" s="36" t="n">
        <v>96.33</v>
      </c>
      <c r="N75" s="39" t="n">
        <f aca="false">(Typical_retail_prices_of_petroleum_products_and_a_crude_oil_price_index_monthly[[#This Row],[Month]]&amp;" "&amp;Typical_retail_prices_of_petroleum_products_and_a_crude_oil_price_index_monthly[[#This Row],[Year]])*1</f>
        <v>34455</v>
      </c>
    </row>
    <row r="76" customFormat="false" ht="14.25" hidden="false" customHeight="true" outlineLevel="0" collapsed="false">
      <c r="A76" s="32" t="n">
        <v>1994</v>
      </c>
      <c r="B76" s="33" t="s">
        <v>64</v>
      </c>
      <c r="C76" s="34" t="n">
        <v>57.18</v>
      </c>
      <c r="D76" s="35" t="n">
        <v>56.26</v>
      </c>
      <c r="E76" s="35" t="n">
        <v>51.84</v>
      </c>
      <c r="F76" s="35" t="n">
        <v>51.54</v>
      </c>
      <c r="G76" s="35" t="n">
        <v>13.19</v>
      </c>
      <c r="H76" s="35" t="n">
        <v>13.3</v>
      </c>
      <c r="I76" s="35"/>
      <c r="J76" s="36" t="n">
        <f aca="false">F76-E76</f>
        <v>-0.300000000000004</v>
      </c>
      <c r="K76" s="36" t="n">
        <v>36.3772133630921</v>
      </c>
      <c r="L76" s="36" t="n">
        <v>57.0455455479601</v>
      </c>
      <c r="M76" s="36" t="n">
        <v>98.54</v>
      </c>
      <c r="N76" s="39" t="n">
        <f aca="false">(Typical_retail_prices_of_petroleum_products_and_a_crude_oil_price_index_monthly[[#This Row],[Month]]&amp;" "&amp;Typical_retail_prices_of_petroleum_products_and_a_crude_oil_price_index_monthly[[#This Row],[Year]])*1</f>
        <v>34486</v>
      </c>
    </row>
    <row r="77" customFormat="false" ht="14.25" hidden="false" customHeight="true" outlineLevel="0" collapsed="false">
      <c r="A77" s="32" t="n">
        <v>1994</v>
      </c>
      <c r="B77" s="33" t="s">
        <v>65</v>
      </c>
      <c r="C77" s="34" t="n">
        <v>56.94</v>
      </c>
      <c r="D77" s="35" t="n">
        <v>56.2</v>
      </c>
      <c r="E77" s="35" t="n">
        <v>51.42</v>
      </c>
      <c r="F77" s="35" t="n">
        <v>51.38</v>
      </c>
      <c r="G77" s="35" t="n">
        <v>13.41</v>
      </c>
      <c r="H77" s="35" t="n">
        <v>13.25</v>
      </c>
      <c r="I77" s="35"/>
      <c r="J77" s="36" t="n">
        <f aca="false">F77-E77</f>
        <v>-0.0399999999999992</v>
      </c>
      <c r="K77" s="36" t="n">
        <v>38.0458251390326</v>
      </c>
      <c r="L77" s="36" t="n">
        <v>59.6622074708014</v>
      </c>
      <c r="M77" s="36" t="n">
        <v>103.06</v>
      </c>
      <c r="N77" s="39" t="n">
        <f aca="false">(Typical_retail_prices_of_petroleum_products_and_a_crude_oil_price_index_monthly[[#This Row],[Month]]&amp;" "&amp;Typical_retail_prices_of_petroleum_products_and_a_crude_oil_price_index_monthly[[#This Row],[Year]])*1</f>
        <v>34516</v>
      </c>
    </row>
    <row r="78" customFormat="false" ht="14.25" hidden="false" customHeight="true" outlineLevel="0" collapsed="false">
      <c r="A78" s="32" t="n">
        <v>1994</v>
      </c>
      <c r="B78" s="33" t="s">
        <v>66</v>
      </c>
      <c r="C78" s="34" t="n">
        <v>58.35</v>
      </c>
      <c r="D78" s="35" t="n">
        <v>57.65</v>
      </c>
      <c r="E78" s="35" t="n">
        <v>52.95</v>
      </c>
      <c r="F78" s="35" t="n">
        <v>52.1</v>
      </c>
      <c r="G78" s="35" t="n">
        <v>13.51</v>
      </c>
      <c r="H78" s="35" t="n">
        <v>13.32</v>
      </c>
      <c r="I78" s="35"/>
      <c r="J78" s="36" t="n">
        <f aca="false">F78-E78</f>
        <v>-0.850000000000001</v>
      </c>
      <c r="K78" s="36" t="n">
        <v>36.9124981142235</v>
      </c>
      <c r="L78" s="36" t="n">
        <v>57.8849614302875</v>
      </c>
      <c r="M78" s="36" t="n">
        <v>99.99</v>
      </c>
      <c r="N78" s="39" t="n">
        <f aca="false">(Typical_retail_prices_of_petroleum_products_and_a_crude_oil_price_index_monthly[[#This Row],[Month]]&amp;" "&amp;Typical_retail_prices_of_petroleum_products_and_a_crude_oil_price_index_monthly[[#This Row],[Year]])*1</f>
        <v>34547</v>
      </c>
    </row>
    <row r="79" customFormat="false" ht="14.25" hidden="false" customHeight="true" outlineLevel="0" collapsed="false">
      <c r="A79" s="32" t="n">
        <v>1994</v>
      </c>
      <c r="B79" s="33" t="s">
        <v>67</v>
      </c>
      <c r="C79" s="34" t="n">
        <v>57.68</v>
      </c>
      <c r="D79" s="35" t="n">
        <v>57.31</v>
      </c>
      <c r="E79" s="35" t="n">
        <v>52.67</v>
      </c>
      <c r="F79" s="35" t="n">
        <v>51.88</v>
      </c>
      <c r="G79" s="35" t="n">
        <v>13.53</v>
      </c>
      <c r="H79" s="35" t="n">
        <v>13.14</v>
      </c>
      <c r="I79" s="35"/>
      <c r="J79" s="36" t="n">
        <f aca="false">F79-E79</f>
        <v>-0.789999999999999</v>
      </c>
      <c r="K79" s="36" t="n">
        <v>34.6790686353651</v>
      </c>
      <c r="L79" s="36" t="n">
        <v>54.3825710247145</v>
      </c>
      <c r="M79" s="36" t="n">
        <v>93.94</v>
      </c>
      <c r="N79" s="39" t="n">
        <f aca="false">(Typical_retail_prices_of_petroleum_products_and_a_crude_oil_price_index_monthly[[#This Row],[Month]]&amp;" "&amp;Typical_retail_prices_of_petroleum_products_and_a_crude_oil_price_index_monthly[[#This Row],[Year]])*1</f>
        <v>34578</v>
      </c>
    </row>
    <row r="80" customFormat="false" ht="14.25" hidden="false" customHeight="true" outlineLevel="0" collapsed="false">
      <c r="A80" s="32" t="n">
        <v>1994</v>
      </c>
      <c r="B80" s="33" t="s">
        <v>68</v>
      </c>
      <c r="C80" s="34" t="n">
        <v>57.35</v>
      </c>
      <c r="D80" s="35" t="n">
        <v>56.7</v>
      </c>
      <c r="E80" s="35" t="n">
        <v>51.92</v>
      </c>
      <c r="F80" s="35" t="n">
        <v>51.33</v>
      </c>
      <c r="G80" s="35" t="n">
        <v>13.63</v>
      </c>
      <c r="H80" s="35" t="n">
        <v>13.27</v>
      </c>
      <c r="I80" s="35"/>
      <c r="J80" s="36" t="n">
        <f aca="false">F80-E80</f>
        <v>-0.590000000000003</v>
      </c>
      <c r="K80" s="36" t="n">
        <v>34.6864518733117</v>
      </c>
      <c r="L80" s="36" t="n">
        <v>54.3941491748156</v>
      </c>
      <c r="M80" s="36" t="n">
        <v>93.96</v>
      </c>
      <c r="N80" s="39" t="n">
        <f aca="false">(Typical_retail_prices_of_petroleum_products_and_a_crude_oil_price_index_monthly[[#This Row],[Month]]&amp;" "&amp;Typical_retail_prices_of_petroleum_products_and_a_crude_oil_price_index_monthly[[#This Row],[Year]])*1</f>
        <v>34608</v>
      </c>
    </row>
    <row r="81" customFormat="false" ht="14.25" hidden="false" customHeight="true" outlineLevel="0" collapsed="false">
      <c r="A81" s="32" t="n">
        <v>1994</v>
      </c>
      <c r="B81" s="33" t="s">
        <v>69</v>
      </c>
      <c r="C81" s="34" t="n">
        <v>56.41</v>
      </c>
      <c r="D81" s="35" t="n">
        <v>55.78</v>
      </c>
      <c r="E81" s="35" t="n">
        <v>51.11</v>
      </c>
      <c r="F81" s="35" t="n">
        <v>50.84</v>
      </c>
      <c r="G81" s="35" t="n">
        <v>13.73</v>
      </c>
      <c r="H81" s="35" t="n">
        <v>13.71</v>
      </c>
      <c r="I81" s="35"/>
      <c r="J81" s="36" t="n">
        <f aca="false">F81-E81</f>
        <v>-0.269999999999996</v>
      </c>
      <c r="K81" s="36" t="n">
        <v>37.0047885885565</v>
      </c>
      <c r="L81" s="36" t="n">
        <v>58.0296883065508</v>
      </c>
      <c r="M81" s="36" t="n">
        <v>100.24</v>
      </c>
      <c r="N81" s="39" t="n">
        <f aca="false">(Typical_retail_prices_of_petroleum_products_and_a_crude_oil_price_index_monthly[[#This Row],[Month]]&amp;" "&amp;Typical_retail_prices_of_petroleum_products_and_a_crude_oil_price_index_monthly[[#This Row],[Year]])*1</f>
        <v>34639</v>
      </c>
    </row>
    <row r="82" customFormat="false" ht="14.25" hidden="false" customHeight="true" outlineLevel="0" collapsed="false">
      <c r="A82" s="32" t="n">
        <v>1994</v>
      </c>
      <c r="B82" s="33" t="s">
        <v>70</v>
      </c>
      <c r="C82" s="34" t="n">
        <v>58.32</v>
      </c>
      <c r="D82" s="35" t="n">
        <v>57.57</v>
      </c>
      <c r="E82" s="35" t="n">
        <v>52.79</v>
      </c>
      <c r="F82" s="35" t="n">
        <v>53.04</v>
      </c>
      <c r="G82" s="35" t="n">
        <v>13.68</v>
      </c>
      <c r="H82" s="35" t="n">
        <v>14.1</v>
      </c>
      <c r="I82" s="35"/>
      <c r="J82" s="36" t="n">
        <f aca="false">F82-E82</f>
        <v>0.25</v>
      </c>
      <c r="K82" s="36" t="n">
        <v>35.1146796742168</v>
      </c>
      <c r="L82" s="36" t="n">
        <v>55.0656818806775</v>
      </c>
      <c r="M82" s="36" t="n">
        <v>95.12</v>
      </c>
      <c r="N82" s="39" t="n">
        <f aca="false">(Typical_retail_prices_of_petroleum_products_and_a_crude_oil_price_index_monthly[[#This Row],[Month]]&amp;" "&amp;Typical_retail_prices_of_petroleum_products_and_a_crude_oil_price_index_monthly[[#This Row],[Year]])*1</f>
        <v>34669</v>
      </c>
    </row>
    <row r="83" customFormat="false" ht="14.25" hidden="false" customHeight="true" outlineLevel="0" collapsed="false">
      <c r="A83" s="32" t="n">
        <v>1995</v>
      </c>
      <c r="B83" s="33" t="s">
        <v>59</v>
      </c>
      <c r="C83" s="34" t="n">
        <v>59.11</v>
      </c>
      <c r="D83" s="35" t="n">
        <v>58</v>
      </c>
      <c r="E83" s="35" t="n">
        <v>53.44</v>
      </c>
      <c r="F83" s="35" t="n">
        <v>54.13</v>
      </c>
      <c r="G83" s="35" t="n">
        <v>13.32</v>
      </c>
      <c r="H83" s="35" t="n">
        <v>13.93</v>
      </c>
      <c r="I83" s="35"/>
      <c r="J83" s="36" t="n">
        <f aca="false">F83-E83</f>
        <v>0.690000000000005</v>
      </c>
      <c r="K83" s="36" t="n">
        <v>35.6425811874015</v>
      </c>
      <c r="L83" s="36" t="n">
        <v>55.8935196129039</v>
      </c>
      <c r="M83" s="36" t="n">
        <v>96.55</v>
      </c>
      <c r="N83" s="39" t="n">
        <f aca="false">(Typical_retail_prices_of_petroleum_products_and_a_crude_oil_price_index_monthly[[#This Row],[Month]]&amp;" "&amp;Typical_retail_prices_of_petroleum_products_and_a_crude_oil_price_index_monthly[[#This Row],[Year]])*1</f>
        <v>34700</v>
      </c>
    </row>
    <row r="84" customFormat="false" ht="14.25" hidden="false" customHeight="true" outlineLevel="0" collapsed="false">
      <c r="A84" s="32" t="n">
        <v>1995</v>
      </c>
      <c r="B84" s="33" t="s">
        <v>60</v>
      </c>
      <c r="C84" s="34" t="n">
        <v>58.6</v>
      </c>
      <c r="D84" s="35" t="n">
        <v>57.44</v>
      </c>
      <c r="E84" s="35" t="n">
        <v>52.82</v>
      </c>
      <c r="F84" s="35" t="n">
        <v>53.54</v>
      </c>
      <c r="G84" s="35" t="n">
        <v>13.6</v>
      </c>
      <c r="H84" s="35" t="n">
        <v>13.8</v>
      </c>
      <c r="I84" s="35"/>
      <c r="J84" s="36" t="n">
        <f aca="false">F84-E84</f>
        <v>0.719999999999999</v>
      </c>
      <c r="K84" s="36" t="n">
        <v>36.9014232573035</v>
      </c>
      <c r="L84" s="36" t="n">
        <v>57.8675942051359</v>
      </c>
      <c r="M84" s="36" t="n">
        <v>99.96</v>
      </c>
      <c r="N84" s="39" t="n">
        <f aca="false">(Typical_retail_prices_of_petroleum_products_and_a_crude_oil_price_index_monthly[[#This Row],[Month]]&amp;" "&amp;Typical_retail_prices_of_petroleum_products_and_a_crude_oil_price_index_monthly[[#This Row],[Year]])*1</f>
        <v>34731</v>
      </c>
    </row>
    <row r="85" customFormat="false" ht="14.25" hidden="false" customHeight="true" outlineLevel="0" collapsed="false">
      <c r="A85" s="32" t="n">
        <v>1995</v>
      </c>
      <c r="B85" s="33" t="s">
        <v>61</v>
      </c>
      <c r="C85" s="34" t="n">
        <v>58.98</v>
      </c>
      <c r="D85" s="35" t="n">
        <v>57.84</v>
      </c>
      <c r="E85" s="35" t="n">
        <v>53.2</v>
      </c>
      <c r="F85" s="35" t="n">
        <v>53.87</v>
      </c>
      <c r="G85" s="35" t="n">
        <v>13.7</v>
      </c>
      <c r="H85" s="35" t="n">
        <v>13.77</v>
      </c>
      <c r="I85" s="35"/>
      <c r="J85" s="36" t="n">
        <f aca="false">F85-E85</f>
        <v>0.669999999999995</v>
      </c>
      <c r="K85" s="36" t="n">
        <v>36.4584289805052</v>
      </c>
      <c r="L85" s="36" t="n">
        <v>57.1729051990718</v>
      </c>
      <c r="M85" s="36" t="n">
        <v>98.76</v>
      </c>
      <c r="N85" s="39" t="n">
        <f aca="false">(Typical_retail_prices_of_petroleum_products_and_a_crude_oil_price_index_monthly[[#This Row],[Month]]&amp;" "&amp;Typical_retail_prices_of_petroleum_products_and_a_crude_oil_price_index_monthly[[#This Row],[Year]])*1</f>
        <v>34759</v>
      </c>
    </row>
    <row r="86" customFormat="false" ht="14.25" hidden="false" customHeight="true" outlineLevel="0" collapsed="false">
      <c r="A86" s="32" t="n">
        <v>1995</v>
      </c>
      <c r="B86" s="33" t="s">
        <v>62</v>
      </c>
      <c r="C86" s="34" t="n">
        <v>60.09</v>
      </c>
      <c r="D86" s="35" t="n">
        <v>58.84</v>
      </c>
      <c r="E86" s="35" t="n">
        <v>54.08</v>
      </c>
      <c r="F86" s="35" t="n">
        <v>54.73</v>
      </c>
      <c r="G86" s="35" t="n">
        <v>13.89</v>
      </c>
      <c r="H86" s="35" t="n">
        <v>14.14</v>
      </c>
      <c r="I86" s="35"/>
      <c r="J86" s="36" t="n">
        <f aca="false">F86-E86</f>
        <v>0.649999999999999</v>
      </c>
      <c r="K86" s="36" t="n">
        <v>38.5921847470839</v>
      </c>
      <c r="L86" s="36" t="n">
        <v>60.5189905782804</v>
      </c>
      <c r="M86" s="36" t="n">
        <v>104.54</v>
      </c>
      <c r="N86" s="39" t="n">
        <f aca="false">(Typical_retail_prices_of_petroleum_products_and_a_crude_oil_price_index_monthly[[#This Row],[Month]]&amp;" "&amp;Typical_retail_prices_of_petroleum_products_and_a_crude_oil_price_index_monthly[[#This Row],[Year]])*1</f>
        <v>34790</v>
      </c>
    </row>
    <row r="87" customFormat="false" ht="14.25" hidden="false" customHeight="true" outlineLevel="0" collapsed="false">
      <c r="A87" s="32" t="n">
        <v>1995</v>
      </c>
      <c r="B87" s="33" t="s">
        <v>63</v>
      </c>
      <c r="C87" s="34" t="n">
        <v>60.42</v>
      </c>
      <c r="D87" s="35" t="n">
        <v>59.18</v>
      </c>
      <c r="E87" s="35" t="n">
        <v>54.61</v>
      </c>
      <c r="F87" s="35" t="n">
        <v>54.9</v>
      </c>
      <c r="G87" s="35" t="n">
        <v>13.78</v>
      </c>
      <c r="H87" s="35" t="n">
        <v>13.92</v>
      </c>
      <c r="I87" s="35"/>
      <c r="J87" s="36" t="n">
        <f aca="false">F87-E87</f>
        <v>0.289999999999999</v>
      </c>
      <c r="K87" s="36" t="n">
        <v>39.4781733006807</v>
      </c>
      <c r="L87" s="36" t="n">
        <v>61.9083685904085</v>
      </c>
      <c r="M87" s="36" t="n">
        <v>106.94</v>
      </c>
      <c r="N87" s="39" t="n">
        <f aca="false">(Typical_retail_prices_of_petroleum_products_and_a_crude_oil_price_index_monthly[[#This Row],[Month]]&amp;" "&amp;Typical_retail_prices_of_petroleum_products_and_a_crude_oil_price_index_monthly[[#This Row],[Year]])*1</f>
        <v>34820</v>
      </c>
    </row>
    <row r="88" customFormat="false" ht="14.25" hidden="false" customHeight="true" outlineLevel="0" collapsed="false">
      <c r="A88" s="32" t="n">
        <v>1995</v>
      </c>
      <c r="B88" s="33" t="s">
        <v>64</v>
      </c>
      <c r="C88" s="34" t="n">
        <v>60.37</v>
      </c>
      <c r="D88" s="35" t="n">
        <v>59.23</v>
      </c>
      <c r="E88" s="35" t="n">
        <v>54.56</v>
      </c>
      <c r="F88" s="35" t="n">
        <v>54.7</v>
      </c>
      <c r="G88" s="35" t="n">
        <v>13.3</v>
      </c>
      <c r="H88" s="35" t="n">
        <v>13.64</v>
      </c>
      <c r="I88" s="35"/>
      <c r="J88" s="36" t="n">
        <f aca="false">F88-E88</f>
        <v>0.140000000000001</v>
      </c>
      <c r="K88" s="36" t="n">
        <v>38.0495167580059</v>
      </c>
      <c r="L88" s="36" t="n">
        <v>59.6679965458519</v>
      </c>
      <c r="M88" s="36" t="n">
        <v>103.07</v>
      </c>
      <c r="N88" s="39" t="n">
        <f aca="false">(Typical_retail_prices_of_petroleum_products_and_a_crude_oil_price_index_monthly[[#This Row],[Month]]&amp;" "&amp;Typical_retail_prices_of_petroleum_products_and_a_crude_oil_price_index_monthly[[#This Row],[Year]])*1</f>
        <v>34851</v>
      </c>
    </row>
    <row r="89" customFormat="false" ht="14.25" hidden="false" customHeight="true" outlineLevel="0" collapsed="false">
      <c r="A89" s="32" t="n">
        <v>1995</v>
      </c>
      <c r="B89" s="33" t="s">
        <v>65</v>
      </c>
      <c r="C89" s="34" t="n">
        <v>60.51</v>
      </c>
      <c r="D89" s="35" t="n">
        <v>59.43</v>
      </c>
      <c r="E89" s="35" t="n">
        <v>54.5</v>
      </c>
      <c r="F89" s="35" t="n">
        <v>54.77</v>
      </c>
      <c r="G89" s="35" t="n">
        <v>13.54</v>
      </c>
      <c r="H89" s="35" t="n">
        <v>13.22</v>
      </c>
      <c r="I89" s="35"/>
      <c r="J89" s="36" t="n">
        <f aca="false">F89-E89</f>
        <v>0.270000000000003</v>
      </c>
      <c r="K89" s="36" t="n">
        <v>34.7381345389382</v>
      </c>
      <c r="L89" s="36" t="n">
        <v>54.4751962255231</v>
      </c>
      <c r="M89" s="36" t="n">
        <v>94.1</v>
      </c>
      <c r="N89" s="39" t="n">
        <f aca="false">(Typical_retail_prices_of_petroleum_products_and_a_crude_oil_price_index_monthly[[#This Row],[Month]]&amp;" "&amp;Typical_retail_prices_of_petroleum_products_and_a_crude_oil_price_index_monthly[[#This Row],[Year]])*1</f>
        <v>34881</v>
      </c>
    </row>
    <row r="90" customFormat="false" ht="14.25" hidden="false" customHeight="true" outlineLevel="0" collapsed="false">
      <c r="A90" s="32" t="n">
        <v>1995</v>
      </c>
      <c r="B90" s="33" t="s">
        <v>66</v>
      </c>
      <c r="C90" s="34" t="n">
        <v>60.14</v>
      </c>
      <c r="D90" s="35" t="n">
        <v>59.09</v>
      </c>
      <c r="E90" s="35" t="n">
        <v>54.19</v>
      </c>
      <c r="F90" s="35" t="n">
        <v>54.32</v>
      </c>
      <c r="G90" s="35" t="n">
        <v>13.82</v>
      </c>
      <c r="H90" s="35" t="n">
        <v>13.66</v>
      </c>
      <c r="I90" s="35"/>
      <c r="J90" s="36" t="n">
        <f aca="false">F90-E90</f>
        <v>0.130000000000003</v>
      </c>
      <c r="K90" s="36" t="n">
        <v>34.9633232963107</v>
      </c>
      <c r="L90" s="36" t="n">
        <v>54.8283298036056</v>
      </c>
      <c r="M90" s="36" t="n">
        <v>94.71</v>
      </c>
      <c r="N90" s="39" t="n">
        <f aca="false">(Typical_retail_prices_of_petroleum_products_and_a_crude_oil_price_index_monthly[[#This Row],[Month]]&amp;" "&amp;Typical_retail_prices_of_petroleum_products_and_a_crude_oil_price_index_monthly[[#This Row],[Year]])*1</f>
        <v>34912</v>
      </c>
    </row>
    <row r="91" customFormat="false" ht="14.25" hidden="false" customHeight="true" outlineLevel="0" collapsed="false">
      <c r="A91" s="32" t="n">
        <v>1995</v>
      </c>
      <c r="B91" s="33" t="s">
        <v>67</v>
      </c>
      <c r="C91" s="34" t="n">
        <v>59.3</v>
      </c>
      <c r="D91" s="35" t="n">
        <v>58.12</v>
      </c>
      <c r="E91" s="35" t="n">
        <v>53.38</v>
      </c>
      <c r="F91" s="35" t="n">
        <v>53.5</v>
      </c>
      <c r="G91" s="35" t="n">
        <v>14.12</v>
      </c>
      <c r="H91" s="35" t="n">
        <v>13.92</v>
      </c>
      <c r="I91" s="35"/>
      <c r="J91" s="36" t="n">
        <f aca="false">F91-E91</f>
        <v>0.119999999999997</v>
      </c>
      <c r="K91" s="36" t="n">
        <v>36.4510457425585</v>
      </c>
      <c r="L91" s="36" t="n">
        <v>57.1613270489708</v>
      </c>
      <c r="M91" s="36" t="n">
        <v>98.74</v>
      </c>
      <c r="N91" s="39" t="n">
        <f aca="false">(Typical_retail_prices_of_petroleum_products_and_a_crude_oil_price_index_monthly[[#This Row],[Month]]&amp;" "&amp;Typical_retail_prices_of_petroleum_products_and_a_crude_oil_price_index_monthly[[#This Row],[Year]])*1</f>
        <v>34943</v>
      </c>
    </row>
    <row r="92" customFormat="false" ht="14.25" hidden="false" customHeight="true" outlineLevel="0" collapsed="false">
      <c r="A92" s="32" t="n">
        <v>1995</v>
      </c>
      <c r="B92" s="33" t="s">
        <v>68</v>
      </c>
      <c r="C92" s="34" t="n">
        <v>58.81</v>
      </c>
      <c r="D92" s="35" t="n">
        <v>57.64</v>
      </c>
      <c r="E92" s="35" t="n">
        <v>52.78</v>
      </c>
      <c r="F92" s="35" t="n">
        <v>53.1</v>
      </c>
      <c r="G92" s="35" t="n">
        <v>13.91</v>
      </c>
      <c r="H92" s="35" t="n">
        <v>13.67</v>
      </c>
      <c r="I92" s="35"/>
      <c r="J92" s="36" t="n">
        <f aca="false">F92-E92</f>
        <v>0.32</v>
      </c>
      <c r="K92" s="36" t="n">
        <v>35.5502907130685</v>
      </c>
      <c r="L92" s="36" t="n">
        <v>55.7487927366405</v>
      </c>
      <c r="M92" s="36" t="n">
        <v>96.3</v>
      </c>
      <c r="N92" s="39" t="n">
        <f aca="false">(Typical_retail_prices_of_petroleum_products_and_a_crude_oil_price_index_monthly[[#This Row],[Month]]&amp;" "&amp;Typical_retail_prices_of_petroleum_products_and_a_crude_oil_price_index_monthly[[#This Row],[Year]])*1</f>
        <v>34973</v>
      </c>
    </row>
    <row r="93" customFormat="false" ht="14.25" hidden="false" customHeight="true" outlineLevel="0" collapsed="false">
      <c r="A93" s="32" t="n">
        <v>1995</v>
      </c>
      <c r="B93" s="33" t="s">
        <v>69</v>
      </c>
      <c r="C93" s="34" t="n">
        <v>58.22</v>
      </c>
      <c r="D93" s="35" t="n">
        <v>57.08</v>
      </c>
      <c r="E93" s="35" t="n">
        <v>51.97</v>
      </c>
      <c r="F93" s="35" t="n">
        <v>52.53</v>
      </c>
      <c r="G93" s="35" t="n">
        <v>13.93</v>
      </c>
      <c r="H93" s="35" t="n">
        <v>13.86</v>
      </c>
      <c r="I93" s="35"/>
      <c r="J93" s="36" t="n">
        <f aca="false">F93-E93</f>
        <v>0.560000000000002</v>
      </c>
      <c r="K93" s="36" t="n">
        <v>36.7057674517176</v>
      </c>
      <c r="L93" s="36" t="n">
        <v>57.5607732274576</v>
      </c>
      <c r="M93" s="36" t="n">
        <v>99.43</v>
      </c>
      <c r="N93" s="39" t="n">
        <f aca="false">(Typical_retail_prices_of_petroleum_products_and_a_crude_oil_price_index_monthly[[#This Row],[Month]]&amp;" "&amp;Typical_retail_prices_of_petroleum_products_and_a_crude_oil_price_index_monthly[[#This Row],[Year]])*1</f>
        <v>35004</v>
      </c>
    </row>
    <row r="94" customFormat="false" ht="14.25" hidden="false" customHeight="true" outlineLevel="0" collapsed="false">
      <c r="A94" s="32" t="n">
        <v>1995</v>
      </c>
      <c r="B94" s="33" t="s">
        <v>70</v>
      </c>
      <c r="C94" s="34" t="n">
        <v>61.83</v>
      </c>
      <c r="D94" s="35" t="n">
        <v>60.74</v>
      </c>
      <c r="E94" s="35" t="n">
        <v>55.7</v>
      </c>
      <c r="F94" s="35" t="n">
        <v>56.8</v>
      </c>
      <c r="G94" s="35" t="n">
        <v>14.69</v>
      </c>
      <c r="H94" s="35" t="n">
        <v>14.92</v>
      </c>
      <c r="I94" s="35"/>
      <c r="J94" s="36" t="n">
        <f aca="false">F94-E94</f>
        <v>1.09999999999999</v>
      </c>
      <c r="K94" s="36" t="n">
        <v>39.4634068247874</v>
      </c>
      <c r="L94" s="36" t="n">
        <v>61.8852122902063</v>
      </c>
      <c r="M94" s="36" t="n">
        <v>106.9</v>
      </c>
      <c r="N94" s="39" t="n">
        <f aca="false">(Typical_retail_prices_of_petroleum_products_and_a_crude_oil_price_index_monthly[[#This Row],[Month]]&amp;" "&amp;Typical_retail_prices_of_petroleum_products_and_a_crude_oil_price_index_monthly[[#This Row],[Year]])*1</f>
        <v>35034</v>
      </c>
    </row>
    <row r="95" customFormat="false" ht="14.25" hidden="false" customHeight="true" outlineLevel="0" collapsed="false">
      <c r="A95" s="32" t="n">
        <v>1996</v>
      </c>
      <c r="B95" s="33" t="s">
        <v>59</v>
      </c>
      <c r="C95" s="34" t="n">
        <v>61.97</v>
      </c>
      <c r="D95" s="35" t="n">
        <v>61.26</v>
      </c>
      <c r="E95" s="35" t="n">
        <v>55.93</v>
      </c>
      <c r="F95" s="35" t="n">
        <v>57.43</v>
      </c>
      <c r="G95" s="35" t="n">
        <v>15.38</v>
      </c>
      <c r="H95" s="35" t="n">
        <v>15.86</v>
      </c>
      <c r="I95" s="35" t="n">
        <v>23.3424225372465</v>
      </c>
      <c r="J95" s="36" t="n">
        <f aca="false">F95-E95</f>
        <v>1.5</v>
      </c>
      <c r="K95" s="36" t="n">
        <v>40.9042029893562</v>
      </c>
      <c r="L95" s="36" t="n">
        <v>64.1446212892098</v>
      </c>
      <c r="M95" s="36" t="n">
        <v>110.9</v>
      </c>
      <c r="N95" s="39" t="n">
        <f aca="false">(Typical_retail_prices_of_petroleum_products_and_a_crude_oil_price_index_monthly[[#This Row],[Month]]&amp;" "&amp;Typical_retail_prices_of_petroleum_products_and_a_crude_oil_price_index_monthly[[#This Row],[Year]])*1</f>
        <v>35065</v>
      </c>
    </row>
    <row r="96" customFormat="false" ht="14.25" hidden="false" customHeight="true" outlineLevel="0" collapsed="false">
      <c r="A96" s="32" t="n">
        <v>1996</v>
      </c>
      <c r="B96" s="33" t="s">
        <v>60</v>
      </c>
      <c r="C96" s="34" t="n">
        <v>59.72</v>
      </c>
      <c r="D96" s="35" t="n">
        <v>59.22</v>
      </c>
      <c r="E96" s="35" t="n">
        <v>54.45</v>
      </c>
      <c r="F96" s="35" t="n">
        <v>55.65</v>
      </c>
      <c r="G96" s="35" t="n">
        <v>15.08</v>
      </c>
      <c r="H96" s="35" t="n">
        <v>15.61</v>
      </c>
      <c r="I96" s="35" t="n">
        <v>22.8894260262942</v>
      </c>
      <c r="J96" s="36" t="n">
        <f aca="false">F96-E96</f>
        <v>1.2</v>
      </c>
      <c r="K96" s="36" t="n">
        <v>40.0747728504622</v>
      </c>
      <c r="L96" s="36" t="n">
        <v>62.8439363165907</v>
      </c>
      <c r="M96" s="36" t="n">
        <v>108.54</v>
      </c>
      <c r="N96" s="39" t="n">
        <f aca="false">(Typical_retail_prices_of_petroleum_products_and_a_crude_oil_price_index_monthly[[#This Row],[Month]]&amp;" "&amp;Typical_retail_prices_of_petroleum_products_and_a_crude_oil_price_index_monthly[[#This Row],[Year]])*1</f>
        <v>35096</v>
      </c>
    </row>
    <row r="97" customFormat="false" ht="14.25" hidden="false" customHeight="true" outlineLevel="0" collapsed="false">
      <c r="A97" s="32" t="n">
        <v>1996</v>
      </c>
      <c r="B97" s="33" t="s">
        <v>61</v>
      </c>
      <c r="C97" s="34" t="n">
        <v>59.28</v>
      </c>
      <c r="D97" s="35" t="n">
        <v>59.12</v>
      </c>
      <c r="E97" s="35" t="n">
        <v>54.2</v>
      </c>
      <c r="F97" s="35" t="n">
        <v>55.4</v>
      </c>
      <c r="G97" s="35" t="n">
        <v>16.03</v>
      </c>
      <c r="H97" s="35" t="n">
        <v>16.33</v>
      </c>
      <c r="I97" s="35" t="n">
        <v>25.6077150136411</v>
      </c>
      <c r="J97" s="36" t="n">
        <f aca="false">F97-E97</f>
        <v>1.2</v>
      </c>
      <c r="K97" s="36" t="n">
        <v>44.6523262540048</v>
      </c>
      <c r="L97" s="36" t="n">
        <v>70.0223045047639</v>
      </c>
      <c r="M97" s="36" t="n">
        <v>120.58</v>
      </c>
      <c r="N97" s="39" t="n">
        <f aca="false">(Typical_retail_prices_of_petroleum_products_and_a_crude_oil_price_index_monthly[[#This Row],[Month]]&amp;" "&amp;Typical_retail_prices_of_petroleum_products_and_a_crude_oil_price_index_monthly[[#This Row],[Year]])*1</f>
        <v>35125</v>
      </c>
    </row>
    <row r="98" customFormat="false" ht="14.25" hidden="false" customHeight="true" outlineLevel="0" collapsed="false">
      <c r="A98" s="32" t="n">
        <v>1996</v>
      </c>
      <c r="B98" s="33" t="s">
        <v>62</v>
      </c>
      <c r="C98" s="34" t="n">
        <v>60.35</v>
      </c>
      <c r="D98" s="35" t="n">
        <v>60.19</v>
      </c>
      <c r="E98" s="35" t="n">
        <v>55.24</v>
      </c>
      <c r="F98" s="35" t="n">
        <v>56.42</v>
      </c>
      <c r="G98" s="35" t="n">
        <v>16.57</v>
      </c>
      <c r="H98" s="35" t="n">
        <v>17.05</v>
      </c>
      <c r="I98" s="35" t="n">
        <v>27.4150841525051</v>
      </c>
      <c r="J98" s="36" t="n">
        <f aca="false">F98-E98</f>
        <v>1.18</v>
      </c>
      <c r="K98" s="36" t="n">
        <v>47.9051353919703</v>
      </c>
      <c r="L98" s="36" t="n">
        <v>75.1232524522199</v>
      </c>
      <c r="M98" s="36" t="n">
        <v>129.58</v>
      </c>
      <c r="N98" s="39" t="n">
        <f aca="false">(Typical_retail_prices_of_petroleum_products_and_a_crude_oil_price_index_monthly[[#This Row],[Month]]&amp;" "&amp;Typical_retail_prices_of_petroleum_products_and_a_crude_oil_price_index_monthly[[#This Row],[Year]])*1</f>
        <v>35156</v>
      </c>
    </row>
    <row r="99" customFormat="false" ht="14.25" hidden="false" customHeight="true" outlineLevel="0" collapsed="false">
      <c r="A99" s="32" t="n">
        <v>1996</v>
      </c>
      <c r="B99" s="33" t="s">
        <v>63</v>
      </c>
      <c r="C99" s="34" t="n">
        <v>60.28</v>
      </c>
      <c r="D99" s="35" t="n">
        <v>62.92</v>
      </c>
      <c r="E99" s="35" t="n">
        <v>55.13</v>
      </c>
      <c r="F99" s="35" t="n">
        <v>56.23</v>
      </c>
      <c r="G99" s="35" t="n">
        <v>15.26</v>
      </c>
      <c r="H99" s="35" t="n">
        <v>15.78</v>
      </c>
      <c r="I99" s="35" t="n">
        <v>25.1603517127487</v>
      </c>
      <c r="J99" s="36" t="n">
        <f aca="false">F99-E99</f>
        <v>1.09999999999999</v>
      </c>
      <c r="K99" s="36" t="n">
        <v>44.164004269057</v>
      </c>
      <c r="L99" s="36" t="n">
        <v>69.2565340825942</v>
      </c>
      <c r="M99" s="36" t="n">
        <v>119.69</v>
      </c>
      <c r="N99" s="39" t="n">
        <f aca="false">(Typical_retail_prices_of_petroleum_products_and_a_crude_oil_price_index_monthly[[#This Row],[Month]]&amp;" "&amp;Typical_retail_prices_of_petroleum_products_and_a_crude_oil_price_index_monthly[[#This Row],[Year]])*1</f>
        <v>35186</v>
      </c>
    </row>
    <row r="100" customFormat="false" ht="14.25" hidden="false" customHeight="true" outlineLevel="0" collapsed="false">
      <c r="A100" s="32" t="n">
        <v>1996</v>
      </c>
      <c r="B100" s="33" t="s">
        <v>64</v>
      </c>
      <c r="C100" s="34" t="n">
        <v>59.64</v>
      </c>
      <c r="D100" s="35" t="n">
        <v>62.89</v>
      </c>
      <c r="E100" s="35" t="n">
        <v>54.67</v>
      </c>
      <c r="F100" s="35" t="n">
        <v>55.6</v>
      </c>
      <c r="G100" s="35" t="n">
        <v>14.45</v>
      </c>
      <c r="H100" s="35" t="n">
        <v>15.05</v>
      </c>
      <c r="I100" s="35" t="n">
        <v>23.6594025754647</v>
      </c>
      <c r="J100" s="36" t="n">
        <f aca="false">F100-E100</f>
        <v>0.93</v>
      </c>
      <c r="K100" s="36" t="n">
        <v>41.4618838891411</v>
      </c>
      <c r="L100" s="36" t="n">
        <v>65.0191580727827</v>
      </c>
      <c r="M100" s="36" t="n">
        <v>112.37</v>
      </c>
      <c r="N100" s="39" t="n">
        <f aca="false">(Typical_retail_prices_of_petroleum_products_and_a_crude_oil_price_index_monthly[[#This Row],[Month]]&amp;" "&amp;Typical_retail_prices_of_petroleum_products_and_a_crude_oil_price_index_monthly[[#This Row],[Year]])*1</f>
        <v>35217</v>
      </c>
    </row>
    <row r="101" customFormat="false" ht="14.25" hidden="false" customHeight="true" outlineLevel="0" collapsed="false">
      <c r="A101" s="32" t="n">
        <v>1996</v>
      </c>
      <c r="B101" s="33" t="s">
        <v>65</v>
      </c>
      <c r="C101" s="34" t="n">
        <v>59.49</v>
      </c>
      <c r="D101" s="35" t="n">
        <v>62.89</v>
      </c>
      <c r="E101" s="35" t="n">
        <v>54.34</v>
      </c>
      <c r="F101" s="35" t="n">
        <v>55.22</v>
      </c>
      <c r="G101" s="35" t="n">
        <v>14.63</v>
      </c>
      <c r="H101" s="35" t="n">
        <v>15.43</v>
      </c>
      <c r="I101" s="35" t="n">
        <v>24.776133052172</v>
      </c>
      <c r="J101" s="36" t="n">
        <f aca="false">F101-E101</f>
        <v>0.879999999999996</v>
      </c>
      <c r="K101" s="36" t="n">
        <v>43.2218760513967</v>
      </c>
      <c r="L101" s="36" t="n">
        <v>67.7791197018906</v>
      </c>
      <c r="M101" s="36" t="n">
        <v>116.81</v>
      </c>
      <c r="N101" s="39" t="n">
        <f aca="false">(Typical_retail_prices_of_petroleum_products_and_a_crude_oil_price_index_monthly[[#This Row],[Month]]&amp;" "&amp;Typical_retail_prices_of_petroleum_products_and_a_crude_oil_price_index_monthly[[#This Row],[Year]])*1</f>
        <v>35247</v>
      </c>
    </row>
    <row r="102" customFormat="false" ht="14.25" hidden="false" customHeight="true" outlineLevel="0" collapsed="false">
      <c r="A102" s="32" t="n">
        <v>1996</v>
      </c>
      <c r="B102" s="33" t="s">
        <v>66</v>
      </c>
      <c r="C102" s="34" t="n">
        <v>61.51</v>
      </c>
      <c r="D102" s="35" t="n">
        <v>65.26</v>
      </c>
      <c r="E102" s="35" t="n">
        <v>56.77</v>
      </c>
      <c r="F102" s="35" t="n">
        <v>57.62</v>
      </c>
      <c r="G102" s="35" t="n">
        <v>14.93</v>
      </c>
      <c r="H102" s="35" t="n">
        <v>15.52</v>
      </c>
      <c r="I102" s="35" t="n">
        <v>25.7566875047394</v>
      </c>
      <c r="J102" s="36" t="n">
        <f aca="false">F102-E102</f>
        <v>0.849999999999994</v>
      </c>
      <c r="K102" s="36" t="n">
        <v>45.0566489088816</v>
      </c>
      <c r="L102" s="36" t="n">
        <v>70.6563499494942</v>
      </c>
      <c r="M102" s="36" t="n">
        <v>121.96</v>
      </c>
      <c r="N102" s="39" t="n">
        <f aca="false">(Typical_retail_prices_of_petroleum_products_and_a_crude_oil_price_index_monthly[[#This Row],[Month]]&amp;" "&amp;Typical_retail_prices_of_petroleum_products_and_a_crude_oil_price_index_monthly[[#This Row],[Year]])*1</f>
        <v>35278</v>
      </c>
    </row>
    <row r="103" customFormat="false" ht="14.25" hidden="false" customHeight="true" outlineLevel="0" collapsed="false">
      <c r="A103" s="32" t="n">
        <v>1996</v>
      </c>
      <c r="B103" s="33" t="s">
        <v>67</v>
      </c>
      <c r="C103" s="34" t="n">
        <v>63.04</v>
      </c>
      <c r="D103" s="35" t="n">
        <v>66.64</v>
      </c>
      <c r="E103" s="35" t="n">
        <v>58.24</v>
      </c>
      <c r="F103" s="35" t="n">
        <v>58.79</v>
      </c>
      <c r="G103" s="35" t="n">
        <v>17.05</v>
      </c>
      <c r="H103" s="35" t="n">
        <v>17.51</v>
      </c>
      <c r="I103" s="35" t="n">
        <v>27.7389463145632</v>
      </c>
      <c r="J103" s="36" t="n">
        <f aca="false">F103-E103</f>
        <v>0.549999999999997</v>
      </c>
      <c r="K103" s="36" t="n">
        <v>48.4869418417994</v>
      </c>
      <c r="L103" s="36" t="n">
        <v>76.035622127229</v>
      </c>
      <c r="M103" s="36" t="n">
        <v>131.07</v>
      </c>
      <c r="N103" s="39" t="n">
        <f aca="false">(Typical_retail_prices_of_petroleum_products_and_a_crude_oil_price_index_monthly[[#This Row],[Month]]&amp;" "&amp;Typical_retail_prices_of_petroleum_products_and_a_crude_oil_price_index_monthly[[#This Row],[Year]])*1</f>
        <v>35309</v>
      </c>
    </row>
    <row r="104" customFormat="false" ht="14.25" hidden="false" customHeight="true" outlineLevel="0" collapsed="false">
      <c r="A104" s="32" t="n">
        <v>1996</v>
      </c>
      <c r="B104" s="33" t="s">
        <v>68</v>
      </c>
      <c r="C104" s="34" t="n">
        <v>63.71</v>
      </c>
      <c r="D104" s="35" t="n">
        <v>66.78</v>
      </c>
      <c r="E104" s="35" t="n">
        <v>58.78</v>
      </c>
      <c r="F104" s="35" t="n">
        <v>60.67</v>
      </c>
      <c r="G104" s="35" t="n">
        <v>17.99</v>
      </c>
      <c r="H104" s="35" t="n">
        <v>18.71</v>
      </c>
      <c r="I104" s="35" t="n">
        <v>29.4818540929015</v>
      </c>
      <c r="J104" s="36" t="n">
        <f aca="false">F104-E104</f>
        <v>1.89</v>
      </c>
      <c r="K104" s="36" t="n">
        <v>51.4547809685807</v>
      </c>
      <c r="L104" s="36" t="n">
        <v>80.6896895071563</v>
      </c>
      <c r="M104" s="36" t="n">
        <v>138.84</v>
      </c>
      <c r="N104" s="39" t="n">
        <f aca="false">(Typical_retail_prices_of_petroleum_products_and_a_crude_oil_price_index_monthly[[#This Row],[Month]]&amp;" "&amp;Typical_retail_prices_of_petroleum_products_and_a_crude_oil_price_index_monthly[[#This Row],[Year]])*1</f>
        <v>35339</v>
      </c>
    </row>
    <row r="105" customFormat="false" ht="14.25" hidden="false" customHeight="true" outlineLevel="0" collapsed="false">
      <c r="A105" s="32" t="n">
        <v>1996</v>
      </c>
      <c r="B105" s="33" t="s">
        <v>69</v>
      </c>
      <c r="C105" s="34" t="n">
        <v>64.26</v>
      </c>
      <c r="D105" s="35" t="n">
        <v>67.34</v>
      </c>
      <c r="E105" s="35" t="n">
        <v>59.25</v>
      </c>
      <c r="F105" s="35" t="n">
        <v>60.85</v>
      </c>
      <c r="G105" s="35" t="n">
        <v>16.79</v>
      </c>
      <c r="H105" s="35" t="n">
        <v>17.62</v>
      </c>
      <c r="I105" s="35" t="n">
        <v>26.7229495564889</v>
      </c>
      <c r="J105" s="36" t="n">
        <f aca="false">F105-E105</f>
        <v>1.6</v>
      </c>
      <c r="K105" s="36" t="n">
        <v>46.8182546812983</v>
      </c>
      <c r="L105" s="36" t="n">
        <v>73.4188419888076</v>
      </c>
      <c r="M105" s="36" t="n">
        <v>126.89</v>
      </c>
      <c r="N105" s="39" t="n">
        <f aca="false">(Typical_retail_prices_of_petroleum_products_and_a_crude_oil_price_index_monthly[[#This Row],[Month]]&amp;" "&amp;Typical_retail_prices_of_petroleum_products_and_a_crude_oil_price_index_monthly[[#This Row],[Year]])*1</f>
        <v>35370</v>
      </c>
    </row>
    <row r="106" customFormat="false" ht="14.25" hidden="false" customHeight="true" outlineLevel="0" collapsed="false">
      <c r="A106" s="32" t="n">
        <v>1996</v>
      </c>
      <c r="B106" s="33" t="s">
        <v>70</v>
      </c>
      <c r="C106" s="34" t="n">
        <v>66.33</v>
      </c>
      <c r="D106" s="35" t="n">
        <v>69.58</v>
      </c>
      <c r="E106" s="35" t="n">
        <v>61.25</v>
      </c>
      <c r="F106" s="35" t="n">
        <v>62.59</v>
      </c>
      <c r="G106" s="35" t="n">
        <v>17.02</v>
      </c>
      <c r="H106" s="35" t="n">
        <v>17.88</v>
      </c>
      <c r="I106" s="35" t="n">
        <v>27.9840034267689</v>
      </c>
      <c r="J106" s="36" t="n">
        <f aca="false">F106-E106</f>
        <v>1.34</v>
      </c>
      <c r="K106" s="36" t="n">
        <v>48.9031441869464</v>
      </c>
      <c r="L106" s="36" t="n">
        <v>76.6882969102111</v>
      </c>
      <c r="M106" s="36" t="n">
        <v>132.26</v>
      </c>
      <c r="N106" s="39" t="n">
        <f aca="false">(Typical_retail_prices_of_petroleum_products_and_a_crude_oil_price_index_monthly[[#This Row],[Month]]&amp;" "&amp;Typical_retail_prices_of_petroleum_products_and_a_crude_oil_price_index_monthly[[#This Row],[Year]])*1</f>
        <v>35400</v>
      </c>
    </row>
    <row r="107" customFormat="false" ht="14.25" hidden="false" customHeight="true" outlineLevel="0" collapsed="false">
      <c r="A107" s="32" t="n">
        <v>1997</v>
      </c>
      <c r="B107" s="33" t="s">
        <v>59</v>
      </c>
      <c r="C107" s="34" t="n">
        <v>65.46</v>
      </c>
      <c r="D107" s="35" t="n">
        <v>69.24</v>
      </c>
      <c r="E107" s="35" t="n">
        <v>61.09</v>
      </c>
      <c r="F107" s="35" t="n">
        <v>62.02</v>
      </c>
      <c r="G107" s="35" t="n">
        <v>17.13</v>
      </c>
      <c r="H107" s="35" t="n">
        <v>18.14</v>
      </c>
      <c r="I107" s="35" t="n">
        <v>27.6138477407232</v>
      </c>
      <c r="J107" s="36" t="n">
        <f aca="false">F107-E107</f>
        <v>0.93</v>
      </c>
      <c r="K107" s="36" t="n">
        <v>48.3971052940083</v>
      </c>
      <c r="L107" s="36" t="n">
        <v>75.8947434175891</v>
      </c>
      <c r="M107" s="36" t="n">
        <v>131.34</v>
      </c>
      <c r="N107" s="39" t="n">
        <f aca="false">(Typical_retail_prices_of_petroleum_products_and_a_crude_oil_price_index_monthly[[#This Row],[Month]]&amp;" "&amp;Typical_retail_prices_of_petroleum_products_and_a_crude_oil_price_index_monthly[[#This Row],[Year]])*1</f>
        <v>35431</v>
      </c>
    </row>
    <row r="108" customFormat="false" ht="14.25" hidden="false" customHeight="true" outlineLevel="0" collapsed="false">
      <c r="A108" s="32" t="n">
        <v>1997</v>
      </c>
      <c r="B108" s="33" t="s">
        <v>60</v>
      </c>
      <c r="C108" s="34" t="n">
        <v>65.44</v>
      </c>
      <c r="D108" s="35" t="n">
        <v>68.95</v>
      </c>
      <c r="E108" s="35" t="n">
        <v>60.16</v>
      </c>
      <c r="F108" s="35" t="n">
        <v>61.38</v>
      </c>
      <c r="G108" s="35" t="n">
        <v>15.96</v>
      </c>
      <c r="H108" s="35" t="n">
        <v>17.01</v>
      </c>
      <c r="I108" s="35" t="n">
        <v>25.6036952659606</v>
      </c>
      <c r="J108" s="36" t="n">
        <f aca="false">F108-E108</f>
        <v>1.22000000000001</v>
      </c>
      <c r="K108" s="36" t="n">
        <v>44.9736819208765</v>
      </c>
      <c r="L108" s="36" t="n">
        <v>70.5262438568152</v>
      </c>
      <c r="M108" s="36" t="n">
        <v>122.15</v>
      </c>
      <c r="N108" s="39" t="n">
        <f aca="false">(Typical_retail_prices_of_petroleum_products_and_a_crude_oil_price_index_monthly[[#This Row],[Month]]&amp;" "&amp;Typical_retail_prices_of_petroleum_products_and_a_crude_oil_price_index_monthly[[#This Row],[Year]])*1</f>
        <v>35462</v>
      </c>
    </row>
    <row r="109" customFormat="false" ht="14.25" hidden="false" customHeight="true" outlineLevel="0" collapsed="false">
      <c r="A109" s="32" t="n">
        <v>1997</v>
      </c>
      <c r="B109" s="33" t="s">
        <v>61</v>
      </c>
      <c r="C109" s="34" t="n">
        <v>64.24</v>
      </c>
      <c r="D109" s="35" t="n">
        <v>68.17</v>
      </c>
      <c r="E109" s="35" t="n">
        <v>58.97</v>
      </c>
      <c r="F109" s="35" t="n">
        <v>60.33</v>
      </c>
      <c r="G109" s="35" t="n">
        <v>14.62</v>
      </c>
      <c r="H109" s="35" t="n">
        <v>15.4</v>
      </c>
      <c r="I109" s="35" t="n">
        <v>23.2755494236903</v>
      </c>
      <c r="J109" s="36" t="n">
        <f aca="false">F109-E109</f>
        <v>1.36</v>
      </c>
      <c r="K109" s="36" t="n">
        <v>40.9111234526475</v>
      </c>
      <c r="L109" s="36" t="n">
        <v>64.1554737313679</v>
      </c>
      <c r="M109" s="36" t="n">
        <v>111.17</v>
      </c>
      <c r="N109" s="39" t="n">
        <f aca="false">(Typical_retail_prices_of_petroleum_products_and_a_crude_oil_price_index_monthly[[#This Row],[Month]]&amp;" "&amp;Typical_retail_prices_of_petroleum_products_and_a_crude_oil_price_index_monthly[[#This Row],[Year]])*1</f>
        <v>35490</v>
      </c>
    </row>
    <row r="110" customFormat="false" ht="14.25" hidden="false" customHeight="true" outlineLevel="0" collapsed="false">
      <c r="A110" s="32" t="n">
        <v>1997</v>
      </c>
      <c r="B110" s="33" t="s">
        <v>62</v>
      </c>
      <c r="C110" s="34" t="n">
        <v>64.59</v>
      </c>
      <c r="D110" s="35" t="n">
        <v>68.65</v>
      </c>
      <c r="E110" s="35" t="n">
        <v>59.24</v>
      </c>
      <c r="F110" s="35" t="n">
        <v>60.22</v>
      </c>
      <c r="G110" s="35" t="n">
        <v>14.21</v>
      </c>
      <c r="H110" s="35" t="n">
        <v>15.18</v>
      </c>
      <c r="I110" s="35" t="n">
        <v>20.9185404305911</v>
      </c>
      <c r="J110" s="36" t="n">
        <f aca="false">F110-E110</f>
        <v>0.979999999999997</v>
      </c>
      <c r="K110" s="36" t="n">
        <v>36.6376658693724</v>
      </c>
      <c r="L110" s="36" t="n">
        <v>57.4539785733761</v>
      </c>
      <c r="M110" s="36" t="n">
        <v>99.27</v>
      </c>
      <c r="N110" s="39" t="n">
        <f aca="false">(Typical_retail_prices_of_petroleum_products_and_a_crude_oil_price_index_monthly[[#This Row],[Month]]&amp;" "&amp;Typical_retail_prices_of_petroleum_products_and_a_crude_oil_price_index_monthly[[#This Row],[Year]])*1</f>
        <v>35521</v>
      </c>
    </row>
    <row r="111" customFormat="false" ht="14.25" hidden="false" customHeight="true" outlineLevel="0" collapsed="false">
      <c r="A111" s="32" t="n">
        <v>1997</v>
      </c>
      <c r="B111" s="33" t="s">
        <v>63</v>
      </c>
      <c r="C111" s="34" t="n">
        <v>64.91</v>
      </c>
      <c r="D111" s="35" t="n">
        <v>68.98</v>
      </c>
      <c r="E111" s="35" t="n">
        <v>59.41</v>
      </c>
      <c r="F111" s="35" t="n">
        <v>60.3</v>
      </c>
      <c r="G111" s="35" t="n">
        <v>13.94</v>
      </c>
      <c r="H111" s="35" t="n">
        <v>15.44</v>
      </c>
      <c r="I111" s="35" t="n">
        <v>22.2461864139243</v>
      </c>
      <c r="J111" s="36" t="n">
        <f aca="false">F111-E111</f>
        <v>0.890000000000001</v>
      </c>
      <c r="K111" s="36" t="n">
        <v>38.7474935212538</v>
      </c>
      <c r="L111" s="36" t="n">
        <v>60.762540672744</v>
      </c>
      <c r="M111" s="36" t="n">
        <v>104.81</v>
      </c>
      <c r="N111" s="39" t="n">
        <f aca="false">(Typical_retail_prices_of_petroleum_products_and_a_crude_oil_price_index_monthly[[#This Row],[Month]]&amp;" "&amp;Typical_retail_prices_of_petroleum_products_and_a_crude_oil_price_index_monthly[[#This Row],[Year]])*1</f>
        <v>35551</v>
      </c>
    </row>
    <row r="112" customFormat="false" ht="14.25" hidden="false" customHeight="true" outlineLevel="0" collapsed="false">
      <c r="A112" s="32" t="n">
        <v>1997</v>
      </c>
      <c r="B112" s="33" t="s">
        <v>64</v>
      </c>
      <c r="C112" s="34" t="n">
        <v>65.39</v>
      </c>
      <c r="D112" s="35" t="n">
        <v>69.37</v>
      </c>
      <c r="E112" s="35" t="n">
        <v>59.86</v>
      </c>
      <c r="F112" s="35" t="n">
        <v>60.6</v>
      </c>
      <c r="G112" s="35" t="n">
        <v>13.77</v>
      </c>
      <c r="H112" s="35" t="n">
        <v>14.88</v>
      </c>
      <c r="I112" s="35" t="n">
        <v>21.1510014154791</v>
      </c>
      <c r="J112" s="36" t="n">
        <f aca="false">F112-E112</f>
        <v>0.740000000000002</v>
      </c>
      <c r="K112" s="36" t="n">
        <v>37.100603518353</v>
      </c>
      <c r="L112" s="36" t="n">
        <v>58.1799421175651</v>
      </c>
      <c r="M112" s="36" t="n">
        <v>100.34</v>
      </c>
      <c r="N112" s="39" t="n">
        <f aca="false">(Typical_retail_prices_of_petroleum_products_and_a_crude_oil_price_index_monthly[[#This Row],[Month]]&amp;" "&amp;Typical_retail_prices_of_petroleum_products_and_a_crude_oil_price_index_monthly[[#This Row],[Year]])*1</f>
        <v>35582</v>
      </c>
    </row>
    <row r="113" customFormat="false" ht="14.25" hidden="false" customHeight="true" outlineLevel="0" collapsed="false">
      <c r="A113" s="32" t="n">
        <v>1997</v>
      </c>
      <c r="B113" s="33" t="s">
        <v>65</v>
      </c>
      <c r="C113" s="34" t="n">
        <v>68.2</v>
      </c>
      <c r="D113" s="35" t="n">
        <v>72.68</v>
      </c>
      <c r="E113" s="35" t="n">
        <v>62.69</v>
      </c>
      <c r="F113" s="35" t="n">
        <v>63.44</v>
      </c>
      <c r="G113" s="35" t="n">
        <v>13.25</v>
      </c>
      <c r="H113" s="35" t="n">
        <v>14.61</v>
      </c>
      <c r="I113" s="35" t="n">
        <v>21.346592702234</v>
      </c>
      <c r="J113" s="36" t="n">
        <f aca="false">F113-E113</f>
        <v>0.75</v>
      </c>
      <c r="K113" s="36" t="n">
        <v>37.2943345491406</v>
      </c>
      <c r="L113" s="36" t="n">
        <v>58.4837447269222</v>
      </c>
      <c r="M113" s="36" t="n">
        <v>100.95</v>
      </c>
      <c r="N113" s="39" t="n">
        <f aca="false">(Typical_retail_prices_of_petroleum_products_and_a_crude_oil_price_index_monthly[[#This Row],[Month]]&amp;" "&amp;Typical_retail_prices_of_petroleum_products_and_a_crude_oil_price_index_monthly[[#This Row],[Year]])*1</f>
        <v>35612</v>
      </c>
    </row>
    <row r="114" customFormat="false" ht="14.25" hidden="false" customHeight="true" outlineLevel="0" collapsed="false">
      <c r="A114" s="32" t="n">
        <v>1997</v>
      </c>
      <c r="B114" s="33" t="s">
        <v>66</v>
      </c>
      <c r="C114" s="34" t="n">
        <v>69.51</v>
      </c>
      <c r="D114" s="35" t="n">
        <v>73.58</v>
      </c>
      <c r="E114" s="35" t="n">
        <v>64.07</v>
      </c>
      <c r="F114" s="35" t="n">
        <v>64.48</v>
      </c>
      <c r="G114" s="35" t="n">
        <v>13.86</v>
      </c>
      <c r="H114" s="35" t="n">
        <v>15.2</v>
      </c>
      <c r="I114" s="35" t="n">
        <v>22.4475495207424</v>
      </c>
      <c r="J114" s="36" t="n">
        <f aca="false">F114-E114</f>
        <v>0.410000000000011</v>
      </c>
      <c r="K114" s="36" t="n">
        <v>39.3006527330776</v>
      </c>
      <c r="L114" s="36" t="n">
        <v>61.6299866944722</v>
      </c>
      <c r="M114" s="36" t="n">
        <v>106.45</v>
      </c>
      <c r="N114" s="39" t="n">
        <f aca="false">(Typical_retail_prices_of_petroleum_products_and_a_crude_oil_price_index_monthly[[#This Row],[Month]]&amp;" "&amp;Typical_retail_prices_of_petroleum_products_and_a_crude_oil_price_index_monthly[[#This Row],[Year]])*1</f>
        <v>35643</v>
      </c>
    </row>
    <row r="115" customFormat="false" ht="14.25" hidden="false" customHeight="true" outlineLevel="0" collapsed="false">
      <c r="A115" s="32" t="n">
        <v>1997</v>
      </c>
      <c r="B115" s="33" t="s">
        <v>67</v>
      </c>
      <c r="C115" s="34" t="n">
        <v>70.28</v>
      </c>
      <c r="D115" s="35" t="n">
        <v>74.23</v>
      </c>
      <c r="E115" s="35" t="n">
        <v>64.72</v>
      </c>
      <c r="F115" s="35" t="n">
        <v>64.76</v>
      </c>
      <c r="G115" s="35" t="n">
        <v>13.48</v>
      </c>
      <c r="H115" s="35" t="n">
        <v>14.69</v>
      </c>
      <c r="I115" s="35" t="n">
        <v>22.3908559802834</v>
      </c>
      <c r="J115" s="36" t="n">
        <f aca="false">F115-E115</f>
        <v>0.0400000000000063</v>
      </c>
      <c r="K115" s="36" t="n">
        <v>39.1403981029942</v>
      </c>
      <c r="L115" s="36" t="n">
        <v>61.378680671978</v>
      </c>
      <c r="M115" s="36" t="n">
        <v>105.92</v>
      </c>
      <c r="N115" s="39" t="n">
        <f aca="false">(Typical_retail_prices_of_petroleum_products_and_a_crude_oil_price_index_monthly[[#This Row],[Month]]&amp;" "&amp;Typical_retail_prices_of_petroleum_products_and_a_crude_oil_price_index_monthly[[#This Row],[Year]])*1</f>
        <v>35674</v>
      </c>
    </row>
    <row r="116" customFormat="false" ht="14.25" hidden="false" customHeight="true" outlineLevel="0" collapsed="false">
      <c r="A116" s="32" t="n">
        <v>1997</v>
      </c>
      <c r="B116" s="33" t="s">
        <v>68</v>
      </c>
      <c r="C116" s="34" t="n">
        <v>69.75</v>
      </c>
      <c r="D116" s="35" t="n">
        <v>73.71</v>
      </c>
      <c r="E116" s="35" t="n">
        <v>64.21</v>
      </c>
      <c r="F116" s="35" t="n">
        <v>64.31</v>
      </c>
      <c r="G116" s="35" t="n">
        <v>14.27</v>
      </c>
      <c r="H116" s="35" t="n">
        <v>15.1</v>
      </c>
      <c r="I116" s="35" t="n">
        <v>23.3362718105229</v>
      </c>
      <c r="J116" s="36" t="n">
        <f aca="false">F116-E116</f>
        <v>0.100000000000009</v>
      </c>
      <c r="K116" s="36" t="n">
        <v>40.863768370185</v>
      </c>
      <c r="L116" s="36" t="n">
        <v>64.0812130537679</v>
      </c>
      <c r="M116" s="36" t="n">
        <v>110.7</v>
      </c>
      <c r="N116" s="39" t="n">
        <f aca="false">(Typical_retail_prices_of_petroleum_products_and_a_crude_oil_price_index_monthly[[#This Row],[Month]]&amp;" "&amp;Typical_retail_prices_of_petroleum_products_and_a_crude_oil_price_index_monthly[[#This Row],[Year]])*1</f>
        <v>35704</v>
      </c>
    </row>
    <row r="117" customFormat="false" ht="14.25" hidden="false" customHeight="true" outlineLevel="0" collapsed="false">
      <c r="A117" s="32" t="n">
        <v>1997</v>
      </c>
      <c r="B117" s="33" t="s">
        <v>69</v>
      </c>
      <c r="C117" s="34" t="n">
        <v>69.55</v>
      </c>
      <c r="D117" s="35" t="n">
        <v>74.02</v>
      </c>
      <c r="E117" s="35" t="n">
        <v>63.89</v>
      </c>
      <c r="F117" s="35" t="n">
        <v>64.06</v>
      </c>
      <c r="G117" s="35" t="n">
        <v>14.18</v>
      </c>
      <c r="H117" s="35" t="n">
        <v>15.28</v>
      </c>
      <c r="I117" s="35" t="n">
        <v>22.018993265405</v>
      </c>
      <c r="J117" s="36" t="n">
        <f aca="false">F117-E117</f>
        <v>0.170000000000002</v>
      </c>
      <c r="K117" s="36" t="n">
        <v>38.5991050853351</v>
      </c>
      <c r="L117" s="36" t="n">
        <v>60.5298428243547</v>
      </c>
      <c r="M117" s="36" t="n">
        <v>104.66</v>
      </c>
      <c r="N117" s="39" t="n">
        <f aca="false">(Typical_retail_prices_of_petroleum_products_and_a_crude_oil_price_index_monthly[[#This Row],[Month]]&amp;" "&amp;Typical_retail_prices_of_petroleum_products_and_a_crude_oil_price_index_monthly[[#This Row],[Year]])*1</f>
        <v>35735</v>
      </c>
    </row>
    <row r="118" customFormat="false" ht="14.25" hidden="false" customHeight="true" outlineLevel="0" collapsed="false">
      <c r="A118" s="32" t="n">
        <v>1997</v>
      </c>
      <c r="B118" s="33" t="s">
        <v>70</v>
      </c>
      <c r="C118" s="34" t="n">
        <v>69.29</v>
      </c>
      <c r="D118" s="35" t="n">
        <v>74.1</v>
      </c>
      <c r="E118" s="35" t="n">
        <v>63.53</v>
      </c>
      <c r="F118" s="35" t="n">
        <v>63.76</v>
      </c>
      <c r="G118" s="35" t="n">
        <v>13.6</v>
      </c>
      <c r="H118" s="35" t="n">
        <v>14.48</v>
      </c>
      <c r="I118" s="35" t="n">
        <v>20.3246995088183</v>
      </c>
      <c r="J118" s="36" t="n">
        <f aca="false">F118-E118</f>
        <v>0.229999999999997</v>
      </c>
      <c r="K118" s="36" t="n">
        <v>35.6237569298755</v>
      </c>
      <c r="L118" s="36" t="n">
        <v>55.864000033452</v>
      </c>
      <c r="M118" s="36" t="n">
        <v>96.59</v>
      </c>
      <c r="N118" s="39" t="n">
        <f aca="false">(Typical_retail_prices_of_petroleum_products_and_a_crude_oil_price_index_monthly[[#This Row],[Month]]&amp;" "&amp;Typical_retail_prices_of_petroleum_products_and_a_crude_oil_price_index_monthly[[#This Row],[Year]])*1</f>
        <v>35765</v>
      </c>
    </row>
    <row r="119" customFormat="false" ht="14.25" hidden="false" customHeight="true" outlineLevel="0" collapsed="false">
      <c r="A119" s="32" t="n">
        <v>1998</v>
      </c>
      <c r="B119" s="33" t="s">
        <v>59</v>
      </c>
      <c r="C119" s="34" t="n">
        <v>69.03</v>
      </c>
      <c r="D119" s="35" t="n">
        <v>73.96</v>
      </c>
      <c r="E119" s="35" t="n">
        <v>63.13</v>
      </c>
      <c r="F119" s="35" t="n">
        <v>63.34</v>
      </c>
      <c r="G119" s="35" t="n">
        <v>12.92</v>
      </c>
      <c r="H119" s="35" t="n">
        <v>13.67</v>
      </c>
      <c r="I119" s="35" t="n">
        <v>18.0552564979477</v>
      </c>
      <c r="J119" s="36" t="n">
        <f aca="false">F119-E119</f>
        <v>0.210000000000001</v>
      </c>
      <c r="K119" s="36" t="n">
        <v>31.7034368078186</v>
      </c>
      <c r="L119" s="36" t="n">
        <v>49.7162833886064</v>
      </c>
      <c r="M119" s="36" t="n">
        <v>86.15</v>
      </c>
      <c r="N119" s="39" t="n">
        <f aca="false">(Typical_retail_prices_of_petroleum_products_and_a_crude_oil_price_index_monthly[[#This Row],[Month]]&amp;" "&amp;Typical_retail_prices_of_petroleum_products_and_a_crude_oil_price_index_monthly[[#This Row],[Year]])*1</f>
        <v>35796</v>
      </c>
    </row>
    <row r="120" customFormat="false" ht="14.25" hidden="false" customHeight="true" outlineLevel="0" collapsed="false">
      <c r="A120" s="32" t="n">
        <v>1998</v>
      </c>
      <c r="B120" s="33" t="s">
        <v>60</v>
      </c>
      <c r="C120" s="34" t="n">
        <v>68.64</v>
      </c>
      <c r="D120" s="35" t="n">
        <v>73.79</v>
      </c>
      <c r="E120" s="35" t="n">
        <v>62.63</v>
      </c>
      <c r="F120" s="35" t="n">
        <v>62.84</v>
      </c>
      <c r="G120" s="35" t="n">
        <v>12.53</v>
      </c>
      <c r="H120" s="35" t="n">
        <v>13.68</v>
      </c>
      <c r="I120" s="35" t="n">
        <v>16.7051680969323</v>
      </c>
      <c r="J120" s="36" t="n">
        <f aca="false">F120-E120</f>
        <v>0.210000000000001</v>
      </c>
      <c r="K120" s="36" t="n">
        <v>29.3169301342969</v>
      </c>
      <c r="L120" s="36" t="n">
        <v>45.97384237791</v>
      </c>
      <c r="M120" s="36" t="n">
        <v>79.66</v>
      </c>
      <c r="N120" s="39" t="n">
        <f aca="false">(Typical_retail_prices_of_petroleum_products_and_a_crude_oil_price_index_monthly[[#This Row],[Month]]&amp;" "&amp;Typical_retail_prices_of_petroleum_products_and_a_crude_oil_price_index_monthly[[#This Row],[Year]])*1</f>
        <v>35827</v>
      </c>
    </row>
    <row r="121" customFormat="false" ht="14.25" hidden="false" customHeight="true" outlineLevel="0" collapsed="false">
      <c r="A121" s="32" t="n">
        <v>1998</v>
      </c>
      <c r="B121" s="33" t="s">
        <v>61</v>
      </c>
      <c r="C121" s="34" t="n">
        <v>68.2</v>
      </c>
      <c r="D121" s="35" t="n">
        <v>73.77</v>
      </c>
      <c r="E121" s="35" t="n">
        <v>62.09</v>
      </c>
      <c r="F121" s="35" t="n">
        <v>62.3</v>
      </c>
      <c r="G121" s="35" t="n">
        <v>11.61</v>
      </c>
      <c r="H121" s="35" t="n">
        <v>12.72</v>
      </c>
      <c r="I121" s="35" t="n">
        <v>15.3276612574273</v>
      </c>
      <c r="J121" s="36" t="n">
        <f aca="false">F121-E121</f>
        <v>0.209999999999994</v>
      </c>
      <c r="K121" s="36" t="n">
        <v>26.8465606002489</v>
      </c>
      <c r="L121" s="36" t="n">
        <v>42.0998903968106</v>
      </c>
      <c r="M121" s="36" t="n">
        <v>72.73</v>
      </c>
      <c r="N121" s="39" t="n">
        <f aca="false">(Typical_retail_prices_of_petroleum_products_and_a_crude_oil_price_index_monthly[[#This Row],[Month]]&amp;" "&amp;Typical_retail_prices_of_petroleum_products_and_a_crude_oil_price_index_monthly[[#This Row],[Year]])*1</f>
        <v>35855</v>
      </c>
    </row>
    <row r="122" customFormat="false" ht="14.25" hidden="false" customHeight="true" outlineLevel="0" collapsed="false">
      <c r="A122" s="32" t="n">
        <v>1998</v>
      </c>
      <c r="B122" s="33" t="s">
        <v>62</v>
      </c>
      <c r="C122" s="34" t="n">
        <v>72.38</v>
      </c>
      <c r="D122" s="35" t="n">
        <v>78.74</v>
      </c>
      <c r="E122" s="35" t="n">
        <v>65.77</v>
      </c>
      <c r="F122" s="35" t="n">
        <v>66.81</v>
      </c>
      <c r="G122" s="35" t="n">
        <v>11.67</v>
      </c>
      <c r="H122" s="35" t="n">
        <v>12.94</v>
      </c>
      <c r="I122" s="35" t="n">
        <v>15.4634669858618</v>
      </c>
      <c r="J122" s="36" t="n">
        <f aca="false">F122-E122</f>
        <v>1.04000000000001</v>
      </c>
      <c r="K122" s="36" t="n">
        <v>27.0868108229353</v>
      </c>
      <c r="L122" s="36" t="n">
        <v>42.4766428677699</v>
      </c>
      <c r="M122" s="36" t="n">
        <v>73.4</v>
      </c>
      <c r="N122" s="39" t="n">
        <f aca="false">(Typical_retail_prices_of_petroleum_products_and_a_crude_oil_price_index_monthly[[#This Row],[Month]]&amp;" "&amp;Typical_retail_prices_of_petroleum_products_and_a_crude_oil_price_index_monthly[[#This Row],[Year]])*1</f>
        <v>35886</v>
      </c>
    </row>
    <row r="123" customFormat="false" ht="14.25" hidden="false" customHeight="true" outlineLevel="0" collapsed="false">
      <c r="A123" s="32" t="n">
        <v>1998</v>
      </c>
      <c r="B123" s="33" t="s">
        <v>63</v>
      </c>
      <c r="C123" s="34" t="n">
        <v>72.41</v>
      </c>
      <c r="D123" s="35" t="n">
        <v>79.06</v>
      </c>
      <c r="E123" s="35" t="n">
        <v>65.72</v>
      </c>
      <c r="F123" s="35" t="n">
        <v>66.71</v>
      </c>
      <c r="G123" s="35" t="n">
        <v>11.64</v>
      </c>
      <c r="H123" s="35" t="n">
        <v>12.95</v>
      </c>
      <c r="I123" s="35" t="n">
        <v>16.5005044237462</v>
      </c>
      <c r="J123" s="36" t="n">
        <f aca="false">F123-E123</f>
        <v>0.989999999999995</v>
      </c>
      <c r="K123" s="36" t="n">
        <v>28.9139221432588</v>
      </c>
      <c r="L123" s="36" t="n">
        <v>45.3418585456277</v>
      </c>
      <c r="M123" s="36" t="n">
        <v>78.36</v>
      </c>
      <c r="N123" s="39" t="n">
        <f aca="false">(Typical_retail_prices_of_petroleum_products_and_a_crude_oil_price_index_monthly[[#This Row],[Month]]&amp;" "&amp;Typical_retail_prices_of_petroleum_products_and_a_crude_oil_price_index_monthly[[#This Row],[Year]])*1</f>
        <v>35916</v>
      </c>
    </row>
    <row r="124" customFormat="false" ht="14.25" hidden="false" customHeight="true" outlineLevel="0" collapsed="false">
      <c r="A124" s="32" t="n">
        <v>1998</v>
      </c>
      <c r="B124" s="33" t="s">
        <v>64</v>
      </c>
      <c r="C124" s="34" t="n">
        <v>72.21</v>
      </c>
      <c r="D124" s="35" t="n">
        <v>78.8</v>
      </c>
      <c r="E124" s="35" t="n">
        <v>65.62</v>
      </c>
      <c r="F124" s="35" t="n">
        <v>66.59</v>
      </c>
      <c r="G124" s="35" t="n">
        <v>11.15</v>
      </c>
      <c r="H124" s="35" t="n">
        <v>12.34</v>
      </c>
      <c r="I124" s="35" t="n">
        <v>14.2316451231545</v>
      </c>
      <c r="J124" s="36" t="n">
        <f aca="false">F124-E124</f>
        <v>0.969999999999999</v>
      </c>
      <c r="K124" s="36" t="n">
        <v>25.0181596073065</v>
      </c>
      <c r="L124" s="36" t="n">
        <v>39.232652296911</v>
      </c>
      <c r="M124" s="36" t="n">
        <v>67.82</v>
      </c>
      <c r="N124" s="39" t="n">
        <f aca="false">(Typical_retail_prices_of_petroleum_products_and_a_crude_oil_price_index_monthly[[#This Row],[Month]]&amp;" "&amp;Typical_retail_prices_of_petroleum_products_and_a_crude_oil_price_index_monthly[[#This Row],[Year]])*1</f>
        <v>35947</v>
      </c>
    </row>
    <row r="125" customFormat="false" ht="14.25" hidden="false" customHeight="true" outlineLevel="0" collapsed="false">
      <c r="A125" s="32" t="n">
        <v>1998</v>
      </c>
      <c r="B125" s="33" t="s">
        <v>65</v>
      </c>
      <c r="C125" s="34" t="n">
        <v>72.37</v>
      </c>
      <c r="D125" s="35" t="n">
        <v>79.34</v>
      </c>
      <c r="E125" s="35" t="n">
        <v>66.04</v>
      </c>
      <c r="F125" s="35" t="n">
        <v>66.94</v>
      </c>
      <c r="G125" s="35" t="n">
        <v>10.7</v>
      </c>
      <c r="H125" s="35" t="n">
        <v>11.99</v>
      </c>
      <c r="I125" s="35" t="n">
        <v>13.5120628841916</v>
      </c>
      <c r="J125" s="36" t="n">
        <f aca="false">F125-E125</f>
        <v>0.899999999999992</v>
      </c>
      <c r="K125" s="36" t="n">
        <v>23.7413005620508</v>
      </c>
      <c r="L125" s="36" t="n">
        <v>37.2303240784895</v>
      </c>
      <c r="M125" s="36" t="n">
        <v>64.34</v>
      </c>
      <c r="N125" s="39" t="n">
        <f aca="false">(Typical_retail_prices_of_petroleum_products_and_a_crude_oil_price_index_monthly[[#This Row],[Month]]&amp;" "&amp;Typical_retail_prices_of_petroleum_products_and_a_crude_oil_price_index_monthly[[#This Row],[Year]])*1</f>
        <v>35977</v>
      </c>
    </row>
    <row r="126" customFormat="false" ht="14.25" hidden="false" customHeight="true" outlineLevel="0" collapsed="false">
      <c r="A126" s="32" t="n">
        <v>1998</v>
      </c>
      <c r="B126" s="33" t="s">
        <v>66</v>
      </c>
      <c r="C126" s="34" t="n">
        <v>72.48</v>
      </c>
      <c r="D126" s="35" t="n">
        <v>79.39</v>
      </c>
      <c r="E126" s="35" t="n">
        <v>66.14</v>
      </c>
      <c r="F126" s="35" t="n">
        <v>66.9</v>
      </c>
      <c r="G126" s="35" t="n">
        <v>10.29</v>
      </c>
      <c r="H126" s="35" t="n">
        <v>11.72</v>
      </c>
      <c r="I126" s="35" t="n">
        <v>14.0991257040376</v>
      </c>
      <c r="J126" s="36" t="n">
        <f aca="false">F126-E126</f>
        <v>0.760000000000005</v>
      </c>
      <c r="K126" s="36" t="n">
        <v>24.7872608604851</v>
      </c>
      <c r="L126" s="36" t="n">
        <v>38.8705645018044</v>
      </c>
      <c r="M126" s="36" t="n">
        <v>67.54</v>
      </c>
      <c r="N126" s="39" t="n">
        <f aca="false">(Typical_retail_prices_of_petroleum_products_and_a_crude_oil_price_index_monthly[[#This Row],[Month]]&amp;" "&amp;Typical_retail_prices_of_petroleum_products_and_a_crude_oil_price_index_monthly[[#This Row],[Year]])*1</f>
        <v>36008</v>
      </c>
    </row>
    <row r="127" customFormat="false" ht="14.25" hidden="false" customHeight="true" outlineLevel="0" collapsed="false">
      <c r="A127" s="32" t="n">
        <v>1998</v>
      </c>
      <c r="B127" s="33" t="s">
        <v>67</v>
      </c>
      <c r="C127" s="34" t="n">
        <v>72</v>
      </c>
      <c r="D127" s="35" t="n">
        <v>79.34</v>
      </c>
      <c r="E127" s="35" t="n">
        <v>65.8</v>
      </c>
      <c r="F127" s="35" t="n">
        <v>66.48</v>
      </c>
      <c r="G127" s="35" t="n">
        <v>10.62</v>
      </c>
      <c r="H127" s="35" t="n">
        <v>12.1</v>
      </c>
      <c r="I127" s="35" t="n">
        <v>15.2215397327782</v>
      </c>
      <c r="J127" s="36" t="n">
        <f aca="false">F127-E127</f>
        <v>0.680000000000007</v>
      </c>
      <c r="K127" s="36" t="n">
        <v>26.5544039360471</v>
      </c>
      <c r="L127" s="36" t="n">
        <v>41.6417399571792</v>
      </c>
      <c r="M127" s="36" t="n">
        <v>71.5</v>
      </c>
      <c r="N127" s="39" t="n">
        <f aca="false">(Typical_retail_prices_of_petroleum_products_and_a_crude_oil_price_index_monthly[[#This Row],[Month]]&amp;" "&amp;Typical_retail_prices_of_petroleum_products_and_a_crude_oil_price_index_monthly[[#This Row],[Year]])*1</f>
        <v>36039</v>
      </c>
    </row>
    <row r="128" customFormat="false" ht="14.25" hidden="false" customHeight="true" outlineLevel="0" collapsed="false">
      <c r="A128" s="32" t="n">
        <v>1998</v>
      </c>
      <c r="B128" s="33" t="s">
        <v>68</v>
      </c>
      <c r="C128" s="34" t="n">
        <v>71.78</v>
      </c>
      <c r="D128" s="35" t="n">
        <v>79.09</v>
      </c>
      <c r="E128" s="35" t="n">
        <v>65.75</v>
      </c>
      <c r="F128" s="35" t="n">
        <v>66.59</v>
      </c>
      <c r="G128" s="35" t="n">
        <v>10.88</v>
      </c>
      <c r="H128" s="35" t="n">
        <v>12.31</v>
      </c>
      <c r="I128" s="35" t="n">
        <v>14.308558421659</v>
      </c>
      <c r="J128" s="36" t="n">
        <f aca="false">F128-E128</f>
        <v>0.840000000000003</v>
      </c>
      <c r="K128" s="36" t="n">
        <v>25.1933202305205</v>
      </c>
      <c r="L128" s="36" t="n">
        <v>39.5073334059347</v>
      </c>
      <c r="M128" s="36" t="n">
        <v>68.73</v>
      </c>
      <c r="N128" s="39" t="n">
        <f aca="false">(Typical_retail_prices_of_petroleum_products_and_a_crude_oil_price_index_monthly[[#This Row],[Month]]&amp;" "&amp;Typical_retail_prices_of_petroleum_products_and_a_crude_oil_price_index_monthly[[#This Row],[Year]])*1</f>
        <v>36069</v>
      </c>
    </row>
    <row r="129" customFormat="false" ht="14.25" hidden="false" customHeight="true" outlineLevel="0" collapsed="false">
      <c r="A129" s="32" t="n">
        <v>1998</v>
      </c>
      <c r="B129" s="33" t="s">
        <v>69</v>
      </c>
      <c r="C129" s="34" t="n">
        <v>71.33</v>
      </c>
      <c r="D129" s="35" t="n">
        <v>79.15</v>
      </c>
      <c r="E129" s="35" t="n">
        <v>65.02</v>
      </c>
      <c r="F129" s="35" t="n">
        <v>65.77</v>
      </c>
      <c r="G129" s="35" t="n">
        <v>10.61</v>
      </c>
      <c r="H129" s="35" t="n">
        <v>11.71</v>
      </c>
      <c r="I129" s="35" t="n">
        <v>12.6185989866156</v>
      </c>
      <c r="J129" s="36" t="n">
        <f aca="false">F129-E129</f>
        <v>0.75</v>
      </c>
      <c r="K129" s="36" t="n">
        <v>22.2061962390252</v>
      </c>
      <c r="L129" s="36" t="n">
        <v>34.8230241375634</v>
      </c>
      <c r="M129" s="36" t="n">
        <v>60.54</v>
      </c>
      <c r="N129" s="39" t="n">
        <f aca="false">(Typical_retail_prices_of_petroleum_products_and_a_crude_oil_price_index_monthly[[#This Row],[Month]]&amp;" "&amp;Typical_retail_prices_of_petroleum_products_and_a_crude_oil_price_index_monthly[[#This Row],[Year]])*1</f>
        <v>36100</v>
      </c>
    </row>
    <row r="130" customFormat="false" ht="14.25" hidden="false" customHeight="true" outlineLevel="0" collapsed="false">
      <c r="A130" s="32" t="n">
        <v>1998</v>
      </c>
      <c r="B130" s="33" t="s">
        <v>70</v>
      </c>
      <c r="C130" s="34" t="n">
        <v>70.45</v>
      </c>
      <c r="D130" s="35" t="n">
        <v>79.13</v>
      </c>
      <c r="E130" s="35" t="n">
        <v>63.84</v>
      </c>
      <c r="F130" s="35" t="n">
        <v>64.77</v>
      </c>
      <c r="G130" s="35" t="n">
        <v>10.35</v>
      </c>
      <c r="H130" s="35" t="n">
        <v>11.49</v>
      </c>
      <c r="I130" s="35" t="n">
        <v>11.5309097490262</v>
      </c>
      <c r="J130" s="36" t="n">
        <f aca="false">F130-E130</f>
        <v>0.929999999999993</v>
      </c>
      <c r="K130" s="36" t="n">
        <v>20.2348156606382</v>
      </c>
      <c r="L130" s="36" t="n">
        <v>31.731570170096</v>
      </c>
      <c r="M130" s="36" t="n">
        <v>55.03</v>
      </c>
      <c r="N130" s="39" t="n">
        <f aca="false">(Typical_retail_prices_of_petroleum_products_and_a_crude_oil_price_index_monthly[[#This Row],[Month]]&amp;" "&amp;Typical_retail_prices_of_petroleum_products_and_a_crude_oil_price_index_monthly[[#This Row],[Year]])*1</f>
        <v>36130</v>
      </c>
    </row>
    <row r="131" customFormat="false" ht="14.25" hidden="false" customHeight="true" outlineLevel="0" collapsed="false">
      <c r="A131" s="32" t="n">
        <v>1999</v>
      </c>
      <c r="B131" s="33" t="s">
        <v>59</v>
      </c>
      <c r="C131" s="34" t="n">
        <v>69.61</v>
      </c>
      <c r="D131" s="35" t="n">
        <v>79.23</v>
      </c>
      <c r="E131" s="35" t="n">
        <v>62.87</v>
      </c>
      <c r="F131" s="35" t="n">
        <v>63.95</v>
      </c>
      <c r="G131" s="35" t="n">
        <v>9.89</v>
      </c>
      <c r="H131" s="35" t="n">
        <v>11.36</v>
      </c>
      <c r="I131" s="35" t="n">
        <v>13.2415487362408</v>
      </c>
      <c r="J131" s="36" t="n">
        <f aca="false">F131-E131</f>
        <v>1.08000000000001</v>
      </c>
      <c r="K131" s="36" t="n">
        <v>23.1013396516026</v>
      </c>
      <c r="L131" s="36" t="n">
        <v>36.2267584974347</v>
      </c>
      <c r="M131" s="36" t="n">
        <v>62.16</v>
      </c>
      <c r="N131" s="39" t="n">
        <f aca="false">(Typical_retail_prices_of_petroleum_products_and_a_crude_oil_price_index_monthly[[#This Row],[Month]]&amp;" "&amp;Typical_retail_prices_of_petroleum_products_and_a_crude_oil_price_index_monthly[[#This Row],[Year]])*1</f>
        <v>36161</v>
      </c>
    </row>
    <row r="132" customFormat="false" ht="14.25" hidden="false" customHeight="true" outlineLevel="0" collapsed="false">
      <c r="A132" s="32" t="n">
        <v>1999</v>
      </c>
      <c r="B132" s="33" t="s">
        <v>60</v>
      </c>
      <c r="C132" s="34" t="n">
        <v>69.78</v>
      </c>
      <c r="D132" s="35" t="n">
        <v>78.26</v>
      </c>
      <c r="E132" s="35" t="n">
        <v>63.02</v>
      </c>
      <c r="F132" s="35" t="n">
        <v>64.17</v>
      </c>
      <c r="G132" s="35" t="n">
        <v>10.22</v>
      </c>
      <c r="H132" s="35" t="n">
        <v>11.33</v>
      </c>
      <c r="I132" s="35" t="n">
        <v>12.479589348558</v>
      </c>
      <c r="J132" s="36" t="n">
        <f aca="false">F132-E132</f>
        <v>1.15</v>
      </c>
      <c r="K132" s="36" t="n">
        <v>21.7930223490784</v>
      </c>
      <c r="L132" s="36" t="n">
        <v>34.1750984780873</v>
      </c>
      <c r="M132" s="36" t="n">
        <v>58.8</v>
      </c>
      <c r="N132" s="39" t="n">
        <f aca="false">(Typical_retail_prices_of_petroleum_products_and_a_crude_oil_price_index_monthly[[#This Row],[Month]]&amp;" "&amp;Typical_retail_prices_of_petroleum_products_and_a_crude_oil_price_index_monthly[[#This Row],[Year]])*1</f>
        <v>36192</v>
      </c>
    </row>
    <row r="133" customFormat="false" ht="14.25" hidden="false" customHeight="true" outlineLevel="0" collapsed="false">
      <c r="A133" s="32" t="n">
        <v>1999</v>
      </c>
      <c r="B133" s="33" t="s">
        <v>61</v>
      </c>
      <c r="C133" s="34" t="n">
        <v>73.85</v>
      </c>
      <c r="D133" s="35" t="n">
        <v>82.24</v>
      </c>
      <c r="E133" s="35" t="n">
        <v>66.51</v>
      </c>
      <c r="F133" s="35" t="n">
        <v>69.94</v>
      </c>
      <c r="G133" s="35" t="n">
        <v>10.52</v>
      </c>
      <c r="H133" s="35" t="n">
        <v>12.06</v>
      </c>
      <c r="I133" s="35" t="n">
        <v>14.7421891853132</v>
      </c>
      <c r="J133" s="36" t="n">
        <f aca="false">F133-E133</f>
        <v>3.42999999999999</v>
      </c>
      <c r="K133" s="36" t="n">
        <v>25.7438018195825</v>
      </c>
      <c r="L133" s="36" t="n">
        <v>40.3705804680092</v>
      </c>
      <c r="M133" s="36" t="n">
        <v>69.46</v>
      </c>
      <c r="N133" s="39" t="n">
        <f aca="false">(Typical_retail_prices_of_petroleum_products_and_a_crude_oil_price_index_monthly[[#This Row],[Month]]&amp;" "&amp;Typical_retail_prices_of_petroleum_products_and_a_crude_oil_price_index_monthly[[#This Row],[Year]])*1</f>
        <v>36220</v>
      </c>
    </row>
    <row r="134" customFormat="false" ht="14.25" hidden="false" customHeight="true" outlineLevel="0" collapsed="false">
      <c r="A134" s="32" t="n">
        <v>1999</v>
      </c>
      <c r="B134" s="33" t="s">
        <v>62</v>
      </c>
      <c r="C134" s="34" t="n">
        <v>77.83</v>
      </c>
      <c r="D134" s="35" t="n">
        <v>83.39</v>
      </c>
      <c r="E134" s="35" t="n">
        <v>70.2</v>
      </c>
      <c r="F134" s="35" t="n">
        <v>73.23</v>
      </c>
      <c r="G134" s="35" t="n">
        <v>12</v>
      </c>
      <c r="H134" s="35" t="n">
        <v>12.64</v>
      </c>
      <c r="I134" s="35" t="n">
        <v>18.3530388022278</v>
      </c>
      <c r="J134" s="36" t="n">
        <f aca="false">F134-E134</f>
        <v>3.03</v>
      </c>
      <c r="K134" s="36" t="n">
        <v>32.0161525151813</v>
      </c>
      <c r="L134" s="36" t="n">
        <v>50.2066738412743</v>
      </c>
      <c r="M134" s="36" t="n">
        <v>86.26</v>
      </c>
      <c r="N134" s="39" t="n">
        <f aca="false">(Typical_retail_prices_of_petroleum_products_and_a_crude_oil_price_index_monthly[[#This Row],[Month]]&amp;" "&amp;Typical_retail_prices_of_petroleum_products_and_a_crude_oil_price_index_monthly[[#This Row],[Year]])*1</f>
        <v>36251</v>
      </c>
    </row>
    <row r="135" customFormat="false" ht="14.25" hidden="false" customHeight="true" outlineLevel="0" collapsed="false">
      <c r="A135" s="32" t="n">
        <v>1999</v>
      </c>
      <c r="B135" s="33" t="s">
        <v>63</v>
      </c>
      <c r="C135" s="34" t="n">
        <v>77.61</v>
      </c>
      <c r="D135" s="35" t="n">
        <v>83.82</v>
      </c>
      <c r="E135" s="35" t="n">
        <v>70.04</v>
      </c>
      <c r="F135" s="35" t="n">
        <v>73.09</v>
      </c>
      <c r="G135" s="35" t="n">
        <v>11.89</v>
      </c>
      <c r="H135" s="35" t="n">
        <v>12.9</v>
      </c>
      <c r="I135" s="35" t="n">
        <v>18.0804469409815</v>
      </c>
      <c r="J135" s="36" t="n">
        <f aca="false">F135-E135</f>
        <v>3.05</v>
      </c>
      <c r="K135" s="36" t="n">
        <v>31.6384071163265</v>
      </c>
      <c r="L135" s="36" t="n">
        <v>49.6143059723883</v>
      </c>
      <c r="M135" s="36" t="n">
        <v>85.66</v>
      </c>
      <c r="N135" s="39" t="n">
        <f aca="false">(Typical_retail_prices_of_petroleum_products_and_a_crude_oil_price_index_monthly[[#This Row],[Month]]&amp;" "&amp;Typical_retail_prices_of_petroleum_products_and_a_crude_oil_price_index_monthly[[#This Row],[Year]])*1</f>
        <v>36281</v>
      </c>
    </row>
    <row r="136" customFormat="false" ht="14.25" hidden="false" customHeight="true" outlineLevel="0" collapsed="false">
      <c r="A136" s="32" t="n">
        <v>1999</v>
      </c>
      <c r="B136" s="33" t="s">
        <v>64</v>
      </c>
      <c r="C136" s="34" t="n">
        <v>77.32</v>
      </c>
      <c r="D136" s="35" t="n">
        <v>83.74</v>
      </c>
      <c r="E136" s="35" t="n">
        <v>69.8</v>
      </c>
      <c r="F136" s="35" t="n">
        <v>72.78</v>
      </c>
      <c r="G136" s="35" t="n">
        <v>11.54</v>
      </c>
      <c r="H136" s="35" t="n">
        <v>12.79</v>
      </c>
      <c r="I136" s="35" t="n">
        <v>18.9828754847567</v>
      </c>
      <c r="J136" s="36" t="n">
        <f aca="false">F136-E136</f>
        <v>2.98</v>
      </c>
      <c r="K136" s="36" t="n">
        <v>33.2177015949131</v>
      </c>
      <c r="L136" s="36" t="n">
        <v>52.0909034569901</v>
      </c>
      <c r="M136" s="36" t="n">
        <v>89.91</v>
      </c>
      <c r="N136" s="39" t="n">
        <f aca="false">(Typical_retail_prices_of_petroleum_products_and_a_crude_oil_price_index_monthly[[#This Row],[Month]]&amp;" "&amp;Typical_retail_prices_of_petroleum_products_and_a_crude_oil_price_index_monthly[[#This Row],[Year]])*1</f>
        <v>36312</v>
      </c>
    </row>
    <row r="137" customFormat="false" ht="14.25" hidden="false" customHeight="true" outlineLevel="0" collapsed="false">
      <c r="A137" s="32" t="n">
        <v>1999</v>
      </c>
      <c r="B137" s="33" t="s">
        <v>65</v>
      </c>
      <c r="C137" s="34" t="n">
        <v>78.26</v>
      </c>
      <c r="D137" s="35" t="n">
        <v>83.87</v>
      </c>
      <c r="E137" s="35" t="n">
        <v>70.98</v>
      </c>
      <c r="F137" s="35" t="n">
        <v>73.81</v>
      </c>
      <c r="G137" s="35" t="n">
        <v>12.74</v>
      </c>
      <c r="H137" s="35" t="n">
        <v>13.96</v>
      </c>
      <c r="I137" s="35" t="n">
        <v>23.0687698744932</v>
      </c>
      <c r="J137" s="36" t="n">
        <f aca="false">F137-E137</f>
        <v>2.83</v>
      </c>
      <c r="K137" s="36" t="n">
        <v>40.3865491462596</v>
      </c>
      <c r="L137" s="36" t="n">
        <v>63.3328536150425</v>
      </c>
      <c r="M137" s="36" t="n">
        <v>109.38</v>
      </c>
      <c r="N137" s="39" t="n">
        <f aca="false">(Typical_retail_prices_of_petroleum_products_and_a_crude_oil_price_index_monthly[[#This Row],[Month]]&amp;" "&amp;Typical_retail_prices_of_petroleum_products_and_a_crude_oil_price_index_monthly[[#This Row],[Year]])*1</f>
        <v>36342</v>
      </c>
    </row>
    <row r="138" customFormat="false" ht="14.25" hidden="false" customHeight="true" outlineLevel="0" collapsed="false">
      <c r="A138" s="32" t="n">
        <v>1999</v>
      </c>
      <c r="B138" s="33" t="s">
        <v>66</v>
      </c>
      <c r="C138" s="34" t="n">
        <v>79.76</v>
      </c>
      <c r="D138" s="35" t="n">
        <v>84.57</v>
      </c>
      <c r="E138" s="35" t="n">
        <v>72.87</v>
      </c>
      <c r="F138" s="35" t="n">
        <v>75.21</v>
      </c>
      <c r="G138" s="35" t="n">
        <v>13.31</v>
      </c>
      <c r="H138" s="35" t="n">
        <v>14.48</v>
      </c>
      <c r="I138" s="35" t="n">
        <v>24.4053618880244</v>
      </c>
      <c r="J138" s="36" t="n">
        <f aca="false">F138-E138</f>
        <v>2.33999999999999</v>
      </c>
      <c r="K138" s="36" t="n">
        <v>42.7264229609941</v>
      </c>
      <c r="L138" s="36" t="n">
        <v>67.0021665154733</v>
      </c>
      <c r="M138" s="36" t="n">
        <v>115.71</v>
      </c>
      <c r="N138" s="39" t="n">
        <f aca="false">(Typical_retail_prices_of_petroleum_products_and_a_crude_oil_price_index_monthly[[#This Row],[Month]]&amp;" "&amp;Typical_retail_prices_of_petroleum_products_and_a_crude_oil_price_index_monthly[[#This Row],[Year]])*1</f>
        <v>36373</v>
      </c>
    </row>
    <row r="139" customFormat="false" ht="14.25" hidden="false" customHeight="true" outlineLevel="0" collapsed="false">
      <c r="A139" s="32" t="n">
        <v>1999</v>
      </c>
      <c r="B139" s="33" t="s">
        <v>67</v>
      </c>
      <c r="C139" s="34" t="n">
        <v>80.05</v>
      </c>
      <c r="D139" s="35" t="n">
        <v>85.11</v>
      </c>
      <c r="E139" s="35" t="n">
        <v>73.02</v>
      </c>
      <c r="F139" s="35" t="n">
        <v>74.96</v>
      </c>
      <c r="G139" s="35" t="n">
        <v>14.31</v>
      </c>
      <c r="H139" s="35" t="n">
        <v>15.45</v>
      </c>
      <c r="I139" s="35" t="n">
        <v>26.0147109290416</v>
      </c>
      <c r="J139" s="36" t="n">
        <f aca="false">F139-E139</f>
        <v>1.94</v>
      </c>
      <c r="K139" s="36" t="n">
        <v>45.6333947421795</v>
      </c>
      <c r="L139" s="36" t="n">
        <v>71.5607837326593</v>
      </c>
      <c r="M139" s="36" t="n">
        <v>123.78</v>
      </c>
      <c r="N139" s="39" t="n">
        <f aca="false">(Typical_retail_prices_of_petroleum_products_and_a_crude_oil_price_index_monthly[[#This Row],[Month]]&amp;" "&amp;Typical_retail_prices_of_petroleum_products_and_a_crude_oil_price_index_monthly[[#This Row],[Year]])*1</f>
        <v>36404</v>
      </c>
    </row>
    <row r="140" customFormat="false" ht="14.25" hidden="false" customHeight="true" outlineLevel="0" collapsed="false">
      <c r="A140" s="32" t="n">
        <v>1999</v>
      </c>
      <c r="B140" s="33" t="s">
        <v>68</v>
      </c>
      <c r="C140" s="34" t="n">
        <v>80.99</v>
      </c>
      <c r="D140" s="35" t="n">
        <v>83.9</v>
      </c>
      <c r="E140" s="35" t="n">
        <v>73.85</v>
      </c>
      <c r="F140" s="35" t="n">
        <v>75.81</v>
      </c>
      <c r="G140" s="35" t="n">
        <v>14.27</v>
      </c>
      <c r="H140" s="35" t="n">
        <v>15.74</v>
      </c>
      <c r="I140" s="35" t="n">
        <v>25.9739875650285</v>
      </c>
      <c r="J140" s="36" t="n">
        <f aca="false">F140-E140</f>
        <v>1.96000000000001</v>
      </c>
      <c r="K140" s="36" t="n">
        <v>45.3833923955755</v>
      </c>
      <c r="L140" s="36" t="n">
        <v>71.1687383027925</v>
      </c>
      <c r="M140" s="36" t="n">
        <v>122.56</v>
      </c>
      <c r="N140" s="39" t="n">
        <f aca="false">(Typical_retail_prices_of_petroleum_products_and_a_crude_oil_price_index_monthly[[#This Row],[Month]]&amp;" "&amp;Typical_retail_prices_of_petroleum_products_and_a_crude_oil_price_index_monthly[[#This Row],[Year]])*1</f>
        <v>36434</v>
      </c>
    </row>
    <row r="141" customFormat="false" ht="14.25" hidden="false" customHeight="true" outlineLevel="0" collapsed="false">
      <c r="A141" s="32" t="n">
        <v>1999</v>
      </c>
      <c r="B141" s="33" t="s">
        <v>69</v>
      </c>
      <c r="C141" s="34" t="n">
        <v>80.35</v>
      </c>
      <c r="D141" s="35" t="n">
        <v>83.4</v>
      </c>
      <c r="E141" s="35" t="n">
        <v>73.36</v>
      </c>
      <c r="F141" s="35" t="n">
        <v>75.23</v>
      </c>
      <c r="G141" s="35" t="n">
        <v>14.95</v>
      </c>
      <c r="H141" s="35" t="n">
        <v>16.27</v>
      </c>
      <c r="I141" s="35" t="n">
        <v>29.304145825862</v>
      </c>
      <c r="J141" s="36" t="n">
        <f aca="false">F141-E141</f>
        <v>1.87</v>
      </c>
      <c r="K141" s="36" t="n">
        <v>51.3265473036463</v>
      </c>
      <c r="L141" s="36" t="n">
        <v>80.4885977055171</v>
      </c>
      <c r="M141" s="36" t="n">
        <v>139.07</v>
      </c>
      <c r="N141" s="39" t="n">
        <f aca="false">(Typical_retail_prices_of_petroleum_products_and_a_crude_oil_price_index_monthly[[#This Row],[Month]]&amp;" "&amp;Typical_retail_prices_of_petroleum_products_and_a_crude_oil_price_index_monthly[[#This Row],[Year]])*1</f>
        <v>36465</v>
      </c>
    </row>
    <row r="142" customFormat="false" ht="14.25" hidden="false" customHeight="true" outlineLevel="0" collapsed="false">
      <c r="A142" s="32" t="n">
        <v>1999</v>
      </c>
      <c r="B142" s="33" t="s">
        <v>70</v>
      </c>
      <c r="C142" s="34" t="n">
        <v>81.02</v>
      </c>
      <c r="D142" s="35" t="n">
        <v>83.54</v>
      </c>
      <c r="E142" s="35" t="n">
        <v>75.42</v>
      </c>
      <c r="F142" s="35" t="n">
        <v>77.65</v>
      </c>
      <c r="G142" s="35" t="n">
        <v>17.11</v>
      </c>
      <c r="H142" s="35" t="n">
        <v>17.73</v>
      </c>
      <c r="I142" s="35" t="n">
        <v>31.0323086196914</v>
      </c>
      <c r="J142" s="36" t="n">
        <f aca="false">F142-E142</f>
        <v>2.23</v>
      </c>
      <c r="K142" s="36" t="n">
        <v>54.2265029142675</v>
      </c>
      <c r="L142" s="36" t="n">
        <v>85.0362123955582</v>
      </c>
      <c r="M142" s="36" t="n">
        <v>146.54</v>
      </c>
      <c r="N142" s="39" t="n">
        <f aca="false">(Typical_retail_prices_of_petroleum_products_and_a_crude_oil_price_index_monthly[[#This Row],[Month]]&amp;" "&amp;Typical_retail_prices_of_petroleum_products_and_a_crude_oil_price_index_monthly[[#This Row],[Year]])*1</f>
        <v>36495</v>
      </c>
    </row>
    <row r="143" customFormat="false" ht="14.25" hidden="false" customHeight="true" outlineLevel="0" collapsed="false">
      <c r="A143" s="32" t="n">
        <v>2000</v>
      </c>
      <c r="B143" s="33" t="s">
        <v>59</v>
      </c>
      <c r="C143" s="34" t="n">
        <v>80.84</v>
      </c>
      <c r="D143" s="35" t="n">
        <v>84.15</v>
      </c>
      <c r="E143" s="35" t="n">
        <v>75.38</v>
      </c>
      <c r="F143" s="35" t="n">
        <v>77.75</v>
      </c>
      <c r="G143" s="35" t="n">
        <v>17.84</v>
      </c>
      <c r="H143" s="35" t="n">
        <v>18.15</v>
      </c>
      <c r="I143" s="35" t="n">
        <v>30.4212323421435</v>
      </c>
      <c r="J143" s="36" t="n">
        <f aca="false">F143-E143</f>
        <v>2.37</v>
      </c>
      <c r="K143" s="36" t="n">
        <v>53.2489203747521</v>
      </c>
      <c r="L143" s="36" t="n">
        <v>83.5031997173138</v>
      </c>
      <c r="M143" s="36" t="n">
        <v>144.23</v>
      </c>
      <c r="N143" s="39" t="n">
        <f aca="false">(Typical_retail_prices_of_petroleum_products_and_a_crude_oil_price_index_monthly[[#This Row],[Month]]&amp;" "&amp;Typical_retail_prices_of_petroleum_products_and_a_crude_oil_price_index_monthly[[#This Row],[Year]])*1</f>
        <v>36526</v>
      </c>
    </row>
    <row r="144" customFormat="false" ht="14.25" hidden="false" customHeight="true" outlineLevel="0" collapsed="false">
      <c r="A144" s="32" t="n">
        <v>2000</v>
      </c>
      <c r="B144" s="33" t="s">
        <v>60</v>
      </c>
      <c r="C144" s="34" t="n">
        <v>80.75</v>
      </c>
      <c r="D144" s="35" t="n">
        <v>83.42</v>
      </c>
      <c r="E144" s="35" t="n">
        <v>75.14</v>
      </c>
      <c r="F144" s="35" t="n">
        <v>77.68</v>
      </c>
      <c r="G144" s="35" t="n">
        <v>17.92</v>
      </c>
      <c r="H144" s="35" t="n">
        <v>18.5</v>
      </c>
      <c r="I144" s="35" t="n">
        <v>33.8675430016267</v>
      </c>
      <c r="J144" s="36" t="n">
        <f aca="false">F144-E144</f>
        <v>2.54000000000001</v>
      </c>
      <c r="K144" s="36" t="n">
        <v>59.2573142988531</v>
      </c>
      <c r="L144" s="36" t="n">
        <v>92.9253647920896</v>
      </c>
      <c r="M144" s="36" t="n">
        <v>160.44</v>
      </c>
      <c r="N144" s="39" t="n">
        <f aca="false">(Typical_retail_prices_of_petroleum_products_and_a_crude_oil_price_index_monthly[[#This Row],[Month]]&amp;" "&amp;Typical_retail_prices_of_petroleum_products_and_a_crude_oil_price_index_monthly[[#This Row],[Year]])*1</f>
        <v>36557</v>
      </c>
    </row>
    <row r="145" customFormat="false" ht="14.25" hidden="false" customHeight="true" outlineLevel="0" collapsed="false">
      <c r="A145" s="32" t="n">
        <v>2000</v>
      </c>
      <c r="B145" s="33" t="s">
        <v>61</v>
      </c>
      <c r="C145" s="34" t="n">
        <v>82.99</v>
      </c>
      <c r="D145" s="35" t="n">
        <v>85.24</v>
      </c>
      <c r="E145" s="35" t="n">
        <v>78.32</v>
      </c>
      <c r="F145" s="35" t="n">
        <v>79.82</v>
      </c>
      <c r="G145" s="35" t="n">
        <v>18.63</v>
      </c>
      <c r="H145" s="35" t="n">
        <v>19.06</v>
      </c>
      <c r="I145" s="35" t="n">
        <v>33.6298202967825</v>
      </c>
      <c r="J145" s="36" t="n">
        <f aca="false">F145-E145</f>
        <v>1.5</v>
      </c>
      <c r="K145" s="36" t="n">
        <v>58.8580024559298</v>
      </c>
      <c r="L145" s="36" t="n">
        <v>92.299177137308</v>
      </c>
      <c r="M145" s="36" t="n">
        <v>159.39</v>
      </c>
      <c r="N145" s="39" t="n">
        <f aca="false">(Typical_retail_prices_of_petroleum_products_and_a_crude_oil_price_index_monthly[[#This Row],[Month]]&amp;" "&amp;Typical_retail_prices_of_petroleum_products_and_a_crude_oil_price_index_monthly[[#This Row],[Year]])*1</f>
        <v>36586</v>
      </c>
    </row>
    <row r="146" customFormat="false" ht="14.25" hidden="false" customHeight="true" outlineLevel="0" collapsed="false">
      <c r="A146" s="32" t="n">
        <v>2000</v>
      </c>
      <c r="B146" s="33" t="s">
        <v>62</v>
      </c>
      <c r="C146" s="34" t="n">
        <v>84.45</v>
      </c>
      <c r="D146" s="35" t="n">
        <v>87.18</v>
      </c>
      <c r="E146" s="35" t="n">
        <v>79.96</v>
      </c>
      <c r="F146" s="35" t="n">
        <v>81.07</v>
      </c>
      <c r="G146" s="35" t="n">
        <v>18.33</v>
      </c>
      <c r="H146" s="35" t="n">
        <v>18.61</v>
      </c>
      <c r="I146" s="35" t="n">
        <v>28.3772694244054</v>
      </c>
      <c r="J146" s="36" t="n">
        <f aca="false">F146-E146</f>
        <v>1.11</v>
      </c>
      <c r="K146" s="36" t="n">
        <v>49.6710133925649</v>
      </c>
      <c r="L146" s="36" t="n">
        <v>77.8924440587783</v>
      </c>
      <c r="M146" s="36" t="n">
        <v>134.56</v>
      </c>
      <c r="N146" s="39" t="n">
        <f aca="false">(Typical_retail_prices_of_petroleum_products_and_a_crude_oil_price_index_monthly[[#This Row],[Month]]&amp;" "&amp;Typical_retail_prices_of_petroleum_products_and_a_crude_oil_price_index_monthly[[#This Row],[Year]])*1</f>
        <v>36617</v>
      </c>
    </row>
    <row r="147" customFormat="false" ht="14.25" hidden="false" customHeight="true" outlineLevel="0" collapsed="false">
      <c r="A147" s="32" t="n">
        <v>2000</v>
      </c>
      <c r="B147" s="33" t="s">
        <v>63</v>
      </c>
      <c r="C147" s="34" t="n">
        <v>84.04</v>
      </c>
      <c r="D147" s="35" t="n">
        <v>86.93</v>
      </c>
      <c r="E147" s="35" t="n">
        <v>79.54</v>
      </c>
      <c r="F147" s="35" t="n">
        <v>80.56</v>
      </c>
      <c r="G147" s="35" t="n">
        <v>17.8</v>
      </c>
      <c r="H147" s="35" t="n">
        <v>19.17</v>
      </c>
      <c r="I147" s="35" t="n">
        <v>35.2387004661362</v>
      </c>
      <c r="J147" s="36" t="n">
        <f aca="false">F147-E147</f>
        <v>1.02</v>
      </c>
      <c r="K147" s="36" t="n">
        <v>61.5385535388853</v>
      </c>
      <c r="L147" s="36" t="n">
        <v>96.5027288874131</v>
      </c>
      <c r="M147" s="36" t="n">
        <v>166.83</v>
      </c>
      <c r="N147" s="39" t="n">
        <f aca="false">(Typical_retail_prices_of_petroleum_products_and_a_crude_oil_price_index_monthly[[#This Row],[Month]]&amp;" "&amp;Typical_retail_prices_of_petroleum_products_and_a_crude_oil_price_index_monthly[[#This Row],[Year]])*1</f>
        <v>36647</v>
      </c>
    </row>
    <row r="148" customFormat="false" ht="14.25" hidden="false" customHeight="true" outlineLevel="0" collapsed="false">
      <c r="A148" s="32" t="n">
        <v>2000</v>
      </c>
      <c r="B148" s="33" t="s">
        <v>64</v>
      </c>
      <c r="C148" s="34" t="n">
        <v>88.34</v>
      </c>
      <c r="D148" s="35" t="n">
        <v>89.86</v>
      </c>
      <c r="E148" s="35" t="n">
        <v>84.28</v>
      </c>
      <c r="F148" s="35" t="n">
        <v>82.92</v>
      </c>
      <c r="G148" s="35" t="n">
        <v>18.96</v>
      </c>
      <c r="H148" s="35" t="n">
        <v>19.99</v>
      </c>
      <c r="I148" s="35" t="n">
        <v>38.4088843136059</v>
      </c>
      <c r="J148" s="36" t="n">
        <f aca="false">F148-E148</f>
        <v>-1.36</v>
      </c>
      <c r="K148" s="36" t="n">
        <v>67.2001738204917</v>
      </c>
      <c r="L148" s="36" t="n">
        <v>105.381094979559</v>
      </c>
      <c r="M148" s="36" t="n">
        <v>181.95</v>
      </c>
      <c r="N148" s="39" t="n">
        <f aca="false">(Typical_retail_prices_of_petroleum_products_and_a_crude_oil_price_index_monthly[[#This Row],[Month]]&amp;" "&amp;Typical_retail_prices_of_petroleum_products_and_a_crude_oil_price_index_monthly[[#This Row],[Year]])*1</f>
        <v>36678</v>
      </c>
    </row>
    <row r="149" customFormat="false" ht="14.25" hidden="false" customHeight="true" outlineLevel="0" collapsed="false">
      <c r="A149" s="32" t="n">
        <v>2000</v>
      </c>
      <c r="B149" s="33" t="s">
        <v>65</v>
      </c>
      <c r="C149" s="34" t="n">
        <v>88.76</v>
      </c>
      <c r="D149" s="35" t="n">
        <v>89.94</v>
      </c>
      <c r="E149" s="35" t="n">
        <v>84.65</v>
      </c>
      <c r="F149" s="35" t="n">
        <v>83.18</v>
      </c>
      <c r="G149" s="35" t="n">
        <v>19.86</v>
      </c>
      <c r="H149" s="35" t="n">
        <v>20.81</v>
      </c>
      <c r="I149" s="35" t="n">
        <v>36.3874504951897</v>
      </c>
      <c r="J149" s="36" t="n">
        <f aca="false">F149-E149</f>
        <v>-1.47</v>
      </c>
      <c r="K149" s="36" t="n">
        <v>63.5594142370983</v>
      </c>
      <c r="L149" s="36" t="n">
        <v>99.6717759459477</v>
      </c>
      <c r="M149" s="36" t="n">
        <v>172.28</v>
      </c>
      <c r="N149" s="39" t="n">
        <f aca="false">(Typical_retail_prices_of_petroleum_products_and_a_crude_oil_price_index_monthly[[#This Row],[Month]]&amp;" "&amp;Typical_retail_prices_of_petroleum_products_and_a_crude_oil_price_index_monthly[[#This Row],[Year]])*1</f>
        <v>36708</v>
      </c>
    </row>
    <row r="150" customFormat="false" ht="14.25" hidden="false" customHeight="true" outlineLevel="0" collapsed="false">
      <c r="A150" s="32" t="n">
        <v>2000</v>
      </c>
      <c r="B150" s="33" t="s">
        <v>66</v>
      </c>
      <c r="C150" s="34" t="n">
        <v>85.86</v>
      </c>
      <c r="D150" s="35" t="n">
        <v>87.87</v>
      </c>
      <c r="E150" s="35" t="n">
        <v>80.34</v>
      </c>
      <c r="F150" s="35" t="n">
        <v>80.7</v>
      </c>
      <c r="G150" s="35" t="n">
        <v>20.83</v>
      </c>
      <c r="H150" s="35" t="n">
        <v>21.77</v>
      </c>
      <c r="I150" s="35" t="n">
        <v>38.4224156292227</v>
      </c>
      <c r="J150" s="36" t="n">
        <f aca="false">F150-E150</f>
        <v>0.359999999999999</v>
      </c>
      <c r="K150" s="36" t="n">
        <v>67.1482225948599</v>
      </c>
      <c r="L150" s="36" t="n">
        <v>105.299626781914</v>
      </c>
      <c r="M150" s="36" t="n">
        <v>181.83</v>
      </c>
      <c r="N150" s="39" t="n">
        <f aca="false">(Typical_retail_prices_of_petroleum_products_and_a_crude_oil_price_index_monthly[[#This Row],[Month]]&amp;" "&amp;Typical_retail_prices_of_petroleum_products_and_a_crude_oil_price_index_monthly[[#This Row],[Year]])*1</f>
        <v>36739</v>
      </c>
    </row>
    <row r="151" customFormat="false" ht="14.25" hidden="false" customHeight="true" outlineLevel="0" collapsed="false">
      <c r="A151" s="32" t="n">
        <v>2000</v>
      </c>
      <c r="B151" s="33" t="s">
        <v>67</v>
      </c>
      <c r="C151" s="34" t="n">
        <v>85.7</v>
      </c>
      <c r="D151" s="35" t="n">
        <v>88.39</v>
      </c>
      <c r="E151" s="35" t="n">
        <v>80.17</v>
      </c>
      <c r="F151" s="35" t="n">
        <v>82.31</v>
      </c>
      <c r="G151" s="35" t="n">
        <v>24.77</v>
      </c>
      <c r="H151" s="35" t="n">
        <v>26.4</v>
      </c>
      <c r="I151" s="35" t="n">
        <v>42.991465215619</v>
      </c>
      <c r="J151" s="36" t="n">
        <f aca="false">F151-E151</f>
        <v>2.14</v>
      </c>
      <c r="K151" s="36" t="n">
        <v>75.2603277534362</v>
      </c>
      <c r="L151" s="36" t="n">
        <v>118.020762392123</v>
      </c>
      <c r="M151" s="36" t="n">
        <v>203.84</v>
      </c>
      <c r="N151" s="39" t="n">
        <f aca="false">(Typical_retail_prices_of_petroleum_products_and_a_crude_oil_price_index_monthly[[#This Row],[Month]]&amp;" "&amp;Typical_retail_prices_of_petroleum_products_and_a_crude_oil_price_index_monthly[[#This Row],[Year]])*1</f>
        <v>36770</v>
      </c>
    </row>
    <row r="152" customFormat="false" ht="14.25" hidden="false" customHeight="true" outlineLevel="0" collapsed="false">
      <c r="A152" s="32" t="n">
        <v>2000</v>
      </c>
      <c r="B152" s="33" t="s">
        <v>68</v>
      </c>
      <c r="C152" s="34" t="n">
        <v>85.07</v>
      </c>
      <c r="D152" s="35" t="n">
        <v>87.82</v>
      </c>
      <c r="E152" s="35" t="n">
        <v>79.46</v>
      </c>
      <c r="F152" s="35" t="n">
        <v>81.35</v>
      </c>
      <c r="G152" s="35" t="n">
        <v>24.99</v>
      </c>
      <c r="H152" s="35" t="n">
        <v>26.13</v>
      </c>
      <c r="I152" s="35" t="n">
        <v>41.1812361024103</v>
      </c>
      <c r="J152" s="36" t="n">
        <f aca="false">F152-E152</f>
        <v>1.89</v>
      </c>
      <c r="K152" s="36" t="n">
        <v>72.1384967779018</v>
      </c>
      <c r="L152" s="36" t="n">
        <v>113.125210076712</v>
      </c>
      <c r="M152" s="36" t="n">
        <v>195.44</v>
      </c>
      <c r="N152" s="39" t="n">
        <f aca="false">(Typical_retail_prices_of_petroleum_products_and_a_crude_oil_price_index_monthly[[#This Row],[Month]]&amp;" "&amp;Typical_retail_prices_of_petroleum_products_and_a_crude_oil_price_index_monthly[[#This Row],[Year]])*1</f>
        <v>36800</v>
      </c>
    </row>
    <row r="153" customFormat="false" ht="14.25" hidden="false" customHeight="true" outlineLevel="0" collapsed="false">
      <c r="A153" s="32" t="n">
        <v>2000</v>
      </c>
      <c r="B153" s="33" t="s">
        <v>69</v>
      </c>
      <c r="C153" s="34" t="n">
        <v>86.92</v>
      </c>
      <c r="D153" s="35" t="n">
        <v>88.83</v>
      </c>
      <c r="E153" s="35" t="n">
        <v>82.05</v>
      </c>
      <c r="F153" s="35" t="n">
        <v>84.22</v>
      </c>
      <c r="G153" s="35" t="n">
        <v>24.54</v>
      </c>
      <c r="H153" s="35" t="n">
        <v>25.73</v>
      </c>
      <c r="I153" s="35" t="n">
        <v>43.9644808394241</v>
      </c>
      <c r="J153" s="36" t="n">
        <f aca="false">F153-E153</f>
        <v>2.17</v>
      </c>
      <c r="K153" s="36" t="n">
        <v>76.936334625149</v>
      </c>
      <c r="L153" s="36" t="n">
        <v>120.649021060116</v>
      </c>
      <c r="M153" s="36" t="n">
        <v>208.4</v>
      </c>
      <c r="N153" s="39" t="n">
        <f aca="false">(Typical_retail_prices_of_petroleum_products_and_a_crude_oil_price_index_monthly[[#This Row],[Month]]&amp;" "&amp;Typical_retail_prices_of_petroleum_products_and_a_crude_oil_price_index_monthly[[#This Row],[Year]])*1</f>
        <v>36831</v>
      </c>
    </row>
    <row r="154" customFormat="false" ht="14.25" hidden="false" customHeight="true" outlineLevel="0" collapsed="false">
      <c r="A154" s="32" t="n">
        <v>2000</v>
      </c>
      <c r="B154" s="33" t="s">
        <v>70</v>
      </c>
      <c r="C154" s="34" t="n">
        <v>84.99</v>
      </c>
      <c r="D154" s="35" t="n">
        <v>88.16</v>
      </c>
      <c r="E154" s="35" t="n">
        <v>79.83</v>
      </c>
      <c r="F154" s="35" t="n">
        <v>84.56</v>
      </c>
      <c r="G154" s="35" t="n">
        <v>22.4</v>
      </c>
      <c r="H154" s="35" t="n">
        <v>23.81</v>
      </c>
      <c r="I154" s="35" t="n">
        <v>34.5528738592552</v>
      </c>
      <c r="J154" s="36" t="n">
        <f aca="false">F154-E154</f>
        <v>4.73</v>
      </c>
      <c r="K154" s="36" t="n">
        <v>60.3924991978884</v>
      </c>
      <c r="L154" s="36" t="n">
        <v>94.705524289655</v>
      </c>
      <c r="M154" s="36" t="n">
        <v>163.68</v>
      </c>
      <c r="N154" s="39" t="n">
        <f aca="false">(Typical_retail_prices_of_petroleum_products_and_a_crude_oil_price_index_monthly[[#This Row],[Month]]&amp;" "&amp;Typical_retail_prices_of_petroleum_products_and_a_crude_oil_price_index_monthly[[#This Row],[Year]])*1</f>
        <v>36861</v>
      </c>
    </row>
    <row r="155" customFormat="false" ht="14.25" hidden="false" customHeight="true" outlineLevel="0" collapsed="false">
      <c r="A155" s="32" t="n">
        <v>2001</v>
      </c>
      <c r="B155" s="33" t="s">
        <v>59</v>
      </c>
      <c r="C155" s="34" t="n">
        <v>82.19</v>
      </c>
      <c r="D155" s="35" t="n">
        <v>85.06</v>
      </c>
      <c r="E155" s="35" t="n">
        <v>76.85</v>
      </c>
      <c r="F155" s="35" t="n">
        <v>81.63</v>
      </c>
      <c r="G155" s="35" t="n">
        <v>19.86</v>
      </c>
      <c r="H155" s="35" t="n">
        <v>20.46</v>
      </c>
      <c r="I155" s="35" t="n">
        <v>33.5595498917321</v>
      </c>
      <c r="J155" s="36" t="n">
        <f aca="false">F155-E155</f>
        <v>4.78</v>
      </c>
      <c r="K155" s="36" t="n">
        <v>58.6721743258401</v>
      </c>
      <c r="L155" s="36" t="n">
        <v>92.0077675960298</v>
      </c>
      <c r="M155" s="36" t="n">
        <v>159.02</v>
      </c>
      <c r="N155" s="39" t="n">
        <f aca="false">(Typical_retail_prices_of_petroleum_products_and_a_crude_oil_price_index_monthly[[#This Row],[Month]]&amp;" "&amp;Typical_retail_prices_of_petroleum_products_and_a_crude_oil_price_index_monthly[[#This Row],[Year]])*1</f>
        <v>36892</v>
      </c>
    </row>
    <row r="156" customFormat="false" ht="14.25" hidden="false" customHeight="true" outlineLevel="0" collapsed="false">
      <c r="A156" s="32" t="n">
        <v>2001</v>
      </c>
      <c r="B156" s="33" t="s">
        <v>60</v>
      </c>
      <c r="C156" s="34" t="n">
        <v>81.97</v>
      </c>
      <c r="D156" s="35" t="n">
        <v>85.1</v>
      </c>
      <c r="E156" s="35" t="n">
        <v>77.17</v>
      </c>
      <c r="F156" s="35" t="n">
        <v>81.15</v>
      </c>
      <c r="G156" s="35" t="n">
        <v>19.87</v>
      </c>
      <c r="H156" s="35" t="n">
        <v>20.73</v>
      </c>
      <c r="I156" s="35" t="n">
        <v>36.3533003308169</v>
      </c>
      <c r="J156" s="36" t="n">
        <f aca="false">F156-E156</f>
        <v>3.98</v>
      </c>
      <c r="K156" s="36" t="n">
        <v>63.7094236425259</v>
      </c>
      <c r="L156" s="36" t="n">
        <v>99.9070157452289</v>
      </c>
      <c r="M156" s="36" t="n">
        <v>172.4</v>
      </c>
      <c r="N156" s="39" t="n">
        <f aca="false">(Typical_retail_prices_of_petroleum_products_and_a_crude_oil_price_index_monthly[[#This Row],[Month]]&amp;" "&amp;Typical_retail_prices_of_petroleum_products_and_a_crude_oil_price_index_monthly[[#This Row],[Year]])*1</f>
        <v>36923</v>
      </c>
    </row>
    <row r="157" customFormat="false" ht="14.25" hidden="false" customHeight="true" outlineLevel="0" collapsed="false">
      <c r="A157" s="32" t="n">
        <v>2001</v>
      </c>
      <c r="B157" s="33" t="s">
        <v>61</v>
      </c>
      <c r="C157" s="34" t="n">
        <v>77.8</v>
      </c>
      <c r="D157" s="35" t="n">
        <v>81.24</v>
      </c>
      <c r="E157" s="35" t="n">
        <v>74.87</v>
      </c>
      <c r="F157" s="35" t="n">
        <v>77.73</v>
      </c>
      <c r="G157" s="35" t="n">
        <v>19.54</v>
      </c>
      <c r="H157" s="35" t="n">
        <v>20.02</v>
      </c>
      <c r="I157" s="35" t="n">
        <v>32.4318891920337</v>
      </c>
      <c r="J157" s="36" t="n">
        <f aca="false">F157-E157</f>
        <v>2.86</v>
      </c>
      <c r="K157" s="36" t="n">
        <v>56.9344836077204</v>
      </c>
      <c r="L157" s="36" t="n">
        <v>89.2827783556681</v>
      </c>
      <c r="M157" s="36" t="n">
        <v>154.2</v>
      </c>
      <c r="N157" s="39" t="n">
        <f aca="false">(Typical_retail_prices_of_petroleum_products_and_a_crude_oil_price_index_monthly[[#This Row],[Month]]&amp;" "&amp;Typical_retail_prices_of_petroleum_products_and_a_crude_oil_price_index_monthly[[#This Row],[Year]])*1</f>
        <v>36951</v>
      </c>
    </row>
    <row r="158" customFormat="false" ht="14.25" hidden="false" customHeight="true" outlineLevel="0" collapsed="false">
      <c r="A158" s="32" t="n">
        <v>2001</v>
      </c>
      <c r="B158" s="33" t="s">
        <v>62</v>
      </c>
      <c r="C158" s="34" t="n">
        <v>78.23</v>
      </c>
      <c r="D158" s="35" t="n">
        <v>82.27</v>
      </c>
      <c r="E158" s="35" t="n">
        <v>75.88</v>
      </c>
      <c r="F158" s="35" t="n">
        <v>77.31</v>
      </c>
      <c r="G158" s="35" t="n">
        <v>19.46</v>
      </c>
      <c r="H158" s="35" t="n">
        <v>20.29</v>
      </c>
      <c r="I158" s="35" t="n">
        <v>34.0566979147721</v>
      </c>
      <c r="J158" s="36" t="n">
        <f aca="false">F158-E158</f>
        <v>1.43000000000001</v>
      </c>
      <c r="K158" s="36" t="n">
        <v>59.5147916548883</v>
      </c>
      <c r="L158" s="36" t="n">
        <v>93.3291322850713</v>
      </c>
      <c r="M158" s="36" t="n">
        <v>161.4</v>
      </c>
      <c r="N158" s="39" t="n">
        <f aca="false">(Typical_retail_prices_of_petroleum_products_and_a_crude_oil_price_index_monthly[[#This Row],[Month]]&amp;" "&amp;Typical_retail_prices_of_petroleum_products_and_a_crude_oil_price_index_monthly[[#This Row],[Year]])*1</f>
        <v>36982</v>
      </c>
    </row>
    <row r="159" customFormat="false" ht="14.25" hidden="false" customHeight="true" outlineLevel="0" collapsed="false">
      <c r="A159" s="32" t="n">
        <v>2001</v>
      </c>
      <c r="B159" s="33" t="s">
        <v>63</v>
      </c>
      <c r="C159" s="34" t="n">
        <v>80.09</v>
      </c>
      <c r="D159" s="35" t="n">
        <v>83.31</v>
      </c>
      <c r="E159" s="35" t="n">
        <v>78.18</v>
      </c>
      <c r="F159" s="35" t="n">
        <v>77.76</v>
      </c>
      <c r="G159" s="35" t="n">
        <v>19.08</v>
      </c>
      <c r="H159" s="35" t="n">
        <v>19.68</v>
      </c>
      <c r="I159" s="35" t="n">
        <v>38.3132005487346</v>
      </c>
      <c r="J159" s="36" t="n">
        <f aca="false">F159-E159</f>
        <v>-0.420000000000002</v>
      </c>
      <c r="K159" s="36" t="n">
        <v>67.0766689543323</v>
      </c>
      <c r="L159" s="36" t="n">
        <v>105.187418724108</v>
      </c>
      <c r="M159" s="36" t="n">
        <v>181.7</v>
      </c>
      <c r="N159" s="39" t="n">
        <f aca="false">(Typical_retail_prices_of_petroleum_products_and_a_crude_oil_price_index_monthly[[#This Row],[Month]]&amp;" "&amp;Typical_retail_prices_of_petroleum_products_and_a_crude_oil_price_index_monthly[[#This Row],[Year]])*1</f>
        <v>37012</v>
      </c>
    </row>
    <row r="160" customFormat="false" ht="14.25" hidden="false" customHeight="true" outlineLevel="0" collapsed="false">
      <c r="A160" s="32" t="n">
        <v>2001</v>
      </c>
      <c r="B160" s="33" t="s">
        <v>64</v>
      </c>
      <c r="C160" s="41" t="n">
        <v>82.34</v>
      </c>
      <c r="D160" s="35" t="n">
        <v>84.54</v>
      </c>
      <c r="E160" s="35" t="n">
        <v>78.92</v>
      </c>
      <c r="F160" s="35" t="n">
        <v>78.22</v>
      </c>
      <c r="G160" s="35" t="n">
        <v>19.42</v>
      </c>
      <c r="H160" s="35" t="n">
        <v>20.23</v>
      </c>
      <c r="I160" s="35" t="n">
        <v>38.634354339701</v>
      </c>
      <c r="J160" s="36" t="n">
        <f aca="false">F160-E160</f>
        <v>-0.700000000000003</v>
      </c>
      <c r="K160" s="36" t="n">
        <v>67.5896891422933</v>
      </c>
      <c r="L160" s="36" t="n">
        <v>105.991920053203</v>
      </c>
      <c r="M160" s="36" t="n">
        <v>183.2</v>
      </c>
      <c r="N160" s="39" t="n">
        <f aca="false">(Typical_retail_prices_of_petroleum_products_and_a_crude_oil_price_index_monthly[[#This Row],[Month]]&amp;" "&amp;Typical_retail_prices_of_petroleum_products_and_a_crude_oil_price_index_monthly[[#This Row],[Year]])*1</f>
        <v>37043</v>
      </c>
    </row>
    <row r="161" customFormat="false" ht="14.25" hidden="false" customHeight="true" outlineLevel="0" collapsed="false">
      <c r="A161" s="32" t="n">
        <v>2001</v>
      </c>
      <c r="B161" s="33" t="s">
        <v>65</v>
      </c>
      <c r="C161" s="41" t="n">
        <v>81.44</v>
      </c>
      <c r="D161" s="35" t="n">
        <v>83.99</v>
      </c>
      <c r="E161" s="35" t="n">
        <v>77.8</v>
      </c>
      <c r="F161" s="35" t="n">
        <v>77.88</v>
      </c>
      <c r="G161" s="35" t="n">
        <v>18.5</v>
      </c>
      <c r="H161" s="35" t="n">
        <v>19.58</v>
      </c>
      <c r="I161" s="35" t="n">
        <v>33.4584029298965</v>
      </c>
      <c r="J161" s="36" t="n">
        <f aca="false">F161-E161</f>
        <v>0.0799999999999983</v>
      </c>
      <c r="K161" s="36" t="n">
        <v>58.4541369897669</v>
      </c>
      <c r="L161" s="36" t="n">
        <v>91.6658486408319</v>
      </c>
      <c r="M161" s="36" t="n">
        <v>158.6</v>
      </c>
      <c r="N161" s="39" t="n">
        <f aca="false">(Typical_retail_prices_of_petroleum_products_and_a_crude_oil_price_index_monthly[[#This Row],[Month]]&amp;" "&amp;Typical_retail_prices_of_petroleum_products_and_a_crude_oil_price_index_monthly[[#This Row],[Year]])*1</f>
        <v>37073</v>
      </c>
    </row>
    <row r="162" customFormat="false" ht="14.25" hidden="false" customHeight="true" outlineLevel="0" collapsed="false">
      <c r="A162" s="32" t="n">
        <v>2001</v>
      </c>
      <c r="B162" s="33" t="s">
        <v>66</v>
      </c>
      <c r="C162" s="34" t="n">
        <v>80.35</v>
      </c>
      <c r="D162" s="35" t="n">
        <v>84.24</v>
      </c>
      <c r="E162" s="35" t="n">
        <v>76.82</v>
      </c>
      <c r="F162" s="35" t="n">
        <v>77.54</v>
      </c>
      <c r="G162" s="35" t="n">
        <v>17.88</v>
      </c>
      <c r="H162" s="35" t="n">
        <v>19.49</v>
      </c>
      <c r="I162" s="35" t="n">
        <v>34.3263083310437</v>
      </c>
      <c r="J162" s="36" t="n">
        <f aca="false">F162-E162</f>
        <v>0.720000000000013</v>
      </c>
      <c r="K162" s="36" t="n">
        <v>59.9508613516982</v>
      </c>
      <c r="L162" s="36" t="n">
        <v>94.0129623933085</v>
      </c>
      <c r="M162" s="36" t="n">
        <v>162.7</v>
      </c>
      <c r="N162" s="39" t="n">
        <f aca="false">(Typical_retail_prices_of_petroleum_products_and_a_crude_oil_price_index_monthly[[#This Row],[Month]]&amp;" "&amp;Typical_retail_prices_of_petroleum_products_and_a_crude_oil_price_index_monthly[[#This Row],[Year]])*1</f>
        <v>37104</v>
      </c>
    </row>
    <row r="163" customFormat="false" ht="14.25" hidden="false" customHeight="true" outlineLevel="0" collapsed="false">
      <c r="A163" s="32" t="n">
        <v>2001</v>
      </c>
      <c r="B163" s="33" t="s">
        <v>67</v>
      </c>
      <c r="C163" s="34" t="n">
        <v>79.99</v>
      </c>
      <c r="D163" s="35" t="n">
        <v>83.04</v>
      </c>
      <c r="E163" s="35" t="n">
        <v>76.42</v>
      </c>
      <c r="F163" s="35" t="n">
        <v>77.2</v>
      </c>
      <c r="G163" s="35" t="n">
        <v>18.88</v>
      </c>
      <c r="H163" s="35" t="n">
        <v>19.92</v>
      </c>
      <c r="I163" s="35" t="n">
        <v>33.8790822612088</v>
      </c>
      <c r="J163" s="36" t="n">
        <f aca="false">F163-E163</f>
        <v>0.780000000000001</v>
      </c>
      <c r="K163" s="36" t="n">
        <v>59.168526673946</v>
      </c>
      <c r="L163" s="36" t="n">
        <v>92.7861309687018</v>
      </c>
      <c r="M163" s="36" t="n">
        <v>160.4</v>
      </c>
      <c r="N163" s="39" t="n">
        <f aca="false">(Typical_retail_prices_of_petroleum_products_and_a_crude_oil_price_index_monthly[[#This Row],[Month]]&amp;" "&amp;Typical_retail_prices_of_petroleum_products_and_a_crude_oil_price_index_monthly[[#This Row],[Year]])*1</f>
        <v>37135</v>
      </c>
    </row>
    <row r="164" customFormat="false" ht="14.25" hidden="false" customHeight="true" outlineLevel="0" collapsed="false">
      <c r="A164" s="32" t="n">
        <v>2001</v>
      </c>
      <c r="B164" s="33" t="s">
        <v>68</v>
      </c>
      <c r="C164" s="34" t="n">
        <v>79.23</v>
      </c>
      <c r="D164" s="35" t="n">
        <v>82.25</v>
      </c>
      <c r="E164" s="35" t="n">
        <v>75.11</v>
      </c>
      <c r="F164" s="35" t="n">
        <v>76.86</v>
      </c>
      <c r="G164" s="35" t="n">
        <v>15.77</v>
      </c>
      <c r="H164" s="35" t="n">
        <v>17.46</v>
      </c>
      <c r="I164" s="35" t="n">
        <v>27.274442400474</v>
      </c>
      <c r="J164" s="36" t="n">
        <f aca="false">F164-E164</f>
        <v>1.75</v>
      </c>
      <c r="K164" s="36" t="n">
        <v>47.6875641997968</v>
      </c>
      <c r="L164" s="36" t="n">
        <v>74.7820644885028</v>
      </c>
      <c r="M164" s="36" t="n">
        <v>129.3</v>
      </c>
      <c r="N164" s="39" t="n">
        <f aca="false">(Typical_retail_prices_of_petroleum_products_and_a_crude_oil_price_index_monthly[[#This Row],[Month]]&amp;" "&amp;Typical_retail_prices_of_petroleum_products_and_a_crude_oil_price_index_monthly[[#This Row],[Year]])*1</f>
        <v>37165</v>
      </c>
    </row>
    <row r="165" customFormat="false" ht="14.25" hidden="false" customHeight="true" outlineLevel="0" collapsed="false">
      <c r="A165" s="32" t="n">
        <v>2001</v>
      </c>
      <c r="B165" s="33" t="s">
        <v>69</v>
      </c>
      <c r="C165" s="42" t="n">
        <v>77.1</v>
      </c>
      <c r="D165" s="35" t="n">
        <v>79.5</v>
      </c>
      <c r="E165" s="43" t="n">
        <v>70.42</v>
      </c>
      <c r="F165" s="43" t="n">
        <v>75.98</v>
      </c>
      <c r="G165" s="35" t="n">
        <v>14.83</v>
      </c>
      <c r="H165" s="35" t="n">
        <v>16.21</v>
      </c>
      <c r="I165" s="35" t="n">
        <v>25.9707994863609</v>
      </c>
      <c r="J165" s="36" t="n">
        <f aca="false">F165-E165</f>
        <v>5.56</v>
      </c>
      <c r="K165" s="36" t="n">
        <v>45.3767126309165</v>
      </c>
      <c r="L165" s="36" t="n">
        <v>71.1582633162864</v>
      </c>
      <c r="M165" s="36" t="n">
        <v>123.1</v>
      </c>
      <c r="N165" s="39" t="n">
        <f aca="false">(Typical_retail_prices_of_petroleum_products_and_a_crude_oil_price_index_monthly[[#This Row],[Month]]&amp;" "&amp;Typical_retail_prices_of_petroleum_products_and_a_crude_oil_price_index_monthly[[#This Row],[Year]])*1</f>
        <v>37196</v>
      </c>
    </row>
    <row r="166" customFormat="false" ht="14.25" hidden="false" customHeight="true" outlineLevel="0" collapsed="false">
      <c r="A166" s="32" t="n">
        <v>2001</v>
      </c>
      <c r="B166" s="33" t="s">
        <v>70</v>
      </c>
      <c r="C166" s="34" t="n">
        <v>75.84</v>
      </c>
      <c r="D166" s="35" t="n">
        <v>78.36</v>
      </c>
      <c r="E166" s="35" t="n">
        <v>70.16</v>
      </c>
      <c r="F166" s="35" t="n">
        <v>74.77</v>
      </c>
      <c r="G166" s="35" t="n">
        <v>14.44</v>
      </c>
      <c r="H166" s="35" t="n">
        <v>15.31</v>
      </c>
      <c r="I166" s="35" t="n">
        <v>25.2442019679027</v>
      </c>
      <c r="J166" s="36" t="n">
        <f aca="false">F166-E166</f>
        <v>4.61</v>
      </c>
      <c r="K166" s="36" t="n">
        <v>44.0975682638248</v>
      </c>
      <c r="L166" s="36" t="n">
        <v>69.1523513315773</v>
      </c>
      <c r="M166" s="36" t="n">
        <v>119.4</v>
      </c>
      <c r="N166" s="39" t="n">
        <f aca="false">(Typical_retail_prices_of_petroleum_products_and_a_crude_oil_price_index_monthly[[#This Row],[Month]]&amp;" "&amp;Typical_retail_prices_of_petroleum_products_and_a_crude_oil_price_index_monthly[[#This Row],[Year]])*1</f>
        <v>37226</v>
      </c>
    </row>
    <row r="167" customFormat="false" ht="14.25" hidden="false" customHeight="true" outlineLevel="0" collapsed="false">
      <c r="A167" s="32" t="n">
        <v>2002</v>
      </c>
      <c r="B167" s="33" t="s">
        <v>59</v>
      </c>
      <c r="C167" s="42" t="n">
        <v>75.94</v>
      </c>
      <c r="D167" s="35" t="n">
        <v>78.48</v>
      </c>
      <c r="E167" s="43" t="n">
        <v>69.9</v>
      </c>
      <c r="F167" s="43" t="n">
        <v>74.65</v>
      </c>
      <c r="G167" s="35" t="n">
        <v>14.61</v>
      </c>
      <c r="H167" s="35" t="n">
        <v>14.71</v>
      </c>
      <c r="I167" s="35" t="n">
        <v>26.1114636967765</v>
      </c>
      <c r="J167" s="36" t="n">
        <f aca="false">F167-E167</f>
        <v>4.75</v>
      </c>
      <c r="K167" s="36" t="n">
        <v>45.673351656163</v>
      </c>
      <c r="L167" s="36" t="n">
        <v>71.6234428465901</v>
      </c>
      <c r="M167" s="36" t="n">
        <v>123.7</v>
      </c>
      <c r="N167" s="39" t="n">
        <f aca="false">(Typical_retail_prices_of_petroleum_products_and_a_crude_oil_price_index_monthly[[#This Row],[Month]]&amp;" "&amp;Typical_retail_prices_of_petroleum_products_and_a_crude_oil_price_index_monthly[[#This Row],[Year]])*1</f>
        <v>37257</v>
      </c>
    </row>
    <row r="168" customFormat="false" ht="14.25" hidden="false" customHeight="true" outlineLevel="0" collapsed="false">
      <c r="A168" s="32" t="n">
        <v>2002</v>
      </c>
      <c r="B168" s="33" t="s">
        <v>60</v>
      </c>
      <c r="C168" s="34" t="n">
        <v>75.68</v>
      </c>
      <c r="D168" s="35" t="n">
        <v>78.52</v>
      </c>
      <c r="E168" s="35" t="n">
        <v>70</v>
      </c>
      <c r="F168" s="35" t="n">
        <v>74.4</v>
      </c>
      <c r="G168" s="35" t="n">
        <v>14.22</v>
      </c>
      <c r="H168" s="35" t="n">
        <v>14.45</v>
      </c>
      <c r="I168" s="35" t="n">
        <v>26.9927589375805</v>
      </c>
      <c r="J168" s="36" t="n">
        <f aca="false">F168-E168</f>
        <v>4.40000000000001</v>
      </c>
      <c r="K168" s="36" t="n">
        <v>47.217115799418</v>
      </c>
      <c r="L168" s="36" t="n">
        <v>74.0443228318259</v>
      </c>
      <c r="M168" s="36" t="n">
        <v>128</v>
      </c>
      <c r="N168" s="39" t="n">
        <f aca="false">(Typical_retail_prices_of_petroleum_products_and_a_crude_oil_price_index_monthly[[#This Row],[Month]]&amp;" "&amp;Typical_retail_prices_of_petroleum_products_and_a_crude_oil_price_index_monthly[[#This Row],[Year]])*1</f>
        <v>37288</v>
      </c>
    </row>
    <row r="169" customFormat="false" ht="14.25" hidden="false" customHeight="true" outlineLevel="0" collapsed="false">
      <c r="A169" s="32" t="n">
        <v>2002</v>
      </c>
      <c r="B169" s="33" t="s">
        <v>61</v>
      </c>
      <c r="C169" s="34" t="n">
        <v>76.15</v>
      </c>
      <c r="D169" s="35" t="n">
        <v>79.17</v>
      </c>
      <c r="E169" s="35" t="n">
        <v>71.5</v>
      </c>
      <c r="F169" s="35" t="n">
        <v>74.83</v>
      </c>
      <c r="G169" s="35" t="n">
        <v>15.02</v>
      </c>
      <c r="H169" s="35" t="n">
        <v>14.96</v>
      </c>
      <c r="I169" s="35" t="n">
        <v>30.3162445433676</v>
      </c>
      <c r="J169" s="36" t="n">
        <f aca="false">F169-E169</f>
        <v>3.33</v>
      </c>
      <c r="K169" s="36" t="n">
        <v>53.3014877333905</v>
      </c>
      <c r="L169" s="36" t="n">
        <v>83.5856341144078</v>
      </c>
      <c r="M169" s="36" t="n">
        <v>143.7</v>
      </c>
      <c r="N169" s="39" t="n">
        <f aca="false">(Typical_retail_prices_of_petroleum_products_and_a_crude_oil_price_index_monthly[[#This Row],[Month]]&amp;" "&amp;Typical_retail_prices_of_petroleum_products_and_a_crude_oil_price_index_monthly[[#This Row],[Year]])*1</f>
        <v>37316</v>
      </c>
    </row>
    <row r="170" customFormat="false" ht="14.25" hidden="false" customHeight="true" outlineLevel="0" collapsed="false">
      <c r="A170" s="32" t="n">
        <v>2002</v>
      </c>
      <c r="B170" s="33" t="s">
        <v>62</v>
      </c>
      <c r="C170" s="34" t="n">
        <v>77.84</v>
      </c>
      <c r="D170" s="35" t="n">
        <v>80.61</v>
      </c>
      <c r="E170" s="35" t="n">
        <v>74.95</v>
      </c>
      <c r="F170" s="35" t="n">
        <v>76.88</v>
      </c>
      <c r="G170" s="35" t="n">
        <v>16.08</v>
      </c>
      <c r="H170" s="35" t="n">
        <v>16.07</v>
      </c>
      <c r="I170" s="35" t="n">
        <v>33.4417510993876</v>
      </c>
      <c r="J170" s="36" t="n">
        <f aca="false">F170-E170</f>
        <v>1.92999999999999</v>
      </c>
      <c r="K170" s="36" t="n">
        <v>58.5574457864515</v>
      </c>
      <c r="L170" s="36" t="n">
        <v>91.8278540866022</v>
      </c>
      <c r="M170" s="36" t="n">
        <v>158.6</v>
      </c>
      <c r="N170" s="39" t="n">
        <f aca="false">(Typical_retail_prices_of_petroleum_products_and_a_crude_oil_price_index_monthly[[#This Row],[Month]]&amp;" "&amp;Typical_retail_prices_of_petroleum_products_and_a_crude_oil_price_index_monthly[[#This Row],[Year]])*1</f>
        <v>37347</v>
      </c>
    </row>
    <row r="171" customFormat="false" ht="14.25" hidden="false" customHeight="true" outlineLevel="0" collapsed="false">
      <c r="A171" s="32" t="n">
        <v>2002</v>
      </c>
      <c r="B171" s="33" t="s">
        <v>63</v>
      </c>
      <c r="C171" s="34" t="n">
        <v>77.78</v>
      </c>
      <c r="D171" s="35" t="n">
        <v>80.41</v>
      </c>
      <c r="E171" s="35" t="n">
        <v>74.74</v>
      </c>
      <c r="F171" s="35" t="n">
        <v>76.37</v>
      </c>
      <c r="G171" s="35" t="n">
        <v>16.13</v>
      </c>
      <c r="H171" s="35" t="n">
        <v>16</v>
      </c>
      <c r="I171" s="35" t="n">
        <v>32.5713558601043</v>
      </c>
      <c r="J171" s="36" t="n">
        <f aca="false">F171-E171</f>
        <v>1.63000000000001</v>
      </c>
      <c r="K171" s="36" t="n">
        <v>57.051728420244</v>
      </c>
      <c r="L171" s="36" t="n">
        <v>89.4666378015887</v>
      </c>
      <c r="M171" s="36" t="n">
        <v>154.6</v>
      </c>
      <c r="N171" s="39" t="n">
        <f aca="false">(Typical_retail_prices_of_petroleum_products_and_a_crude_oil_price_index_monthly[[#This Row],[Month]]&amp;" "&amp;Typical_retail_prices_of_petroleum_products_and_a_crude_oil_price_index_monthly[[#This Row],[Year]])*1</f>
        <v>37377</v>
      </c>
    </row>
    <row r="172" customFormat="false" ht="14.25" hidden="false" customHeight="true" outlineLevel="0" collapsed="false">
      <c r="A172" s="32" t="n">
        <v>2002</v>
      </c>
      <c r="B172" s="33" t="s">
        <v>64</v>
      </c>
      <c r="C172" s="41" t="n">
        <v>77.31</v>
      </c>
      <c r="D172" s="35" t="n">
        <v>80.32</v>
      </c>
      <c r="E172" s="35" t="n">
        <v>74.01</v>
      </c>
      <c r="F172" s="35" t="n">
        <v>75.64</v>
      </c>
      <c r="G172" s="35" t="n">
        <v>15.37</v>
      </c>
      <c r="H172" s="35" t="n">
        <v>15.42</v>
      </c>
      <c r="I172" s="35" t="n">
        <v>31.2746013005556</v>
      </c>
      <c r="J172" s="36" t="n">
        <f aca="false">F172-E172</f>
        <v>1.63</v>
      </c>
      <c r="K172" s="36" t="n">
        <v>54.7317894660316</v>
      </c>
      <c r="L172" s="36" t="n">
        <v>85.8285860915783</v>
      </c>
      <c r="M172" s="44" t="n">
        <v>148.3</v>
      </c>
      <c r="N172" s="39" t="n">
        <f aca="false">(Typical_retail_prices_of_petroleum_products_and_a_crude_oil_price_index_monthly[[#This Row],[Month]]&amp;" "&amp;Typical_retail_prices_of_petroleum_products_and_a_crude_oil_price_index_monthly[[#This Row],[Year]])*1</f>
        <v>37408</v>
      </c>
    </row>
    <row r="173" customFormat="false" ht="14.25" hidden="false" customHeight="true" outlineLevel="0" collapsed="false">
      <c r="A173" s="32" t="n">
        <v>2002</v>
      </c>
      <c r="B173" s="33" t="s">
        <v>65</v>
      </c>
      <c r="C173" s="41" t="n">
        <v>76.95</v>
      </c>
      <c r="D173" s="35" t="n">
        <v>80.08</v>
      </c>
      <c r="E173" s="35" t="n">
        <v>73.62</v>
      </c>
      <c r="F173" s="35" t="n">
        <v>75.29</v>
      </c>
      <c r="G173" s="35" t="n">
        <v>15.19</v>
      </c>
      <c r="H173" s="35" t="n">
        <v>15.61</v>
      </c>
      <c r="I173" s="35" t="n">
        <v>31.8583783976295</v>
      </c>
      <c r="J173" s="36" t="n">
        <f aca="false">F173-E173</f>
        <v>1.67</v>
      </c>
      <c r="K173" s="36" t="n">
        <v>55.7829134674166</v>
      </c>
      <c r="L173" s="36" t="n">
        <v>87.4769240634582</v>
      </c>
      <c r="M173" s="44" t="n">
        <v>151.1</v>
      </c>
      <c r="N173" s="39" t="n">
        <f aca="false">(Typical_retail_prices_of_petroleum_products_and_a_crude_oil_price_index_monthly[[#This Row],[Month]]&amp;" "&amp;Typical_retail_prices_of_petroleum_products_and_a_crude_oil_price_index_monthly[[#This Row],[Year]])*1</f>
        <v>37438</v>
      </c>
    </row>
    <row r="174" customFormat="false" ht="14.25" hidden="false" customHeight="true" outlineLevel="0" collapsed="false">
      <c r="A174" s="32" t="n">
        <v>2002</v>
      </c>
      <c r="B174" s="33" t="s">
        <v>66</v>
      </c>
      <c r="C174" s="45" t="n">
        <v>77.09</v>
      </c>
      <c r="D174" s="35" t="n">
        <v>80</v>
      </c>
      <c r="E174" s="43" t="n">
        <v>73.69</v>
      </c>
      <c r="F174" s="43" t="n">
        <v>75.29</v>
      </c>
      <c r="G174" s="35" t="n">
        <v>15.59</v>
      </c>
      <c r="H174" s="35" t="n">
        <v>16.23</v>
      </c>
      <c r="I174" s="35" t="n">
        <v>33.5819374835855</v>
      </c>
      <c r="J174" s="36" t="n">
        <f aca="false">F174-E174</f>
        <v>1.60000000000001</v>
      </c>
      <c r="K174" s="36" t="n">
        <v>58.7956813326897</v>
      </c>
      <c r="L174" s="36" t="n">
        <v>92.2014472084399</v>
      </c>
      <c r="M174" s="44" t="n">
        <v>159.3</v>
      </c>
      <c r="N174" s="39" t="n">
        <f aca="false">(Typical_retail_prices_of_petroleum_products_and_a_crude_oil_price_index_monthly[[#This Row],[Month]]&amp;" "&amp;Typical_retail_prices_of_petroleum_products_and_a_crude_oil_price_index_monthly[[#This Row],[Year]])*1</f>
        <v>37469</v>
      </c>
    </row>
    <row r="175" customFormat="false" ht="14.25" hidden="false" customHeight="true" outlineLevel="0" collapsed="false">
      <c r="A175" s="32" t="n">
        <v>2002</v>
      </c>
      <c r="B175" s="33" t="s">
        <v>67</v>
      </c>
      <c r="C175" s="45" t="n">
        <v>77.39</v>
      </c>
      <c r="D175" s="35" t="n">
        <v>80.02</v>
      </c>
      <c r="E175" s="43" t="n">
        <v>74.23</v>
      </c>
      <c r="F175" s="43" t="n">
        <v>75.65</v>
      </c>
      <c r="G175" s="35" t="n">
        <v>16.94</v>
      </c>
      <c r="H175" s="35" t="n">
        <v>17.06</v>
      </c>
      <c r="I175" s="35" t="n">
        <v>34.9748751812495</v>
      </c>
      <c r="J175" s="36" t="n">
        <f aca="false">F175-E175</f>
        <v>1.42</v>
      </c>
      <c r="K175" s="36" t="n">
        <v>61.205342166034</v>
      </c>
      <c r="L175" s="36" t="n">
        <v>95.980197808483</v>
      </c>
      <c r="M175" s="44" t="n">
        <v>165.8</v>
      </c>
      <c r="N175" s="39" t="n">
        <f aca="false">(Typical_retail_prices_of_petroleum_products_and_a_crude_oil_price_index_monthly[[#This Row],[Month]]&amp;" "&amp;Typical_retail_prices_of_petroleum_products_and_a_crude_oil_price_index_monthly[[#This Row],[Year]])*1</f>
        <v>37500</v>
      </c>
    </row>
    <row r="176" customFormat="false" ht="14.25" hidden="false" customHeight="true" outlineLevel="0" collapsed="false">
      <c r="A176" s="32" t="n">
        <v>2002</v>
      </c>
      <c r="B176" s="33" t="s">
        <v>68</v>
      </c>
      <c r="C176" s="45" t="n">
        <v>77.55</v>
      </c>
      <c r="D176" s="35" t="n">
        <v>80.05</v>
      </c>
      <c r="E176" s="43" t="n">
        <v>74.44</v>
      </c>
      <c r="F176" s="43" t="n">
        <v>75.81</v>
      </c>
      <c r="G176" s="35" t="n">
        <v>17.42</v>
      </c>
      <c r="H176" s="35" t="n">
        <v>17.63</v>
      </c>
      <c r="I176" s="35" t="n">
        <v>33.9835296697073</v>
      </c>
      <c r="J176" s="36" t="n">
        <f aca="false">F176-E176</f>
        <v>1.37</v>
      </c>
      <c r="K176" s="36" t="n">
        <v>59.4868012086275</v>
      </c>
      <c r="L176" s="36" t="n">
        <v>93.2852385909298</v>
      </c>
      <c r="M176" s="44" t="n">
        <v>161.1</v>
      </c>
      <c r="N176" s="39" t="n">
        <f aca="false">(Typical_retail_prices_of_petroleum_products_and_a_crude_oil_price_index_monthly[[#This Row],[Month]]&amp;" "&amp;Typical_retail_prices_of_petroleum_products_and_a_crude_oil_price_index_monthly[[#This Row],[Year]])*1</f>
        <v>37530</v>
      </c>
    </row>
    <row r="177" customFormat="false" ht="14.25" hidden="false" customHeight="true" outlineLevel="0" collapsed="false">
      <c r="A177" s="32" t="n">
        <v>2002</v>
      </c>
      <c r="B177" s="33" t="s">
        <v>69</v>
      </c>
      <c r="C177" s="45" t="n">
        <v>77.39</v>
      </c>
      <c r="D177" s="35" t="n">
        <v>79.95</v>
      </c>
      <c r="E177" s="43" t="n">
        <v>74.1</v>
      </c>
      <c r="F177" s="43" t="n">
        <v>75.55</v>
      </c>
      <c r="G177" s="35" t="n">
        <v>15.1</v>
      </c>
      <c r="H177" s="35" t="n">
        <v>15.82</v>
      </c>
      <c r="I177" s="35" t="n">
        <v>29.6952736825583</v>
      </c>
      <c r="J177" s="36" t="n">
        <f aca="false">F177-E177</f>
        <v>1.45</v>
      </c>
      <c r="K177" s="36" t="n">
        <v>51.9740520579701</v>
      </c>
      <c r="L177" s="36" t="n">
        <v>81.5039932935909</v>
      </c>
      <c r="M177" s="44" t="n">
        <v>140.8</v>
      </c>
      <c r="N177" s="39" t="n">
        <f aca="false">(Typical_retail_prices_of_petroleum_products_and_a_crude_oil_price_index_monthly[[#This Row],[Month]]&amp;" "&amp;Typical_retail_prices_of_petroleum_products_and_a_crude_oil_price_index_monthly[[#This Row],[Year]])*1</f>
        <v>37561</v>
      </c>
    </row>
    <row r="178" customFormat="false" ht="14.25" hidden="false" customHeight="true" outlineLevel="0" collapsed="false">
      <c r="A178" s="32" t="n">
        <v>2002</v>
      </c>
      <c r="B178" s="33" t="s">
        <v>70</v>
      </c>
      <c r="C178" s="45" t="n">
        <v>77.34</v>
      </c>
      <c r="D178" s="35" t="n">
        <v>79.85</v>
      </c>
      <c r="E178" s="43" t="n">
        <v>73.66</v>
      </c>
      <c r="F178" s="43" t="n">
        <v>75.15</v>
      </c>
      <c r="G178" s="35" t="n">
        <v>16.21</v>
      </c>
      <c r="H178" s="35" t="n">
        <v>17.21</v>
      </c>
      <c r="I178" s="35" t="n">
        <v>34.5657650178579</v>
      </c>
      <c r="J178" s="36" t="n">
        <f aca="false">F178-E178</f>
        <v>1.49000000000001</v>
      </c>
      <c r="K178" s="36" t="n">
        <v>60.4470941580456</v>
      </c>
      <c r="L178" s="36" t="n">
        <v>94.7911383045398</v>
      </c>
      <c r="M178" s="44" t="n">
        <v>163.7</v>
      </c>
      <c r="N178" s="39" t="n">
        <f aca="false">(Typical_retail_prices_of_petroleum_products_and_a_crude_oil_price_index_monthly[[#This Row],[Month]]&amp;" "&amp;Typical_retail_prices_of_petroleum_products_and_a_crude_oil_price_index_monthly[[#This Row],[Year]])*1</f>
        <v>37591</v>
      </c>
    </row>
    <row r="179" customFormat="false" ht="14.25" hidden="false" customHeight="true" outlineLevel="0" collapsed="false">
      <c r="A179" s="32" t="n">
        <v>2003</v>
      </c>
      <c r="B179" s="33" t="s">
        <v>59</v>
      </c>
      <c r="C179" s="45" t="n">
        <v>78.15</v>
      </c>
      <c r="D179" s="35" t="n">
        <v>80.47</v>
      </c>
      <c r="E179" s="43" t="n">
        <v>74.95</v>
      </c>
      <c r="F179" s="43" t="n">
        <v>76.38</v>
      </c>
      <c r="G179" s="35" t="n">
        <v>17.83</v>
      </c>
      <c r="H179" s="35" t="n">
        <v>18.63</v>
      </c>
      <c r="I179" s="35" t="n">
        <v>38.1519936001185</v>
      </c>
      <c r="J179" s="36" t="n">
        <f aca="false">F179-E179</f>
        <v>1.42999999999999</v>
      </c>
      <c r="K179" s="36" t="n">
        <v>66.8224971502986</v>
      </c>
      <c r="L179" s="36" t="n">
        <v>104.702840257799</v>
      </c>
      <c r="M179" s="44" t="n">
        <v>180.9</v>
      </c>
      <c r="N179" s="39" t="n">
        <f aca="false">(Typical_retail_prices_of_petroleum_products_and_a_crude_oil_price_index_monthly[[#This Row],[Month]]&amp;" "&amp;Typical_retail_prices_of_petroleum_products_and_a_crude_oil_price_index_monthly[[#This Row],[Year]])*1</f>
        <v>37622</v>
      </c>
    </row>
    <row r="180" customFormat="false" ht="14.25" hidden="false" customHeight="true" outlineLevel="0" collapsed="false">
      <c r="A180" s="32" t="n">
        <v>2003</v>
      </c>
      <c r="B180" s="33" t="s">
        <v>60</v>
      </c>
      <c r="C180" s="35" t="n">
        <v>79.31</v>
      </c>
      <c r="D180" s="35" t="n">
        <v>81.31</v>
      </c>
      <c r="E180" s="35" t="n">
        <v>76.66</v>
      </c>
      <c r="F180" s="35" t="n">
        <v>78.01</v>
      </c>
      <c r="G180" s="35" t="n">
        <v>20.24</v>
      </c>
      <c r="H180" s="35" t="n">
        <v>20.5</v>
      </c>
      <c r="I180" s="35" t="n">
        <v>39.6974504486326</v>
      </c>
      <c r="J180" s="36" t="n">
        <f aca="false">F180-E180</f>
        <v>1.35000000000001</v>
      </c>
      <c r="K180" s="36" t="n">
        <v>69.4942820558714</v>
      </c>
      <c r="L180" s="36" t="n">
        <v>108.96431273327</v>
      </c>
      <c r="M180" s="44" t="n">
        <v>188.3</v>
      </c>
      <c r="N180" s="39" t="n">
        <f aca="false">(Typical_retail_prices_of_petroleum_products_and_a_crude_oil_price_index_monthly[[#This Row],[Month]]&amp;" "&amp;Typical_retail_prices_of_petroleum_products_and_a_crude_oil_price_index_monthly[[#This Row],[Year]])*1</f>
        <v>37653</v>
      </c>
    </row>
    <row r="181" customFormat="false" ht="14.25" hidden="false" customHeight="true" outlineLevel="0" collapsed="false">
      <c r="A181" s="32" t="n">
        <v>2003</v>
      </c>
      <c r="B181" s="33" t="s">
        <v>61</v>
      </c>
      <c r="C181" s="45" t="n">
        <v>81.36</v>
      </c>
      <c r="D181" s="35" t="n">
        <v>82.92</v>
      </c>
      <c r="E181" s="43" t="n">
        <v>78.55</v>
      </c>
      <c r="F181" s="43" t="n">
        <v>81.1</v>
      </c>
      <c r="G181" s="35" t="n">
        <v>22.49</v>
      </c>
      <c r="H181" s="35" t="n">
        <v>22.87</v>
      </c>
      <c r="I181" s="35" t="n">
        <v>38.0750527181875</v>
      </c>
      <c r="J181" s="36" t="n">
        <f aca="false">F181-E181</f>
        <v>2.55</v>
      </c>
      <c r="K181" s="36" t="n">
        <v>66.5772314104292</v>
      </c>
      <c r="L181" s="36" t="n">
        <v>104.106730664303</v>
      </c>
      <c r="M181" s="44" t="n">
        <v>180.6</v>
      </c>
      <c r="N181" s="39" t="n">
        <f aca="false">(Typical_retail_prices_of_petroleum_products_and_a_crude_oil_price_index_monthly[[#This Row],[Month]]&amp;" "&amp;Typical_retail_prices_of_petroleum_products_and_a_crude_oil_price_index_monthly[[#This Row],[Year]])*1</f>
        <v>37681</v>
      </c>
    </row>
    <row r="182" customFormat="false" ht="14.25" hidden="false" customHeight="true" outlineLevel="0" collapsed="false">
      <c r="A182" s="32" t="n">
        <v>2003</v>
      </c>
      <c r="B182" s="33" t="s">
        <v>62</v>
      </c>
      <c r="C182" s="41" t="n">
        <v>81.42</v>
      </c>
      <c r="D182" s="35" t="n">
        <v>83.1</v>
      </c>
      <c r="E182" s="35" t="n">
        <v>78.2</v>
      </c>
      <c r="F182" s="35" t="n">
        <v>80.85</v>
      </c>
      <c r="G182" s="35" t="n">
        <v>16.17</v>
      </c>
      <c r="H182" s="35" t="n">
        <v>17.5</v>
      </c>
      <c r="I182" s="35" t="n">
        <v>31.2407270643141</v>
      </c>
      <c r="J182" s="36" t="n">
        <f aca="false">F182-E182</f>
        <v>2.64999999999999</v>
      </c>
      <c r="K182" s="36" t="n">
        <v>54.6012959932539</v>
      </c>
      <c r="L182" s="36" t="n">
        <v>85.7698154681164</v>
      </c>
      <c r="M182" s="44" t="n">
        <v>148.2</v>
      </c>
      <c r="N182" s="39" t="n">
        <f aca="false">(Typical_retail_prices_of_petroleum_products_and_a_crude_oil_price_index_monthly[[#This Row],[Month]]&amp;" "&amp;Typical_retail_prices_of_petroleum_products_and_a_crude_oil_price_index_monthly[[#This Row],[Year]])*1</f>
        <v>37712</v>
      </c>
    </row>
    <row r="183" customFormat="false" ht="14.25" hidden="false" customHeight="true" outlineLevel="0" collapsed="false">
      <c r="A183" s="32" t="n">
        <v>2003</v>
      </c>
      <c r="B183" s="33" t="s">
        <v>63</v>
      </c>
      <c r="C183" s="41" t="n">
        <v>80.04</v>
      </c>
      <c r="D183" s="35" t="n">
        <v>81.21</v>
      </c>
      <c r="E183" s="35" t="n">
        <v>75.84</v>
      </c>
      <c r="F183" s="35" t="n">
        <v>78.2</v>
      </c>
      <c r="G183" s="35" t="n">
        <v>15.71</v>
      </c>
      <c r="H183" s="35" t="n">
        <v>16.88</v>
      </c>
      <c r="I183" s="35" t="n">
        <v>30.189137645615</v>
      </c>
      <c r="J183" s="36" t="n">
        <f aca="false">F183-E183</f>
        <v>2.36</v>
      </c>
      <c r="K183" s="36" t="n">
        <v>52.804207119209</v>
      </c>
      <c r="L183" s="36" t="n">
        <v>82.9269607518131</v>
      </c>
      <c r="M183" s="44" t="n">
        <v>143.2</v>
      </c>
      <c r="N183" s="39" t="n">
        <f aca="false">(Typical_retail_prices_of_petroleum_products_and_a_crude_oil_price_index_monthly[[#This Row],[Month]]&amp;" "&amp;Typical_retail_prices_of_petroleum_products_and_a_crude_oil_price_index_monthly[[#This Row],[Year]])*1</f>
        <v>37742</v>
      </c>
    </row>
    <row r="184" customFormat="false" ht="14.25" hidden="false" customHeight="true" outlineLevel="0" collapsed="false">
      <c r="A184" s="32" t="n">
        <v>2003</v>
      </c>
      <c r="B184" s="33" t="s">
        <v>64</v>
      </c>
      <c r="C184" s="41" t="n">
        <v>79.36</v>
      </c>
      <c r="D184" s="35" t="n">
        <v>80.39</v>
      </c>
      <c r="E184" s="35" t="n">
        <v>74.39</v>
      </c>
      <c r="F184" s="35" t="n">
        <v>76.66</v>
      </c>
      <c r="G184" s="35" t="n">
        <v>15.16</v>
      </c>
      <c r="H184" s="35" t="n">
        <v>16.77</v>
      </c>
      <c r="I184" s="35" t="n">
        <v>32.0582608719165</v>
      </c>
      <c r="J184" s="36" t="n">
        <f aca="false">F184-E184</f>
        <v>2.27</v>
      </c>
      <c r="K184" s="36" t="n">
        <v>56.1050849296409</v>
      </c>
      <c r="L184" s="36" t="n">
        <v>88.0329439606831</v>
      </c>
      <c r="M184" s="44" t="n">
        <v>152</v>
      </c>
      <c r="N184" s="39" t="n">
        <f aca="false">(Typical_retail_prices_of_petroleum_products_and_a_crude_oil_price_index_monthly[[#This Row],[Month]]&amp;" "&amp;Typical_retail_prices_of_petroleum_products_and_a_crude_oil_price_index_monthly[[#This Row],[Year]])*1</f>
        <v>37773</v>
      </c>
    </row>
    <row r="185" customFormat="false" ht="14.25" hidden="false" customHeight="true" outlineLevel="0" collapsed="false">
      <c r="A185" s="32" t="n">
        <v>2003</v>
      </c>
      <c r="B185" s="33" t="s">
        <v>65</v>
      </c>
      <c r="C185" s="41" t="n">
        <v>79.59</v>
      </c>
      <c r="D185" s="35" t="n">
        <v>80.51</v>
      </c>
      <c r="E185" s="35" t="n">
        <v>74.47</v>
      </c>
      <c r="F185" s="35" t="n">
        <v>76.57</v>
      </c>
      <c r="G185" s="35" t="n">
        <v>16.3</v>
      </c>
      <c r="H185" s="35" t="n">
        <v>17.57</v>
      </c>
      <c r="I185" s="35" t="n">
        <v>33.7013872735834</v>
      </c>
      <c r="J185" s="36" t="n">
        <f aca="false">F185-E185</f>
        <v>2.09999999999999</v>
      </c>
      <c r="K185" s="36" t="n">
        <v>58.9844728218438</v>
      </c>
      <c r="L185" s="36" t="n">
        <v>92.5516887152127</v>
      </c>
      <c r="M185" s="44" t="n">
        <v>159.5</v>
      </c>
      <c r="N185" s="39" t="n">
        <f aca="false">(Typical_retail_prices_of_petroleum_products_and_a_crude_oil_price_index_monthly[[#This Row],[Month]]&amp;" "&amp;Typical_retail_prices_of_petroleum_products_and_a_crude_oil_price_index_monthly[[#This Row],[Year]])*1</f>
        <v>37803</v>
      </c>
    </row>
    <row r="186" customFormat="false" ht="14.25" hidden="false" customHeight="true" outlineLevel="0" collapsed="false">
      <c r="A186" s="32" t="n">
        <v>2003</v>
      </c>
      <c r="B186" s="33" t="s">
        <v>66</v>
      </c>
      <c r="C186" s="41" t="n">
        <v>79.77</v>
      </c>
      <c r="D186" s="35" t="n">
        <v>81.26</v>
      </c>
      <c r="E186" s="35" t="n">
        <v>75.73</v>
      </c>
      <c r="F186" s="35" t="n">
        <v>77.32</v>
      </c>
      <c r="G186" s="35" t="n">
        <v>17.32</v>
      </c>
      <c r="H186" s="35" t="n">
        <v>18.51</v>
      </c>
      <c r="I186" s="35" t="n">
        <v>35.7579141259771</v>
      </c>
      <c r="J186" s="36" t="n">
        <f aca="false">F186-E186</f>
        <v>1.58999999999999</v>
      </c>
      <c r="K186" s="36" t="n">
        <v>62.5768321081379</v>
      </c>
      <c r="L186" s="36" t="n">
        <v>98.1480800434774</v>
      </c>
      <c r="M186" s="44" t="n">
        <v>170.3</v>
      </c>
      <c r="N186" s="39" t="n">
        <f aca="false">(Typical_retail_prices_of_petroleum_products_and_a_crude_oil_price_index_monthly[[#This Row],[Month]]&amp;" "&amp;Typical_retail_prices_of_petroleum_products_and_a_crude_oil_price_index_monthly[[#This Row],[Year]])*1</f>
        <v>37834</v>
      </c>
    </row>
    <row r="187" customFormat="false" ht="14.25" hidden="false" customHeight="true" outlineLevel="0" collapsed="false">
      <c r="A187" s="32" t="n">
        <v>2003</v>
      </c>
      <c r="B187" s="33" t="s">
        <v>67</v>
      </c>
      <c r="C187" s="41" t="n">
        <v>79.81</v>
      </c>
      <c r="D187" s="35" t="n">
        <v>81.17</v>
      </c>
      <c r="E187" s="35" t="n">
        <v>76.1</v>
      </c>
      <c r="F187" s="35" t="n">
        <v>77.55</v>
      </c>
      <c r="G187" s="35" t="n">
        <v>16.81</v>
      </c>
      <c r="H187" s="35" t="n">
        <v>17.94</v>
      </c>
      <c r="I187" s="35" t="n">
        <v>32.1589243346663</v>
      </c>
      <c r="J187" s="36" t="n">
        <f aca="false">F187-E187</f>
        <v>1.45</v>
      </c>
      <c r="K187" s="36" t="n">
        <v>56.2804873803976</v>
      </c>
      <c r="L187" s="36" t="n">
        <v>88.0721895698071</v>
      </c>
      <c r="M187" s="41" t="s">
        <v>71</v>
      </c>
      <c r="N187" s="39" t="n">
        <f aca="false">(Typical_retail_prices_of_petroleum_products_and_a_crude_oil_price_index_monthly[[#This Row],[Month]]&amp;" "&amp;Typical_retail_prices_of_petroleum_products_and_a_crude_oil_price_index_monthly[[#This Row],[Year]])*1</f>
        <v>37865</v>
      </c>
    </row>
    <row r="188" customFormat="false" ht="14.25" hidden="false" customHeight="true" outlineLevel="0" collapsed="false">
      <c r="A188" s="32" t="n">
        <v>2003</v>
      </c>
      <c r="B188" s="33" t="s">
        <v>68</v>
      </c>
      <c r="C188" s="41" t="n">
        <v>80.05</v>
      </c>
      <c r="D188" s="35" t="n">
        <v>81.31</v>
      </c>
      <c r="E188" s="35" t="n">
        <v>75.84</v>
      </c>
      <c r="F188" s="35" t="n">
        <v>77.38</v>
      </c>
      <c r="G188" s="35" t="n">
        <v>17.07</v>
      </c>
      <c r="H188" s="35" t="n">
        <v>18.6</v>
      </c>
      <c r="I188" s="35" t="n">
        <v>33.9766885643621</v>
      </c>
      <c r="J188" s="36" t="n">
        <f aca="false">F188-E188</f>
        <v>1.53999999999999</v>
      </c>
      <c r="K188" s="36" t="n">
        <v>59.4656506709432</v>
      </c>
      <c r="L188" s="36" t="n">
        <v>93.3453515844207</v>
      </c>
      <c r="M188" s="34"/>
      <c r="N188" s="39" t="n">
        <f aca="false">(Typical_retail_prices_of_petroleum_products_and_a_crude_oil_price_index_monthly[[#This Row],[Month]]&amp;" "&amp;Typical_retail_prices_of_petroleum_products_and_a_crude_oil_price_index_monthly[[#This Row],[Year]])*1</f>
        <v>37895</v>
      </c>
    </row>
    <row r="189" customFormat="false" ht="14.25" hidden="false" customHeight="true" outlineLevel="0" collapsed="false">
      <c r="A189" s="32" t="n">
        <v>2003</v>
      </c>
      <c r="B189" s="33" t="s">
        <v>69</v>
      </c>
      <c r="C189" s="41" t="n">
        <v>80.19</v>
      </c>
      <c r="D189" s="35" t="n">
        <v>81.4</v>
      </c>
      <c r="E189" s="35" t="n">
        <v>75.86</v>
      </c>
      <c r="F189" s="35" t="n">
        <v>77.45</v>
      </c>
      <c r="G189" s="35" t="n">
        <v>17.55</v>
      </c>
      <c r="H189" s="35" t="n">
        <v>18.74</v>
      </c>
      <c r="I189" s="35" t="n">
        <v>33.0207701722997</v>
      </c>
      <c r="J189" s="36" t="n">
        <f aca="false">F189-E189</f>
        <v>1.59</v>
      </c>
      <c r="K189" s="36" t="n">
        <v>57.8083221606182</v>
      </c>
      <c r="L189" s="36" t="n">
        <v>90.6332547651347</v>
      </c>
      <c r="M189" s="34"/>
      <c r="N189" s="39" t="n">
        <f aca="false">(Typical_retail_prices_of_petroleum_products_and_a_crude_oil_price_index_monthly[[#This Row],[Month]]&amp;" "&amp;Typical_retail_prices_of_petroleum_products_and_a_crude_oil_price_index_monthly[[#This Row],[Year]])*1</f>
        <v>37926</v>
      </c>
    </row>
    <row r="190" customFormat="false" ht="14.25" hidden="false" customHeight="true" outlineLevel="0" collapsed="false">
      <c r="A190" s="32" t="n">
        <v>2003</v>
      </c>
      <c r="B190" s="33" t="s">
        <v>70</v>
      </c>
      <c r="C190" s="41" t="n">
        <v>80.25</v>
      </c>
      <c r="D190" s="35" t="n">
        <v>81.32</v>
      </c>
      <c r="E190" s="35" t="n">
        <v>75.88</v>
      </c>
      <c r="F190" s="35" t="n">
        <v>77.56</v>
      </c>
      <c r="G190" s="35" t="n">
        <v>18.2</v>
      </c>
      <c r="H190" s="35" t="n">
        <v>18.47</v>
      </c>
      <c r="I190" s="35" t="n">
        <v>33.1045071632341</v>
      </c>
      <c r="J190" s="36" t="n">
        <f aca="false">F190-E190</f>
        <v>1.68000000000001</v>
      </c>
      <c r="K190" s="36" t="n">
        <v>57.9401851283645</v>
      </c>
      <c r="L190" s="36" t="n">
        <v>90.9092912555964</v>
      </c>
      <c r="M190" s="34"/>
      <c r="N190" s="39" t="n">
        <f aca="false">(Typical_retail_prices_of_petroleum_products_and_a_crude_oil_price_index_monthly[[#This Row],[Month]]&amp;" "&amp;Typical_retail_prices_of_petroleum_products_and_a_crude_oil_price_index_monthly[[#This Row],[Year]])*1</f>
        <v>37956</v>
      </c>
    </row>
    <row r="191" customFormat="false" ht="14.25" hidden="false" customHeight="true" outlineLevel="0" collapsed="false">
      <c r="A191" s="32" t="n">
        <v>2004</v>
      </c>
      <c r="B191" s="33" t="s">
        <v>59</v>
      </c>
      <c r="C191" s="34" t="n">
        <v>80.04</v>
      </c>
      <c r="D191" s="35" t="n">
        <v>81.49</v>
      </c>
      <c r="E191" s="35" t="n">
        <v>76.2</v>
      </c>
      <c r="F191" s="35" t="n">
        <v>77.92</v>
      </c>
      <c r="G191" s="35" t="n">
        <v>18.33</v>
      </c>
      <c r="H191" s="35" t="n">
        <v>18.95</v>
      </c>
      <c r="I191" s="35" t="n">
        <v>32.1687367647017</v>
      </c>
      <c r="J191" s="36" t="n">
        <f aca="false">F191-E191</f>
        <v>1.72</v>
      </c>
      <c r="K191" s="36" t="n">
        <v>56.3912944930453</v>
      </c>
      <c r="L191" s="36" t="n">
        <v>88.3</v>
      </c>
      <c r="M191" s="34"/>
      <c r="N191" s="39" t="n">
        <f aca="false">(Typical_retail_prices_of_petroleum_products_and_a_crude_oil_price_index_monthly[[#This Row],[Month]]&amp;" "&amp;Typical_retail_prices_of_petroleum_products_and_a_crude_oil_price_index_monthly[[#This Row],[Year]])*1</f>
        <v>37987</v>
      </c>
    </row>
    <row r="192" customFormat="false" ht="14.25" hidden="false" customHeight="true" outlineLevel="0" collapsed="false">
      <c r="A192" s="32" t="n">
        <v>2004</v>
      </c>
      <c r="B192" s="33" t="s">
        <v>60</v>
      </c>
      <c r="C192" s="34" t="n">
        <v>79.89</v>
      </c>
      <c r="D192" s="35" t="n">
        <v>81.42</v>
      </c>
      <c r="E192" s="35" t="n">
        <v>76.36</v>
      </c>
      <c r="F192" s="35" t="n">
        <v>77.93</v>
      </c>
      <c r="G192" s="35" t="n">
        <v>17.73</v>
      </c>
      <c r="H192" s="35" t="n">
        <v>17.58</v>
      </c>
      <c r="I192" s="35" t="n">
        <v>31.8248307406608</v>
      </c>
      <c r="J192" s="36" t="n">
        <f aca="false">F192-E192</f>
        <v>1.57000000000001</v>
      </c>
      <c r="K192" s="36" t="n">
        <v>55.6997196663744</v>
      </c>
      <c r="L192" s="36" t="n">
        <v>87.4</v>
      </c>
      <c r="M192" s="34"/>
      <c r="N192" s="39" t="n">
        <f aca="false">(Typical_retail_prices_of_petroleum_products_and_a_crude_oil_price_index_monthly[[#This Row],[Month]]&amp;" "&amp;Typical_retail_prices_of_petroleum_products_and_a_crude_oil_price_index_monthly[[#This Row],[Year]])*1</f>
        <v>38018</v>
      </c>
    </row>
    <row r="193" customFormat="false" ht="14.25" hidden="false" customHeight="true" outlineLevel="0" collapsed="false">
      <c r="A193" s="32" t="n">
        <v>2004</v>
      </c>
      <c r="B193" s="33" t="s">
        <v>61</v>
      </c>
      <c r="C193" s="34" t="n">
        <v>80.96</v>
      </c>
      <c r="D193" s="35" t="n">
        <v>82.36</v>
      </c>
      <c r="E193" s="35" t="n">
        <v>77.15</v>
      </c>
      <c r="F193" s="35" t="n">
        <v>78.6</v>
      </c>
      <c r="G193" s="35" t="n">
        <v>17.97</v>
      </c>
      <c r="H193" s="35" t="n">
        <v>18.71</v>
      </c>
      <c r="I193" s="35" t="n">
        <v>35.2836046403812</v>
      </c>
      <c r="J193" s="36" t="n">
        <f aca="false">F193-E193</f>
        <v>1.44999999999999</v>
      </c>
      <c r="K193" s="36" t="n">
        <v>61.7408411183088</v>
      </c>
      <c r="L193" s="36" t="n">
        <v>96.9</v>
      </c>
      <c r="M193" s="34"/>
      <c r="N193" s="39" t="n">
        <f aca="false">(Typical_retail_prices_of_petroleum_products_and_a_crude_oil_price_index_monthly[[#This Row],[Month]]&amp;" "&amp;Typical_retail_prices_of_petroleum_products_and_a_crude_oil_price_index_monthly[[#This Row],[Year]])*1</f>
        <v>38047</v>
      </c>
    </row>
    <row r="194" customFormat="false" ht="14.25" hidden="false" customHeight="true" outlineLevel="0" collapsed="false">
      <c r="A194" s="32" t="n">
        <v>2004</v>
      </c>
      <c r="B194" s="33" t="s">
        <v>62</v>
      </c>
      <c r="C194" s="34" t="n">
        <v>81.25</v>
      </c>
      <c r="D194" s="35" t="n">
        <v>82.53</v>
      </c>
      <c r="E194" s="35" t="n">
        <v>77.81</v>
      </c>
      <c r="F194" s="35" t="n">
        <v>79.21</v>
      </c>
      <c r="G194" s="35" t="n">
        <v>18.31</v>
      </c>
      <c r="H194" s="35" t="n">
        <v>19.5</v>
      </c>
      <c r="I194" s="35" t="n">
        <v>35.2292651828224</v>
      </c>
      <c r="J194" s="36" t="n">
        <f aca="false">F194-E194</f>
        <v>1.39999999999999</v>
      </c>
      <c r="K194" s="36" t="n">
        <v>61.600769333749</v>
      </c>
      <c r="L194" s="36" t="n">
        <v>96.7</v>
      </c>
      <c r="M194" s="34"/>
      <c r="N194" s="39" t="n">
        <f aca="false">(Typical_retail_prices_of_petroleum_products_and_a_crude_oil_price_index_monthly[[#This Row],[Month]]&amp;" "&amp;Typical_retail_prices_of_petroleum_products_and_a_crude_oil_price_index_monthly[[#This Row],[Year]])*1</f>
        <v>38078</v>
      </c>
    </row>
    <row r="195" customFormat="false" ht="14.25" hidden="false" customHeight="true" outlineLevel="0" collapsed="false">
      <c r="A195" s="32" t="n">
        <v>2004</v>
      </c>
      <c r="B195" s="33" t="s">
        <v>63</v>
      </c>
      <c r="C195" s="34" t="n">
        <v>84.32</v>
      </c>
      <c r="D195" s="35" t="n">
        <v>86.24</v>
      </c>
      <c r="E195" s="35" t="n">
        <v>81.02</v>
      </c>
      <c r="F195" s="35" t="n">
        <v>82.32</v>
      </c>
      <c r="G195" s="35" t="n">
        <v>21.12</v>
      </c>
      <c r="H195" s="35" t="n">
        <v>20.89</v>
      </c>
      <c r="I195" s="35" t="n">
        <v>40.2531769017287</v>
      </c>
      <c r="J195" s="36" t="n">
        <f aca="false">F195-E195</f>
        <v>1.3</v>
      </c>
      <c r="K195" s="36" t="n">
        <v>70.4424903103265</v>
      </c>
      <c r="L195" s="36" t="n">
        <v>110.5</v>
      </c>
      <c r="M195" s="34"/>
      <c r="N195" s="39" t="n">
        <f aca="false">(Typical_retail_prices_of_petroleum_products_and_a_crude_oil_price_index_monthly[[#This Row],[Month]]&amp;" "&amp;Typical_retail_prices_of_petroleum_products_and_a_crude_oil_price_index_monthly[[#This Row],[Year]])*1</f>
        <v>38108</v>
      </c>
    </row>
    <row r="196" customFormat="false" ht="14.25" hidden="false" customHeight="true" outlineLevel="0" collapsed="false">
      <c r="A196" s="32" t="n">
        <v>2004</v>
      </c>
      <c r="B196" s="33" t="s">
        <v>64</v>
      </c>
      <c r="C196" s="34" t="n">
        <v>85.01</v>
      </c>
      <c r="D196" s="35" t="n">
        <v>87.06</v>
      </c>
      <c r="E196" s="35" t="n">
        <v>81.7</v>
      </c>
      <c r="F196" s="35" t="n">
        <v>82.86</v>
      </c>
      <c r="G196" s="35" t="n">
        <v>19.77</v>
      </c>
      <c r="H196" s="35" t="n">
        <v>20.56</v>
      </c>
      <c r="I196" s="35" t="n">
        <v>37.0433864609349</v>
      </c>
      <c r="J196" s="36" t="n">
        <f aca="false">F196-E196</f>
        <v>1.16</v>
      </c>
      <c r="K196" s="36" t="n">
        <v>64.9056672803482</v>
      </c>
      <c r="L196" s="36" t="n">
        <v>101.7</v>
      </c>
      <c r="M196" s="34"/>
      <c r="N196" s="39" t="n">
        <f aca="false">(Typical_retail_prices_of_petroleum_products_and_a_crude_oil_price_index_monthly[[#This Row],[Month]]&amp;" "&amp;Typical_retail_prices_of_petroleum_products_and_a_crude_oil_price_index_monthly[[#This Row],[Year]])*1</f>
        <v>38139</v>
      </c>
    </row>
    <row r="197" customFormat="false" ht="14.25" hidden="false" customHeight="true" outlineLevel="0" collapsed="false">
      <c r="A197" s="32" t="n">
        <v>2004</v>
      </c>
      <c r="B197" s="33" t="s">
        <v>65</v>
      </c>
      <c r="C197" s="34" t="n">
        <v>84.77</v>
      </c>
      <c r="D197" s="35" t="n">
        <v>86.23</v>
      </c>
      <c r="E197" s="35" t="n">
        <v>80.35</v>
      </c>
      <c r="F197" s="35" t="n">
        <v>81.17</v>
      </c>
      <c r="G197" s="35" t="n">
        <v>20.69</v>
      </c>
      <c r="H197" s="35" t="n">
        <v>21.42</v>
      </c>
      <c r="I197" s="35" t="n">
        <v>38.9229310021561</v>
      </c>
      <c r="J197" s="36" t="n">
        <f aca="false">F197-E197</f>
        <v>0.820000000000007</v>
      </c>
      <c r="K197" s="36" t="n">
        <v>68.2528135976795</v>
      </c>
      <c r="L197" s="36" t="n">
        <v>106.9</v>
      </c>
      <c r="M197" s="34"/>
      <c r="N197" s="39" t="n">
        <f aca="false">(Typical_retail_prices_of_petroleum_products_and_a_crude_oil_price_index_monthly[[#This Row],[Month]]&amp;" "&amp;Typical_retail_prices_of_petroleum_products_and_a_crude_oil_price_index_monthly[[#This Row],[Year]])*1</f>
        <v>38169</v>
      </c>
    </row>
    <row r="198" customFormat="false" ht="14.25" hidden="false" customHeight="true" outlineLevel="0" collapsed="false">
      <c r="A198" s="32" t="n">
        <v>2004</v>
      </c>
      <c r="B198" s="33" t="s">
        <v>66</v>
      </c>
      <c r="C198" s="34" t="n">
        <v>85.29</v>
      </c>
      <c r="D198" s="35" t="n">
        <v>86.64</v>
      </c>
      <c r="E198" s="35" t="n">
        <v>81.14</v>
      </c>
      <c r="F198" s="35" t="n">
        <v>82.28</v>
      </c>
      <c r="G198" s="35" t="n">
        <v>22.84</v>
      </c>
      <c r="H198" s="35" t="n">
        <v>23.58</v>
      </c>
      <c r="I198" s="35" t="n">
        <v>45.4873833235439</v>
      </c>
      <c r="J198" s="36" t="n">
        <f aca="false">F198-E198</f>
        <v>1.14</v>
      </c>
      <c r="K198" s="36" t="n">
        <v>79.614643741235</v>
      </c>
      <c r="L198" s="36" t="n">
        <v>124.9</v>
      </c>
      <c r="M198" s="34"/>
      <c r="N198" s="39" t="n">
        <f aca="false">(Typical_retail_prices_of_petroleum_products_and_a_crude_oil_price_index_monthly[[#This Row],[Month]]&amp;" "&amp;Typical_retail_prices_of_petroleum_products_and_a_crude_oil_price_index_monthly[[#This Row],[Year]])*1</f>
        <v>38200</v>
      </c>
    </row>
    <row r="199" customFormat="false" ht="14.25" hidden="false" customHeight="true" outlineLevel="0" collapsed="false">
      <c r="A199" s="32" t="n">
        <v>2004</v>
      </c>
      <c r="B199" s="33" t="s">
        <v>67</v>
      </c>
      <c r="C199" s="34" t="n">
        <v>86.15</v>
      </c>
      <c r="D199" s="35" t="n">
        <v>86.74</v>
      </c>
      <c r="E199" s="35" t="n">
        <v>81.25</v>
      </c>
      <c r="F199" s="35" t="n">
        <v>82.94</v>
      </c>
      <c r="G199" s="35" t="n">
        <v>23.58</v>
      </c>
      <c r="H199" s="35" t="n">
        <v>23.96</v>
      </c>
      <c r="I199" s="35" t="n">
        <v>46.3171458145563</v>
      </c>
      <c r="J199" s="36" t="n">
        <f aca="false">F199-E199</f>
        <v>1.69</v>
      </c>
      <c r="K199" s="36" t="n">
        <v>81.0785293971319</v>
      </c>
      <c r="L199" s="36" t="n">
        <v>127.2</v>
      </c>
      <c r="M199" s="34"/>
      <c r="N199" s="39" t="n">
        <f aca="false">(Typical_retail_prices_of_petroleum_products_and_a_crude_oil_price_index_monthly[[#This Row],[Month]]&amp;" "&amp;Typical_retail_prices_of_petroleum_products_and_a_crude_oil_price_index_monthly[[#This Row],[Year]])*1</f>
        <v>38231</v>
      </c>
    </row>
    <row r="200" customFormat="false" ht="14.25" hidden="false" customHeight="true" outlineLevel="0" collapsed="false">
      <c r="A200" s="32" t="n">
        <v>2004</v>
      </c>
      <c r="B200" s="33" t="s">
        <v>68</v>
      </c>
      <c r="C200" s="34" t="n">
        <v>87.7</v>
      </c>
      <c r="D200" s="35" t="n">
        <v>89.12</v>
      </c>
      <c r="E200" s="35" t="n">
        <v>83.13</v>
      </c>
      <c r="F200" s="35" t="n">
        <v>85.37</v>
      </c>
      <c r="G200" s="35" t="n">
        <v>27.1</v>
      </c>
      <c r="H200" s="35" t="n">
        <v>28.27</v>
      </c>
      <c r="I200" s="35" t="n">
        <v>51.5221957327459</v>
      </c>
      <c r="J200" s="36" t="n">
        <f aca="false">F200-E200</f>
        <v>2.24000000000001</v>
      </c>
      <c r="K200" s="36" t="n">
        <v>90.2093571827357</v>
      </c>
      <c r="L200" s="36" t="n">
        <v>141.5</v>
      </c>
      <c r="M200" s="34"/>
      <c r="N200" s="39" t="n">
        <f aca="false">(Typical_retail_prices_of_petroleum_products_and_a_crude_oil_price_index_monthly[[#This Row],[Month]]&amp;" "&amp;Typical_retail_prices_of_petroleum_products_and_a_crude_oil_price_index_monthly[[#This Row],[Year]])*1</f>
        <v>38261</v>
      </c>
    </row>
    <row r="201" customFormat="false" ht="14.25" hidden="false" customHeight="true" outlineLevel="0" collapsed="false">
      <c r="A201" s="32" t="n">
        <v>2004</v>
      </c>
      <c r="B201" s="33" t="s">
        <v>69</v>
      </c>
      <c r="C201" s="34" t="n">
        <v>89.06</v>
      </c>
      <c r="D201" s="35" t="n">
        <v>89.76</v>
      </c>
      <c r="E201" s="35" t="n">
        <v>84.17</v>
      </c>
      <c r="F201" s="35" t="n">
        <v>86.42</v>
      </c>
      <c r="G201" s="35" t="n">
        <v>25.37</v>
      </c>
      <c r="H201" s="35" t="n">
        <v>26.1</v>
      </c>
      <c r="I201" s="35" t="n">
        <v>43.9575964687643</v>
      </c>
      <c r="J201" s="36" t="n">
        <f aca="false">F201-E201</f>
        <v>2.25</v>
      </c>
      <c r="K201" s="36" t="n">
        <v>77.0851406361203</v>
      </c>
      <c r="L201" s="36" t="n">
        <v>120.7</v>
      </c>
      <c r="M201" s="34"/>
      <c r="N201" s="39" t="n">
        <f aca="false">(Typical_retail_prices_of_petroleum_products_and_a_crude_oil_price_index_monthly[[#This Row],[Month]]&amp;" "&amp;Typical_retail_prices_of_petroleum_products_and_a_crude_oil_price_index_monthly[[#This Row],[Year]])*1</f>
        <v>38292</v>
      </c>
    </row>
    <row r="202" customFormat="false" ht="14.25" hidden="false" customHeight="true" outlineLevel="0" collapsed="false">
      <c r="A202" s="32" t="n">
        <v>2004</v>
      </c>
      <c r="B202" s="33" t="s">
        <v>70</v>
      </c>
      <c r="C202" s="34" t="n">
        <v>88.58</v>
      </c>
      <c r="D202" s="35" t="n">
        <v>89.41</v>
      </c>
      <c r="E202" s="35" t="n">
        <v>82.41</v>
      </c>
      <c r="F202" s="35" t="n">
        <v>85.93</v>
      </c>
      <c r="G202" s="35" t="n">
        <v>22.36</v>
      </c>
      <c r="H202" s="35" t="n">
        <v>24</v>
      </c>
      <c r="I202" s="35" t="n">
        <v>38.7723519473488</v>
      </c>
      <c r="J202" s="36" t="n">
        <f aca="false">F202-E202</f>
        <v>3.52000000000001</v>
      </c>
      <c r="K202" s="36" t="n">
        <v>67.8439650823494</v>
      </c>
      <c r="L202" s="36" t="n">
        <v>106.5</v>
      </c>
      <c r="M202" s="34"/>
      <c r="N202" s="39" t="n">
        <f aca="false">(Typical_retail_prices_of_petroleum_products_and_a_crude_oil_price_index_monthly[[#This Row],[Month]]&amp;" "&amp;Typical_retail_prices_of_petroleum_products_and_a_crude_oil_price_index_monthly[[#This Row],[Year]])*1</f>
        <v>38322</v>
      </c>
    </row>
    <row r="203" customFormat="false" ht="14.25" hidden="false" customHeight="true" outlineLevel="0" collapsed="false">
      <c r="A203" s="32" t="n">
        <v>2005</v>
      </c>
      <c r="B203" s="33" t="s">
        <v>59</v>
      </c>
      <c r="C203" s="34" t="n">
        <v>87.16</v>
      </c>
      <c r="D203" s="35" t="n">
        <v>87.43</v>
      </c>
      <c r="E203" s="35" t="n">
        <v>78.99</v>
      </c>
      <c r="F203" s="35" t="n">
        <v>84.15</v>
      </c>
      <c r="G203" s="35" t="n">
        <v>22.16</v>
      </c>
      <c r="H203" s="35" t="n">
        <v>23.99</v>
      </c>
      <c r="I203" s="35" t="n">
        <v>44.3616319033007</v>
      </c>
      <c r="J203" s="36" t="n">
        <f aca="false">F203-E203</f>
        <v>5.16000000000001</v>
      </c>
      <c r="K203" s="36" t="n">
        <v>77.6377456295108</v>
      </c>
      <c r="L203" s="36" t="n">
        <v>121.8</v>
      </c>
      <c r="M203" s="34"/>
      <c r="N203" s="39" t="n">
        <f aca="false">(Typical_retail_prices_of_petroleum_products_and_a_crude_oil_price_index_monthly[[#This Row],[Month]]&amp;" "&amp;Typical_retail_prices_of_petroleum_products_and_a_crude_oil_price_index_monthly[[#This Row],[Year]])*1</f>
        <v>38353</v>
      </c>
    </row>
    <row r="204" customFormat="false" ht="14.25" hidden="false" customHeight="true" outlineLevel="0" collapsed="false">
      <c r="A204" s="32" t="n">
        <v>2005</v>
      </c>
      <c r="B204" s="33" t="s">
        <v>60</v>
      </c>
      <c r="C204" s="34" t="n">
        <v>87.19</v>
      </c>
      <c r="D204" s="35" t="n">
        <v>87.44</v>
      </c>
      <c r="E204" s="35" t="n">
        <v>79.96</v>
      </c>
      <c r="F204" s="35" t="n">
        <v>84.33</v>
      </c>
      <c r="G204" s="35" t="n">
        <v>22.79</v>
      </c>
      <c r="H204" s="35" t="n">
        <v>24.38</v>
      </c>
      <c r="I204" s="35" t="n">
        <v>45.8853701623859</v>
      </c>
      <c r="J204" s="36" t="n">
        <f aca="false">F204-E204</f>
        <v>4.37</v>
      </c>
      <c r="K204" s="36" t="n">
        <v>80.3662945706488</v>
      </c>
      <c r="L204" s="36" t="n">
        <v>126</v>
      </c>
      <c r="M204" s="34"/>
      <c r="N204" s="39" t="n">
        <f aca="false">(Typical_retail_prices_of_petroleum_products_and_a_crude_oil_price_index_monthly[[#This Row],[Month]]&amp;" "&amp;Typical_retail_prices_of_petroleum_products_and_a_crude_oil_price_index_monthly[[#This Row],[Year]])*1</f>
        <v>38384</v>
      </c>
    </row>
    <row r="205" customFormat="false" ht="14.25" hidden="false" customHeight="true" outlineLevel="0" collapsed="false">
      <c r="A205" s="32" t="n">
        <v>2005</v>
      </c>
      <c r="B205" s="33" t="s">
        <v>61</v>
      </c>
      <c r="C205" s="34" t="n">
        <v>88.31</v>
      </c>
      <c r="D205" s="35" t="n">
        <v>87.98</v>
      </c>
      <c r="E205" s="35" t="n">
        <v>81.43</v>
      </c>
      <c r="F205" s="35" t="n">
        <v>86.04</v>
      </c>
      <c r="G205" s="35" t="n">
        <v>25.52</v>
      </c>
      <c r="H205" s="35" t="n">
        <v>27.13</v>
      </c>
      <c r="I205" s="35" t="n">
        <v>52.2250726339055</v>
      </c>
      <c r="J205" s="36" t="n">
        <f aca="false">F205-E205</f>
        <v>4.61</v>
      </c>
      <c r="K205" s="36" t="n">
        <v>91.3786116248173</v>
      </c>
      <c r="L205" s="36" t="n">
        <v>143.4</v>
      </c>
      <c r="M205" s="34"/>
      <c r="N205" s="39" t="n">
        <f aca="false">(Typical_retail_prices_of_petroleum_products_and_a_crude_oil_price_index_monthly[[#This Row],[Month]]&amp;" "&amp;Typical_retail_prices_of_petroleum_products_and_a_crude_oil_price_index_monthly[[#This Row],[Year]])*1</f>
        <v>38412</v>
      </c>
    </row>
    <row r="206" customFormat="false" ht="14.25" hidden="false" customHeight="true" outlineLevel="0" collapsed="false">
      <c r="A206" s="32" t="n">
        <v>2005</v>
      </c>
      <c r="B206" s="33" t="s">
        <v>62</v>
      </c>
      <c r="C206" s="34" t="n">
        <v>88.48</v>
      </c>
      <c r="D206" s="35" t="n">
        <v>91.11</v>
      </c>
      <c r="E206" s="35" t="n">
        <v>85.35</v>
      </c>
      <c r="F206" s="35" t="n">
        <v>89.6</v>
      </c>
      <c r="G206" s="35" t="n">
        <v>28.85</v>
      </c>
      <c r="H206" s="35" t="n">
        <v>28.94</v>
      </c>
      <c r="I206" s="35" t="n">
        <v>51.0284376426442</v>
      </c>
      <c r="J206" s="36" t="n">
        <f aca="false">F206-E206</f>
        <v>4.25</v>
      </c>
      <c r="K206" s="36" t="n">
        <v>89.4264472866754</v>
      </c>
      <c r="L206" s="36" t="n">
        <v>140.1</v>
      </c>
      <c r="M206" s="34"/>
      <c r="N206" s="39" t="n">
        <f aca="false">(Typical_retail_prices_of_petroleum_products_and_a_crude_oil_price_index_monthly[[#This Row],[Month]]&amp;" "&amp;Typical_retail_prices_of_petroleum_products_and_a_crude_oil_price_index_monthly[[#This Row],[Year]])*1</f>
        <v>38443</v>
      </c>
    </row>
    <row r="207" customFormat="false" ht="14.25" hidden="false" customHeight="true" outlineLevel="0" collapsed="false">
      <c r="A207" s="32" t="n">
        <v>2005</v>
      </c>
      <c r="B207" s="33" t="s">
        <v>63</v>
      </c>
      <c r="C207" s="34" t="n">
        <v>88.96</v>
      </c>
      <c r="D207" s="35" t="n">
        <v>91.6</v>
      </c>
      <c r="E207" s="35" t="n">
        <v>85.16</v>
      </c>
      <c r="F207" s="35" t="n">
        <v>89.42</v>
      </c>
      <c r="G207" s="35" t="n">
        <v>26.65</v>
      </c>
      <c r="H207" s="35" t="n">
        <v>27.13</v>
      </c>
      <c r="I207" s="35" t="n">
        <v>49.4584748317316</v>
      </c>
      <c r="J207" s="36" t="n">
        <f aca="false">F207-E207</f>
        <v>4.26000000000001</v>
      </c>
      <c r="K207" s="36" t="n">
        <v>86.6506757180356</v>
      </c>
      <c r="L207" s="36" t="n">
        <v>135.8</v>
      </c>
      <c r="M207" s="34"/>
      <c r="N207" s="39" t="n">
        <f aca="false">(Typical_retail_prices_of_petroleum_products_and_a_crude_oil_price_index_monthly[[#This Row],[Month]]&amp;" "&amp;Typical_retail_prices_of_petroleum_products_and_a_crude_oil_price_index_monthly[[#This Row],[Year]])*1</f>
        <v>38473</v>
      </c>
    </row>
    <row r="208" customFormat="false" ht="14.25" hidden="false" customHeight="true" outlineLevel="0" collapsed="false">
      <c r="A208" s="32" t="n">
        <v>2005</v>
      </c>
      <c r="B208" s="33" t="s">
        <v>64</v>
      </c>
      <c r="C208" s="41" t="n">
        <v>87.78</v>
      </c>
      <c r="D208" s="35" t="n">
        <v>91.67</v>
      </c>
      <c r="E208" s="35" t="n">
        <v>84.87</v>
      </c>
      <c r="F208" s="35" t="n">
        <v>89.04</v>
      </c>
      <c r="G208" s="35" t="n">
        <v>28.59</v>
      </c>
      <c r="H208" s="35" t="n">
        <v>30.1</v>
      </c>
      <c r="I208" s="35" t="n">
        <v>56.2594517148518</v>
      </c>
      <c r="J208" s="36" t="n">
        <f aca="false">F208-E208</f>
        <v>4.17</v>
      </c>
      <c r="K208" s="36" t="n">
        <v>98.6230761625306</v>
      </c>
      <c r="L208" s="36" t="n">
        <v>154.5</v>
      </c>
      <c r="M208" s="34"/>
      <c r="N208" s="39" t="n">
        <f aca="false">(Typical_retail_prices_of_petroleum_products_and_a_crude_oil_price_index_monthly[[#This Row],[Month]]&amp;" "&amp;Typical_retail_prices_of_petroleum_products_and_a_crude_oil_price_index_monthly[[#This Row],[Year]])*1</f>
        <v>38504</v>
      </c>
    </row>
    <row r="209" customFormat="false" ht="14.25" hidden="false" customHeight="true" outlineLevel="0" collapsed="false">
      <c r="A209" s="32" t="n">
        <v>2005</v>
      </c>
      <c r="B209" s="33" t="s">
        <v>65</v>
      </c>
      <c r="C209" s="34" t="n">
        <v>90.49</v>
      </c>
      <c r="D209" s="35" t="n">
        <v>94.81</v>
      </c>
      <c r="E209" s="35" t="n">
        <v>88.26</v>
      </c>
      <c r="F209" s="35" t="n">
        <v>92.43</v>
      </c>
      <c r="G209" s="35" t="n">
        <v>31.56</v>
      </c>
      <c r="H209" s="35" t="n">
        <v>32.94</v>
      </c>
      <c r="I209" s="35" t="n">
        <v>63.1583719302082</v>
      </c>
      <c r="J209" s="36" t="n">
        <f aca="false">F209-E209</f>
        <v>4.17</v>
      </c>
      <c r="K209" s="36" t="n">
        <v>110.565888611867</v>
      </c>
      <c r="L209" s="36" t="n">
        <v>173.4</v>
      </c>
      <c r="M209" s="34"/>
      <c r="N209" s="39" t="n">
        <f aca="false">(Typical_retail_prices_of_petroleum_products_and_a_crude_oil_price_index_monthly[[#This Row],[Month]]&amp;" "&amp;Typical_retail_prices_of_petroleum_products_and_a_crude_oil_price_index_monthly[[#This Row],[Year]])*1</f>
        <v>38534</v>
      </c>
    </row>
    <row r="210" customFormat="false" ht="14.25" hidden="false" customHeight="true" outlineLevel="0" collapsed="false">
      <c r="A210" s="32" t="n">
        <v>2005</v>
      </c>
      <c r="B210" s="33" t="s">
        <v>66</v>
      </c>
      <c r="C210" s="34" t="n">
        <v>91.99</v>
      </c>
      <c r="D210" s="35" t="n">
        <v>96.59</v>
      </c>
      <c r="E210" s="35" t="n">
        <v>90.4</v>
      </c>
      <c r="F210" s="35" t="n">
        <v>94.33</v>
      </c>
      <c r="G210" s="35" t="n">
        <v>32.11</v>
      </c>
      <c r="H210" s="35" t="n">
        <v>33.47</v>
      </c>
      <c r="I210" s="35" t="n">
        <v>68.2116105874324</v>
      </c>
      <c r="J210" s="36" t="n">
        <f aca="false">F210-E210</f>
        <v>3.92999999999999</v>
      </c>
      <c r="K210" s="36" t="n">
        <v>119.39025242011</v>
      </c>
      <c r="L210" s="36" t="n">
        <v>187.3</v>
      </c>
      <c r="M210" s="34"/>
      <c r="N210" s="39" t="n">
        <f aca="false">(Typical_retail_prices_of_petroleum_products_and_a_crude_oil_price_index_monthly[[#This Row],[Month]]&amp;" "&amp;Typical_retail_prices_of_petroleum_products_and_a_crude_oil_price_index_monthly[[#This Row],[Year]])*1</f>
        <v>38565</v>
      </c>
    </row>
    <row r="211" customFormat="false" ht="14.25" hidden="false" customHeight="true" outlineLevel="0" collapsed="false">
      <c r="A211" s="32" t="n">
        <v>2005</v>
      </c>
      <c r="B211" s="33" t="s">
        <v>67</v>
      </c>
      <c r="C211" s="35"/>
      <c r="D211" s="35" t="n">
        <v>99.48</v>
      </c>
      <c r="E211" s="35" t="n">
        <v>94.77</v>
      </c>
      <c r="F211" s="35" t="n">
        <v>97.58</v>
      </c>
      <c r="G211" s="35" t="n">
        <v>33.57</v>
      </c>
      <c r="H211" s="35" t="n">
        <v>35.54</v>
      </c>
      <c r="I211" s="35" t="n">
        <v>66.2710730977225</v>
      </c>
      <c r="J211" s="36" t="n">
        <f aca="false">F211-E211</f>
        <v>2.81</v>
      </c>
      <c r="K211" s="36" t="n">
        <v>115.997465603854</v>
      </c>
      <c r="L211" s="36" t="n">
        <v>182</v>
      </c>
      <c r="M211" s="34"/>
      <c r="N211" s="39" t="n">
        <f aca="false">(Typical_retail_prices_of_petroleum_products_and_a_crude_oil_price_index_monthly[[#This Row],[Month]]&amp;" "&amp;Typical_retail_prices_of_petroleum_products_and_a_crude_oil_price_index_monthly[[#This Row],[Year]])*1</f>
        <v>38596</v>
      </c>
    </row>
    <row r="212" customFormat="false" ht="14.25" hidden="false" customHeight="true" outlineLevel="0" collapsed="false">
      <c r="A212" s="32" t="n">
        <v>2005</v>
      </c>
      <c r="B212" s="33" t="s">
        <v>68</v>
      </c>
      <c r="C212" s="35"/>
      <c r="D212" s="35" t="n">
        <v>100.3</v>
      </c>
      <c r="E212" s="35" t="n">
        <v>94</v>
      </c>
      <c r="F212" s="35" t="n">
        <v>96.94</v>
      </c>
      <c r="G212" s="35" t="n">
        <v>34.95</v>
      </c>
      <c r="H212" s="35" t="n">
        <v>36.34</v>
      </c>
      <c r="I212" s="35" t="n">
        <v>63.6698713394431</v>
      </c>
      <c r="J212" s="36" t="n">
        <f aca="false">F212-E212</f>
        <v>2.94</v>
      </c>
      <c r="K212" s="36" t="n">
        <v>111.434257246865</v>
      </c>
      <c r="L212" s="36" t="n">
        <v>174.8</v>
      </c>
      <c r="M212" s="34"/>
      <c r="N212" s="39" t="n">
        <f aca="false">(Typical_retail_prices_of_petroleum_products_and_a_crude_oil_price_index_monthly[[#This Row],[Month]]&amp;" "&amp;Typical_retail_prices_of_petroleum_products_and_a_crude_oil_price_index_monthly[[#This Row],[Year]])*1</f>
        <v>38626</v>
      </c>
    </row>
    <row r="213" customFormat="false" ht="14.25" hidden="false" customHeight="true" outlineLevel="0" collapsed="false">
      <c r="A213" s="32" t="n">
        <v>2005</v>
      </c>
      <c r="B213" s="33" t="s">
        <v>69</v>
      </c>
      <c r="C213" s="35"/>
      <c r="D213" s="35" t="n">
        <v>97.11</v>
      </c>
      <c r="E213" s="35" t="n">
        <v>90.3</v>
      </c>
      <c r="F213" s="35" t="n">
        <v>94.74</v>
      </c>
      <c r="G213" s="35" t="n">
        <v>31.1</v>
      </c>
      <c r="H213" s="35" t="n">
        <v>33.09</v>
      </c>
      <c r="I213" s="35" t="n">
        <v>62.1398864444469</v>
      </c>
      <c r="J213" s="36" t="n">
        <f aca="false">F213-E213</f>
        <v>4.44</v>
      </c>
      <c r="K213" s="36" t="n">
        <v>108.809068381481</v>
      </c>
      <c r="L213" s="36" t="n">
        <v>170.6</v>
      </c>
      <c r="M213" s="34"/>
      <c r="N213" s="39" t="n">
        <f aca="false">(Typical_retail_prices_of_petroleum_products_and_a_crude_oil_price_index_monthly[[#This Row],[Month]]&amp;" "&amp;Typical_retail_prices_of_petroleum_products_and_a_crude_oil_price_index_monthly[[#This Row],[Year]])*1</f>
        <v>38657</v>
      </c>
    </row>
    <row r="214" customFormat="false" ht="14.25" hidden="false" customHeight="true" outlineLevel="0" collapsed="false">
      <c r="A214" s="32" t="n">
        <v>2005</v>
      </c>
      <c r="B214" s="33" t="s">
        <v>70</v>
      </c>
      <c r="C214" s="35"/>
      <c r="D214" s="35" t="n">
        <v>95.33</v>
      </c>
      <c r="E214" s="35" t="n">
        <v>87.45</v>
      </c>
      <c r="F214" s="35" t="n">
        <v>91.72</v>
      </c>
      <c r="G214" s="35" t="n">
        <v>30.53</v>
      </c>
      <c r="H214" s="35" t="n">
        <v>33.3</v>
      </c>
      <c r="I214" s="35" t="n">
        <v>62.693402982842</v>
      </c>
      <c r="J214" s="36" t="n">
        <f aca="false">F214-E214</f>
        <v>4.27</v>
      </c>
      <c r="K214" s="36" t="n">
        <v>109.721064026615</v>
      </c>
      <c r="L214" s="36" t="n">
        <v>172.1</v>
      </c>
      <c r="M214" s="34"/>
      <c r="N214" s="39" t="n">
        <f aca="false">(Typical_retail_prices_of_petroleum_products_and_a_crude_oil_price_index_monthly[[#This Row],[Month]]&amp;" "&amp;Typical_retail_prices_of_petroleum_products_and_a_crude_oil_price_index_monthly[[#This Row],[Year]])*1</f>
        <v>38687</v>
      </c>
    </row>
    <row r="215" customFormat="false" ht="14.25" hidden="false" customHeight="true" outlineLevel="0" collapsed="false">
      <c r="A215" s="32" t="n">
        <v>2006</v>
      </c>
      <c r="B215" s="33" t="s">
        <v>59</v>
      </c>
      <c r="C215" s="35"/>
      <c r="D215" s="35" t="n">
        <v>94.73</v>
      </c>
      <c r="E215" s="35" t="n">
        <v>88.84</v>
      </c>
      <c r="F215" s="35" t="n">
        <v>93.07</v>
      </c>
      <c r="G215" s="35" t="n">
        <v>31.58</v>
      </c>
      <c r="H215" s="35" t="n">
        <v>33.6</v>
      </c>
      <c r="I215" s="35" t="n">
        <v>67.8012383707361</v>
      </c>
      <c r="J215" s="36" t="n">
        <f aca="false">F215-E215</f>
        <v>4.22999999999999</v>
      </c>
      <c r="K215" s="36" t="n">
        <v>118.69920366678</v>
      </c>
      <c r="L215" s="36" t="n">
        <v>186.2</v>
      </c>
      <c r="M215" s="34"/>
      <c r="N215" s="39" t="n">
        <f aca="false">(Typical_retail_prices_of_petroleum_products_and_a_crude_oil_price_index_monthly[[#This Row],[Month]]&amp;" "&amp;Typical_retail_prices_of_petroleum_products_and_a_crude_oil_price_index_monthly[[#This Row],[Year]])*1</f>
        <v>38718</v>
      </c>
    </row>
    <row r="216" customFormat="false" ht="14.25" hidden="false" customHeight="true" outlineLevel="0" collapsed="false">
      <c r="A216" s="32" t="n">
        <v>2006</v>
      </c>
      <c r="B216" s="33" t="s">
        <v>60</v>
      </c>
      <c r="C216" s="35"/>
      <c r="D216" s="35" t="n">
        <v>96.8</v>
      </c>
      <c r="E216" s="35" t="n">
        <v>89.46</v>
      </c>
      <c r="F216" s="35" t="n">
        <v>93.66</v>
      </c>
      <c r="G216" s="35" t="n">
        <v>32.16</v>
      </c>
      <c r="H216" s="35" t="n">
        <v>33.79</v>
      </c>
      <c r="I216" s="35" t="n">
        <v>66.5564678468475</v>
      </c>
      <c r="J216" s="36" t="n">
        <f aca="false">F216-E216</f>
        <v>4.2</v>
      </c>
      <c r="K216" s="36" t="n">
        <v>116.494362456781</v>
      </c>
      <c r="L216" s="36" t="n">
        <v>182.7</v>
      </c>
      <c r="M216" s="34"/>
      <c r="N216" s="39" t="n">
        <f aca="false">(Typical_retail_prices_of_petroleum_products_and_a_crude_oil_price_index_monthly[[#This Row],[Month]]&amp;" "&amp;Typical_retail_prices_of_petroleum_products_and_a_crude_oil_price_index_monthly[[#This Row],[Year]])*1</f>
        <v>38749</v>
      </c>
    </row>
    <row r="217" customFormat="false" ht="14.25" hidden="false" customHeight="true" outlineLevel="0" collapsed="false">
      <c r="A217" s="32" t="n">
        <v>2006</v>
      </c>
      <c r="B217" s="33" t="s">
        <v>61</v>
      </c>
      <c r="C217" s="35"/>
      <c r="D217" s="35" t="n">
        <v>96.61</v>
      </c>
      <c r="E217" s="35" t="n">
        <v>89.43</v>
      </c>
      <c r="F217" s="35" t="n">
        <v>93.75</v>
      </c>
      <c r="G217" s="35" t="n">
        <v>32.12</v>
      </c>
      <c r="H217" s="35" t="n">
        <v>34.08</v>
      </c>
      <c r="I217" s="35" t="n">
        <v>67.4215174211483</v>
      </c>
      <c r="J217" s="36" t="n">
        <f aca="false">F217-E217</f>
        <v>4.31999999999999</v>
      </c>
      <c r="K217" s="36" t="n">
        <v>118.14867516521</v>
      </c>
      <c r="L217" s="36" t="n">
        <v>185.1</v>
      </c>
      <c r="M217" s="34"/>
      <c r="N217" s="39" t="n">
        <f aca="false">(Typical_retail_prices_of_petroleum_products_and_a_crude_oil_price_index_monthly[[#This Row],[Month]]&amp;" "&amp;Typical_retail_prices_of_petroleum_products_and_a_crude_oil_price_index_monthly[[#This Row],[Year]])*1</f>
        <v>38777</v>
      </c>
    </row>
    <row r="218" customFormat="false" ht="14.25" hidden="false" customHeight="true" outlineLevel="0" collapsed="false">
      <c r="A218" s="32" t="n">
        <v>2006</v>
      </c>
      <c r="B218" s="33" t="s">
        <v>62</v>
      </c>
      <c r="C218" s="35"/>
      <c r="D218" s="35" t="n">
        <v>99.42</v>
      </c>
      <c r="E218" s="35" t="n">
        <v>94.14</v>
      </c>
      <c r="F218" s="35" t="n">
        <v>97.59</v>
      </c>
      <c r="G218" s="35" t="n">
        <v>33.16</v>
      </c>
      <c r="H218" s="35" t="n">
        <v>35.31</v>
      </c>
      <c r="I218" s="35" t="n">
        <v>75.2812953200246</v>
      </c>
      <c r="J218" s="36" t="n">
        <f aca="false">F218-E218</f>
        <v>3.45</v>
      </c>
      <c r="K218" s="36" t="n">
        <v>131.728167098908</v>
      </c>
      <c r="L218" s="36" t="n">
        <v>206.7</v>
      </c>
      <c r="M218" s="34"/>
      <c r="N218" s="39" t="n">
        <f aca="false">(Typical_retail_prices_of_petroleum_products_and_a_crude_oil_price_index_monthly[[#This Row],[Month]]&amp;" "&amp;Typical_retail_prices_of_petroleum_products_and_a_crude_oil_price_index_monthly[[#This Row],[Year]])*1</f>
        <v>38808</v>
      </c>
    </row>
    <row r="219" customFormat="false" ht="14.25" hidden="false" customHeight="true" outlineLevel="0" collapsed="false">
      <c r="A219" s="32" t="n">
        <v>2006</v>
      </c>
      <c r="B219" s="33" t="s">
        <v>63</v>
      </c>
      <c r="C219" s="35"/>
      <c r="D219" s="35" t="n">
        <v>102.35</v>
      </c>
      <c r="E219" s="35" t="n">
        <v>96.12</v>
      </c>
      <c r="F219" s="35" t="n">
        <v>98.47</v>
      </c>
      <c r="G219" s="35" t="n">
        <v>34.07</v>
      </c>
      <c r="H219" s="35" t="n">
        <v>36.12</v>
      </c>
      <c r="I219" s="35" t="n">
        <v>71.3116508654525</v>
      </c>
      <c r="J219" s="36" t="n">
        <f aca="false">F219-E219</f>
        <v>2.34999999999999</v>
      </c>
      <c r="K219" s="36" t="n">
        <v>124.98568725865</v>
      </c>
      <c r="L219" s="36" t="n">
        <v>195.8</v>
      </c>
      <c r="M219" s="34"/>
      <c r="N219" s="39" t="n">
        <f aca="false">(Typical_retail_prices_of_petroleum_products_and_a_crude_oil_price_index_monthly[[#This Row],[Month]]&amp;" "&amp;Typical_retail_prices_of_petroleum_products_and_a_crude_oil_price_index_monthly[[#This Row],[Year]])*1</f>
        <v>38838</v>
      </c>
    </row>
    <row r="220" customFormat="false" ht="14.25" hidden="false" customHeight="true" outlineLevel="0" collapsed="false">
      <c r="A220" s="32" t="n">
        <v>2006</v>
      </c>
      <c r="B220" s="33" t="s">
        <v>64</v>
      </c>
      <c r="C220" s="35"/>
      <c r="D220" s="35" t="n">
        <v>101.37</v>
      </c>
      <c r="E220" s="35" t="n">
        <v>95.3</v>
      </c>
      <c r="F220" s="35" t="n">
        <v>97.66</v>
      </c>
      <c r="G220" s="35" t="n">
        <v>33.75</v>
      </c>
      <c r="H220" s="35" t="n">
        <v>36.17</v>
      </c>
      <c r="I220" s="35" t="n">
        <v>70.7679060957466</v>
      </c>
      <c r="J220" s="36" t="n">
        <f aca="false">F220-E220</f>
        <v>2.36</v>
      </c>
      <c r="K220" s="36" t="n">
        <v>123.864107654309</v>
      </c>
      <c r="L220" s="36" t="n">
        <v>194.3</v>
      </c>
      <c r="M220" s="34"/>
      <c r="N220" s="39" t="n">
        <f aca="false">(Typical_retail_prices_of_petroleum_products_and_a_crude_oil_price_index_monthly[[#This Row],[Month]]&amp;" "&amp;Typical_retail_prices_of_petroleum_products_and_a_crude_oil_price_index_monthly[[#This Row],[Year]])*1</f>
        <v>38869</v>
      </c>
    </row>
    <row r="221" customFormat="false" ht="14.25" hidden="false" customHeight="true" outlineLevel="0" collapsed="false">
      <c r="A221" s="32" t="n">
        <v>2006</v>
      </c>
      <c r="B221" s="33" t="s">
        <v>65</v>
      </c>
      <c r="C221" s="35"/>
      <c r="D221" s="35" t="n">
        <v>102.53</v>
      </c>
      <c r="E221" s="35" t="n">
        <v>96.78</v>
      </c>
      <c r="F221" s="35" t="n">
        <v>98.68</v>
      </c>
      <c r="G221" s="35" t="n">
        <v>37.4</v>
      </c>
      <c r="H221" s="35" t="n">
        <v>40.82</v>
      </c>
      <c r="I221" s="35" t="n">
        <v>76.36483244687</v>
      </c>
      <c r="J221" s="36" t="n">
        <f aca="false">F221-E221</f>
        <v>1.90000000000001</v>
      </c>
      <c r="K221" s="36" t="n">
        <v>133.782623468982</v>
      </c>
      <c r="L221" s="36" t="n">
        <v>209.7</v>
      </c>
      <c r="M221" s="34"/>
      <c r="N221" s="39" t="n">
        <f aca="false">(Typical_retail_prices_of_petroleum_products_and_a_crude_oil_price_index_monthly[[#This Row],[Month]]&amp;" "&amp;Typical_retail_prices_of_petroleum_products_and_a_crude_oil_price_index_monthly[[#This Row],[Year]])*1</f>
        <v>38899</v>
      </c>
    </row>
    <row r="222" customFormat="false" ht="14.25" hidden="false" customHeight="true" outlineLevel="0" collapsed="false">
      <c r="A222" s="32" t="n">
        <v>2006</v>
      </c>
      <c r="B222" s="33" t="s">
        <v>66</v>
      </c>
      <c r="C222" s="35"/>
      <c r="D222" s="35" t="n">
        <v>103.01</v>
      </c>
      <c r="E222" s="35" t="n">
        <v>97.67</v>
      </c>
      <c r="F222" s="35" t="n">
        <v>99.38</v>
      </c>
      <c r="G222" s="35" t="n">
        <v>37.36</v>
      </c>
      <c r="H222" s="35" t="n">
        <v>41.11</v>
      </c>
      <c r="I222" s="35" t="n">
        <v>74.1818522884344</v>
      </c>
      <c r="J222" s="36" t="n">
        <f aca="false">F222-E222</f>
        <v>1.70999999999999</v>
      </c>
      <c r="K222" s="36" t="n">
        <v>129.76337684628</v>
      </c>
      <c r="L222" s="36" t="n">
        <v>203.7</v>
      </c>
      <c r="M222" s="34"/>
      <c r="N222" s="39" t="n">
        <f aca="false">(Typical_retail_prices_of_petroleum_products_and_a_crude_oil_price_index_monthly[[#This Row],[Month]]&amp;" "&amp;Typical_retail_prices_of_petroleum_products_and_a_crude_oil_price_index_monthly[[#This Row],[Year]])*1</f>
        <v>38930</v>
      </c>
    </row>
    <row r="223" customFormat="false" ht="14.25" hidden="false" customHeight="true" outlineLevel="0" collapsed="false">
      <c r="A223" s="32" t="n">
        <v>2006</v>
      </c>
      <c r="B223" s="33" t="s">
        <v>67</v>
      </c>
      <c r="C223" s="35"/>
      <c r="D223" s="35" t="n">
        <v>96.81</v>
      </c>
      <c r="E223" s="35" t="n">
        <v>89.35</v>
      </c>
      <c r="F223" s="35" t="n">
        <v>94.43</v>
      </c>
      <c r="G223" s="35" t="n">
        <v>35.76</v>
      </c>
      <c r="H223" s="35" t="n">
        <v>39.34</v>
      </c>
      <c r="I223" s="35" t="n">
        <v>63.2280651851886</v>
      </c>
      <c r="J223" s="36" t="n">
        <f aca="false">F223-E223</f>
        <v>5.08000000000001</v>
      </c>
      <c r="K223" s="36" t="n">
        <v>110.514297123464</v>
      </c>
      <c r="L223" s="36" t="n">
        <v>173.6</v>
      </c>
      <c r="M223" s="34"/>
      <c r="N223" s="39" t="n">
        <f aca="false">(Typical_retail_prices_of_petroleum_products_and_a_crude_oil_price_index_monthly[[#This Row],[Month]]&amp;" "&amp;Typical_retail_prices_of_petroleum_products_and_a_crude_oil_price_index_monthly[[#This Row],[Year]])*1</f>
        <v>38961</v>
      </c>
    </row>
    <row r="224" customFormat="false" ht="14.25" hidden="false" customHeight="true" outlineLevel="0" collapsed="false">
      <c r="A224" s="32" t="n">
        <v>2006</v>
      </c>
      <c r="B224" s="33" t="s">
        <v>68</v>
      </c>
      <c r="C224" s="35"/>
      <c r="D224" s="35" t="n">
        <v>94.06</v>
      </c>
      <c r="E224" s="35" t="n">
        <v>85.74</v>
      </c>
      <c r="F224" s="35" t="n">
        <v>91.5</v>
      </c>
      <c r="G224" s="35" t="n">
        <v>33.25</v>
      </c>
      <c r="H224" s="35" t="n">
        <v>37.09</v>
      </c>
      <c r="I224" s="35" t="n">
        <v>59.3743698959316</v>
      </c>
      <c r="J224" s="36" t="n">
        <f aca="false">F224-E224</f>
        <v>5.76000000000001</v>
      </c>
      <c r="K224" s="36" t="n">
        <v>103.995368017598</v>
      </c>
      <c r="L224" s="36" t="n">
        <v>163.016551834023</v>
      </c>
      <c r="M224" s="34"/>
      <c r="N224" s="39" t="n">
        <f aca="false">(Typical_retail_prices_of_petroleum_products_and_a_crude_oil_price_index_monthly[[#This Row],[Month]]&amp;" "&amp;Typical_retail_prices_of_petroleum_products_and_a_crude_oil_price_index_monthly[[#This Row],[Year]])*1</f>
        <v>38991</v>
      </c>
    </row>
    <row r="225" customFormat="false" ht="14.25" hidden="false" customHeight="true" outlineLevel="0" collapsed="false">
      <c r="A225" s="32" t="n">
        <v>2006</v>
      </c>
      <c r="B225" s="33" t="s">
        <v>69</v>
      </c>
      <c r="C225" s="35"/>
      <c r="D225" s="35" t="n">
        <v>93.21</v>
      </c>
      <c r="E225" s="35" t="n">
        <v>85.37</v>
      </c>
      <c r="F225" s="35" t="n">
        <v>91.09</v>
      </c>
      <c r="G225" s="35" t="n">
        <v>31.25</v>
      </c>
      <c r="H225" s="35" t="n">
        <v>35.53</v>
      </c>
      <c r="I225" s="35" t="n">
        <v>58.3698953617655</v>
      </c>
      <c r="J225" s="36" t="n">
        <f aca="false">F225-E225</f>
        <v>5.72</v>
      </c>
      <c r="K225" s="36" t="n">
        <v>102.147230986889</v>
      </c>
      <c r="L225" s="36" t="n">
        <v>160.261376590891</v>
      </c>
      <c r="M225" s="34"/>
      <c r="N225" s="39" t="n">
        <f aca="false">(Typical_retail_prices_of_petroleum_products_and_a_crude_oil_price_index_monthly[[#This Row],[Month]]&amp;" "&amp;Typical_retail_prices_of_petroleum_products_and_a_crude_oil_price_index_monthly[[#This Row],[Year]])*1</f>
        <v>39022</v>
      </c>
    </row>
    <row r="226" customFormat="false" ht="14.25" hidden="false" customHeight="true" outlineLevel="0" collapsed="false">
      <c r="A226" s="32" t="n">
        <v>2006</v>
      </c>
      <c r="B226" s="33" t="s">
        <v>70</v>
      </c>
      <c r="C226" s="35"/>
      <c r="D226" s="35" t="n">
        <v>95.68</v>
      </c>
      <c r="E226" s="35" t="n">
        <v>87.63</v>
      </c>
      <c r="F226" s="35" t="n">
        <v>93.23</v>
      </c>
      <c r="G226" s="35" t="n">
        <v>32.05</v>
      </c>
      <c r="H226" s="35" t="n">
        <v>35.99</v>
      </c>
      <c r="I226" s="35" t="n">
        <v>61.263968494866</v>
      </c>
      <c r="J226" s="36" t="n">
        <f aca="false">F226-E226</f>
        <v>5.60000000000001</v>
      </c>
      <c r="K226" s="36" t="n">
        <v>107.177744585849</v>
      </c>
      <c r="L226" s="36" t="n">
        <v>168.2</v>
      </c>
      <c r="M226" s="34"/>
      <c r="N226" s="39" t="n">
        <f aca="false">(Typical_retail_prices_of_petroleum_products_and_a_crude_oil_price_index_monthly[[#This Row],[Month]]&amp;" "&amp;Typical_retail_prices_of_petroleum_products_and_a_crude_oil_price_index_monthly[[#This Row],[Year]])*1</f>
        <v>39052</v>
      </c>
    </row>
    <row r="227" customFormat="false" ht="14.25" hidden="false" customHeight="true" outlineLevel="0" collapsed="false">
      <c r="A227" s="32" t="n">
        <v>2007</v>
      </c>
      <c r="B227" s="33" t="s">
        <v>59</v>
      </c>
      <c r="C227" s="35"/>
      <c r="D227" s="35" t="n">
        <v>94.8</v>
      </c>
      <c r="E227" s="35" t="n">
        <v>86.91</v>
      </c>
      <c r="F227" s="35" t="n">
        <v>91.44</v>
      </c>
      <c r="G227" s="35" t="n">
        <v>30.88</v>
      </c>
      <c r="H227" s="35" t="n">
        <v>34.03</v>
      </c>
      <c r="I227" s="35" t="n">
        <v>52.9250174108609</v>
      </c>
      <c r="J227" s="36" t="n">
        <f aca="false">F227-E227</f>
        <v>4.53</v>
      </c>
      <c r="K227" s="36" t="n">
        <v>92.8975810095475</v>
      </c>
      <c r="L227" s="36" t="n">
        <v>145.3</v>
      </c>
      <c r="M227" s="34"/>
      <c r="N227" s="39" t="n">
        <f aca="false">(Typical_retail_prices_of_petroleum_products_and_a_crude_oil_price_index_monthly[[#This Row],[Month]]&amp;" "&amp;Typical_retail_prices_of_petroleum_products_and_a_crude_oil_price_index_monthly[[#This Row],[Year]])*1</f>
        <v>39083</v>
      </c>
    </row>
    <row r="228" customFormat="false" ht="14.25" hidden="false" customHeight="true" outlineLevel="0" collapsed="false">
      <c r="A228" s="32" t="n">
        <v>2007</v>
      </c>
      <c r="B228" s="33" t="s">
        <v>60</v>
      </c>
      <c r="C228" s="35"/>
      <c r="D228" s="35" t="n">
        <v>94.01</v>
      </c>
      <c r="E228" s="35" t="n">
        <v>86.17</v>
      </c>
      <c r="F228" s="35" t="n">
        <v>90.18</v>
      </c>
      <c r="G228" s="35" t="n">
        <v>30.63</v>
      </c>
      <c r="H228" s="35" t="n">
        <v>34.1</v>
      </c>
      <c r="I228" s="35" t="n">
        <v>56.4095770445979</v>
      </c>
      <c r="J228" s="36" t="n">
        <f aca="false">F228-E228</f>
        <v>4.01000000000001</v>
      </c>
      <c r="K228" s="36" t="n">
        <v>98.7256343644131</v>
      </c>
      <c r="L228" s="36" t="n">
        <v>154.9</v>
      </c>
      <c r="M228" s="34"/>
      <c r="N228" s="39" t="n">
        <f aca="false">(Typical_retail_prices_of_petroleum_products_and_a_crude_oil_price_index_monthly[[#This Row],[Month]]&amp;" "&amp;Typical_retail_prices_of_petroleum_products_and_a_crude_oil_price_index_monthly[[#This Row],[Year]])*1</f>
        <v>39114</v>
      </c>
    </row>
    <row r="229" customFormat="false" ht="14.25" hidden="false" customHeight="true" outlineLevel="0" collapsed="false">
      <c r="A229" s="32" t="n">
        <v>2007</v>
      </c>
      <c r="B229" s="33" t="s">
        <v>61</v>
      </c>
      <c r="C229" s="35"/>
      <c r="D229" s="35" t="n">
        <v>96.01</v>
      </c>
      <c r="E229" s="35" t="n">
        <v>88.39</v>
      </c>
      <c r="F229" s="35" t="n">
        <v>92.16</v>
      </c>
      <c r="G229" s="35" t="n">
        <v>31.65</v>
      </c>
      <c r="H229" s="35" t="n">
        <v>36.14</v>
      </c>
      <c r="I229" s="35" t="n">
        <v>61.8364786794152</v>
      </c>
      <c r="J229" s="36" t="n">
        <f aca="false">F229-E229</f>
        <v>3.77</v>
      </c>
      <c r="K229" s="36" t="n">
        <v>108.19885507799</v>
      </c>
      <c r="L229" s="36" t="n">
        <v>169.777269182161</v>
      </c>
      <c r="M229" s="34"/>
      <c r="N229" s="39" t="n">
        <f aca="false">(Typical_retail_prices_of_petroleum_products_and_a_crude_oil_price_index_monthly[[#This Row],[Month]]&amp;" "&amp;Typical_retail_prices_of_petroleum_products_and_a_crude_oil_price_index_monthly[[#This Row],[Year]])*1</f>
        <v>39142</v>
      </c>
    </row>
    <row r="230" customFormat="false" ht="14.25" hidden="false" customHeight="true" outlineLevel="0" collapsed="false">
      <c r="A230" s="32" t="n">
        <v>2007</v>
      </c>
      <c r="B230" s="33" t="s">
        <v>62</v>
      </c>
      <c r="C230" s="35"/>
      <c r="D230" s="35" t="n">
        <v>98.42</v>
      </c>
      <c r="E230" s="35" t="n">
        <v>91.92</v>
      </c>
      <c r="F230" s="35" t="n">
        <v>94.73</v>
      </c>
      <c r="G230" s="35" t="n">
        <v>33.43</v>
      </c>
      <c r="H230" s="35" t="n">
        <v>38.25</v>
      </c>
      <c r="I230" s="35" t="n">
        <v>65.2334828701308</v>
      </c>
      <c r="J230" s="36" t="n">
        <f aca="false">F230-E230</f>
        <v>2.81</v>
      </c>
      <c r="K230" s="36" t="n">
        <v>114.163894993617</v>
      </c>
      <c r="L230" s="36" t="n">
        <v>179.065093738779</v>
      </c>
      <c r="M230" s="34"/>
      <c r="N230" s="39" t="n">
        <f aca="false">(Typical_retail_prices_of_petroleum_products_and_a_crude_oil_price_index_monthly[[#This Row],[Month]]&amp;" "&amp;Typical_retail_prices_of_petroleum_products_and_a_crude_oil_price_index_monthly[[#This Row],[Year]])*1</f>
        <v>39173</v>
      </c>
    </row>
    <row r="231" customFormat="false" ht="14.25" hidden="false" customHeight="true" outlineLevel="0" collapsed="false">
      <c r="A231" s="32" t="n">
        <v>2007</v>
      </c>
      <c r="B231" s="33" t="s">
        <v>63</v>
      </c>
      <c r="C231" s="35"/>
      <c r="D231" s="35" t="n">
        <v>100.63</v>
      </c>
      <c r="E231" s="35" t="n">
        <v>95.05</v>
      </c>
      <c r="F231" s="35" t="n">
        <v>96.41</v>
      </c>
      <c r="G231" s="35" t="n">
        <v>33.47</v>
      </c>
      <c r="H231" s="35" t="n">
        <v>37.98</v>
      </c>
      <c r="I231" s="35" t="n">
        <v>65.5096277802967</v>
      </c>
      <c r="J231" s="36" t="n">
        <f aca="false">F231-E231</f>
        <v>1.36</v>
      </c>
      <c r="K231" s="36" t="n">
        <v>114.465666379895</v>
      </c>
      <c r="L231" s="36" t="n">
        <v>179.9</v>
      </c>
      <c r="M231" s="34"/>
      <c r="N231" s="39" t="n">
        <f aca="false">(Typical_retail_prices_of_petroleum_products_and_a_crude_oil_price_index_monthly[[#This Row],[Month]]&amp;" "&amp;Typical_retail_prices_of_petroleum_products_and_a_crude_oil_price_index_monthly[[#This Row],[Year]])*1</f>
        <v>39203</v>
      </c>
    </row>
    <row r="232" customFormat="false" ht="14.25" hidden="false" customHeight="true" outlineLevel="0" collapsed="false">
      <c r="A232" s="32" t="n">
        <v>2007</v>
      </c>
      <c r="B232" s="33" t="s">
        <v>64</v>
      </c>
      <c r="C232" s="35"/>
      <c r="D232" s="35" t="n">
        <v>101.98</v>
      </c>
      <c r="E232" s="35" t="n">
        <v>96.44</v>
      </c>
      <c r="F232" s="35" t="n">
        <v>97.02</v>
      </c>
      <c r="G232" s="35" t="n">
        <v>34.46</v>
      </c>
      <c r="H232" s="35" t="n">
        <v>38.85</v>
      </c>
      <c r="I232" s="35" t="n">
        <v>69.9697900165533</v>
      </c>
      <c r="J232" s="36" t="n">
        <f aca="false">F232-E232</f>
        <v>0.579999999999998</v>
      </c>
      <c r="K232" s="36" t="n">
        <v>122.610029067011</v>
      </c>
      <c r="L232" s="36" t="n">
        <v>192.1</v>
      </c>
      <c r="M232" s="34"/>
      <c r="N232" s="39" t="n">
        <f aca="false">(Typical_retail_prices_of_petroleum_products_and_a_crude_oil_price_index_monthly[[#This Row],[Month]]&amp;" "&amp;Typical_retail_prices_of_petroleum_products_and_a_crude_oil_price_index_monthly[[#This Row],[Year]])*1</f>
        <v>39234</v>
      </c>
    </row>
    <row r="233" customFormat="false" ht="14.25" hidden="false" customHeight="true" outlineLevel="0" collapsed="false">
      <c r="A233" s="32" t="n">
        <v>2007</v>
      </c>
      <c r="B233" s="33" t="s">
        <v>65</v>
      </c>
      <c r="C233" s="35"/>
      <c r="D233" s="35" t="n">
        <v>101.8</v>
      </c>
      <c r="E233" s="35" t="n">
        <v>96.05</v>
      </c>
      <c r="F233" s="35" t="n">
        <v>96.65</v>
      </c>
      <c r="G233" s="35" t="n">
        <v>34.82</v>
      </c>
      <c r="H233" s="35" t="n">
        <v>39.57</v>
      </c>
      <c r="I233" s="35" t="n">
        <v>73.4655531075475</v>
      </c>
      <c r="J233" s="36" t="n">
        <f aca="false">F233-E233</f>
        <v>0.600000000000009</v>
      </c>
      <c r="K233" s="36" t="n">
        <v>128.618279990389</v>
      </c>
      <c r="L233" s="36" t="n">
        <v>201.7</v>
      </c>
      <c r="M233" s="34"/>
      <c r="N233" s="39" t="n">
        <f aca="false">(Typical_retail_prices_of_petroleum_products_and_a_crude_oil_price_index_monthly[[#This Row],[Month]]&amp;" "&amp;Typical_retail_prices_of_petroleum_products_and_a_crude_oil_price_index_monthly[[#This Row],[Year]])*1</f>
        <v>39264</v>
      </c>
    </row>
    <row r="234" customFormat="false" ht="14.25" hidden="false" customHeight="true" outlineLevel="0" collapsed="false">
      <c r="A234" s="32" t="n">
        <v>2007</v>
      </c>
      <c r="B234" s="33" t="s">
        <v>66</v>
      </c>
      <c r="C234" s="35"/>
      <c r="D234" s="35" t="n">
        <v>101.49</v>
      </c>
      <c r="E234" s="35" t="n">
        <v>95.7</v>
      </c>
      <c r="F234" s="35" t="n">
        <v>96.54</v>
      </c>
      <c r="G234" s="35" t="n">
        <v>34.45</v>
      </c>
      <c r="H234" s="35" t="n">
        <v>39.21</v>
      </c>
      <c r="I234" s="35" t="n">
        <v>69.5779523807125</v>
      </c>
      <c r="J234" s="36" t="n">
        <f aca="false">F234-E234</f>
        <v>0.840000000000003</v>
      </c>
      <c r="K234" s="36" t="n">
        <v>121.255344769559</v>
      </c>
      <c r="L234" s="36" t="n">
        <v>191</v>
      </c>
      <c r="M234" s="34"/>
      <c r="N234" s="39" t="n">
        <f aca="false">(Typical_retail_prices_of_petroleum_products_and_a_crude_oil_price_index_monthly[[#This Row],[Month]]&amp;" "&amp;Typical_retail_prices_of_petroleum_products_and_a_crude_oil_price_index_monthly[[#This Row],[Year]])*1</f>
        <v>39295</v>
      </c>
    </row>
    <row r="235" customFormat="false" ht="14.25" hidden="false" customHeight="true" outlineLevel="0" collapsed="false">
      <c r="A235" s="32" t="n">
        <v>2007</v>
      </c>
      <c r="B235" s="33" t="s">
        <v>67</v>
      </c>
      <c r="C235" s="35"/>
      <c r="D235" s="35" t="n">
        <v>100.75</v>
      </c>
      <c r="E235" s="35" t="n">
        <v>94.45</v>
      </c>
      <c r="F235" s="35" t="n">
        <v>96.3</v>
      </c>
      <c r="G235" s="35" t="n">
        <v>35.46</v>
      </c>
      <c r="H235" s="35" t="n">
        <v>41.22</v>
      </c>
      <c r="I235" s="35" t="n">
        <v>73.5874775866343</v>
      </c>
      <c r="J235" s="36" t="n">
        <f aca="false">F235-E235</f>
        <v>1.84999999999999</v>
      </c>
      <c r="K235" s="36" t="n">
        <v>128.835212431997</v>
      </c>
      <c r="L235" s="36" t="n">
        <v>202</v>
      </c>
      <c r="M235" s="34"/>
      <c r="N235" s="39" t="n">
        <f aca="false">(Typical_retail_prices_of_petroleum_products_and_a_crude_oil_price_index_monthly[[#This Row],[Month]]&amp;" "&amp;Typical_retail_prices_of_petroleum_products_and_a_crude_oil_price_index_monthly[[#This Row],[Year]])*1</f>
        <v>39326</v>
      </c>
    </row>
    <row r="236" customFormat="false" ht="14.25" hidden="false" customHeight="true" outlineLevel="0" collapsed="false">
      <c r="A236" s="32" t="n">
        <v>2007</v>
      </c>
      <c r="B236" s="33" t="s">
        <v>68</v>
      </c>
      <c r="C236" s="35"/>
      <c r="D236" s="35" t="n">
        <v>102.83</v>
      </c>
      <c r="E236" s="35" t="n">
        <v>97.03</v>
      </c>
      <c r="F236" s="35" t="n">
        <v>99.15</v>
      </c>
      <c r="G236" s="35" t="n">
        <v>37.13</v>
      </c>
      <c r="H236" s="35" t="n">
        <v>43.93</v>
      </c>
      <c r="I236" s="35" t="n">
        <v>78.6210978144696</v>
      </c>
      <c r="J236" s="36" t="n">
        <f aca="false">F236-E236</f>
        <v>2.12</v>
      </c>
      <c r="K236" s="36" t="n">
        <v>137.427641037718</v>
      </c>
      <c r="L236" s="36" t="n">
        <v>215.9</v>
      </c>
      <c r="M236" s="34"/>
      <c r="N236" s="39" t="n">
        <f aca="false">(Typical_retail_prices_of_petroleum_products_and_a_crude_oil_price_index_monthly[[#This Row],[Month]]&amp;" "&amp;Typical_retail_prices_of_petroleum_products_and_a_crude_oil_price_index_monthly[[#This Row],[Year]])*1</f>
        <v>39356</v>
      </c>
    </row>
    <row r="237" customFormat="false" ht="14.25" hidden="false" customHeight="true" outlineLevel="0" collapsed="false">
      <c r="A237" s="32" t="n">
        <v>2007</v>
      </c>
      <c r="B237" s="33" t="s">
        <v>69</v>
      </c>
      <c r="C237" s="35"/>
      <c r="D237" s="35" t="n">
        <v>104.67</v>
      </c>
      <c r="E237" s="35" t="n">
        <v>100.46</v>
      </c>
      <c r="F237" s="35" t="n">
        <v>104.19</v>
      </c>
      <c r="G237" s="35" t="n">
        <v>41.6</v>
      </c>
      <c r="H237" s="35" t="n">
        <v>48.65</v>
      </c>
      <c r="I237" s="35" t="n">
        <v>85.8188862149203</v>
      </c>
      <c r="J237" s="36" t="n">
        <f aca="false">F237-E237</f>
        <v>3.73</v>
      </c>
      <c r="K237" s="36" t="n">
        <v>150.137767839915</v>
      </c>
      <c r="L237" s="36" t="n">
        <v>235.6</v>
      </c>
      <c r="M237" s="34"/>
      <c r="N237" s="39" t="n">
        <f aca="false">(Typical_retail_prices_of_petroleum_products_and_a_crude_oil_price_index_monthly[[#This Row],[Month]]&amp;" "&amp;Typical_retail_prices_of_petroleum_products_and_a_crude_oil_price_index_monthly[[#This Row],[Year]])*1</f>
        <v>39387</v>
      </c>
    </row>
    <row r="238" customFormat="false" ht="14.25" hidden="false" customHeight="true" outlineLevel="0" collapsed="false">
      <c r="A238" s="32" t="n">
        <v>2007</v>
      </c>
      <c r="B238" s="33" t="s">
        <v>70</v>
      </c>
      <c r="C238" s="35"/>
      <c r="D238" s="35" t="n">
        <v>107.37</v>
      </c>
      <c r="E238" s="35" t="n">
        <v>102.36</v>
      </c>
      <c r="F238" s="35" t="n">
        <v>107.41</v>
      </c>
      <c r="G238" s="35" t="n">
        <v>42.42</v>
      </c>
      <c r="H238" s="35" t="n">
        <v>48.37</v>
      </c>
      <c r="I238" s="35" t="n">
        <v>88.1285500372516</v>
      </c>
      <c r="J238" s="36" t="n">
        <f aca="false">F238-E238</f>
        <v>5.05</v>
      </c>
      <c r="K238" s="36" t="n">
        <v>153.88340451196</v>
      </c>
      <c r="L238" s="36" t="n">
        <v>242</v>
      </c>
      <c r="M238" s="34"/>
      <c r="N238" s="39" t="n">
        <f aca="false">(Typical_retail_prices_of_petroleum_products_and_a_crude_oil_price_index_monthly[[#This Row],[Month]]&amp;" "&amp;Typical_retail_prices_of_petroleum_products_and_a_crude_oil_price_index_monthly[[#This Row],[Year]])*1</f>
        <v>39417</v>
      </c>
    </row>
    <row r="239" customFormat="false" ht="14.25" hidden="false" customHeight="true" outlineLevel="0" collapsed="false">
      <c r="A239" s="32" t="n">
        <v>2008</v>
      </c>
      <c r="B239" s="33" t="s">
        <v>59</v>
      </c>
      <c r="C239" s="35"/>
      <c r="D239" s="35" t="n">
        <v>110.59</v>
      </c>
      <c r="E239" s="35" t="n">
        <v>103.71</v>
      </c>
      <c r="F239" s="35" t="n">
        <v>108.7</v>
      </c>
      <c r="G239" s="35" t="n">
        <v>43.9</v>
      </c>
      <c r="H239" s="35" t="n">
        <v>51.01</v>
      </c>
      <c r="I239" s="35" t="n">
        <v>90.9659512631451</v>
      </c>
      <c r="J239" s="36" t="n">
        <f aca="false">F239-E239</f>
        <v>4.99000000000001</v>
      </c>
      <c r="K239" s="36" t="n">
        <v>159.296078863438</v>
      </c>
      <c r="L239" s="36" t="n">
        <v>249.5</v>
      </c>
      <c r="M239" s="34"/>
      <c r="N239" s="39" t="n">
        <f aca="false">(Typical_retail_prices_of_petroleum_products_and_a_crude_oil_price_index_monthly[[#This Row],[Month]]&amp;" "&amp;Typical_retail_prices_of_petroleum_products_and_a_crude_oil_price_index_monthly[[#This Row],[Year]])*1</f>
        <v>39448</v>
      </c>
    </row>
    <row r="240" customFormat="false" ht="14.25" hidden="false" customHeight="true" outlineLevel="0" collapsed="false">
      <c r="A240" s="32" t="n">
        <v>2008</v>
      </c>
      <c r="B240" s="33" t="s">
        <v>60</v>
      </c>
      <c r="C240" s="35"/>
      <c r="D240" s="35" t="n">
        <v>110.28</v>
      </c>
      <c r="E240" s="35" t="n">
        <v>103.5</v>
      </c>
      <c r="F240" s="35" t="n">
        <v>108.85</v>
      </c>
      <c r="G240" s="35" t="n">
        <v>44.33</v>
      </c>
      <c r="H240" s="35" t="n">
        <v>51.75</v>
      </c>
      <c r="I240" s="35" t="n">
        <v>94.1305836257624</v>
      </c>
      <c r="J240" s="36" t="n">
        <f aca="false">F240-E240</f>
        <v>5.34999999999999</v>
      </c>
      <c r="K240" s="36" t="n">
        <v>164.704749865774</v>
      </c>
      <c r="L240" s="36" t="n">
        <v>258.2</v>
      </c>
      <c r="M240" s="34"/>
      <c r="N240" s="39" t="n">
        <f aca="false">(Typical_retail_prices_of_petroleum_products_and_a_crude_oil_price_index_monthly[[#This Row],[Month]]&amp;" "&amp;Typical_retail_prices_of_petroleum_products_and_a_crude_oil_price_index_monthly[[#This Row],[Year]])*1</f>
        <v>39479</v>
      </c>
    </row>
    <row r="241" customFormat="false" ht="14.25" hidden="false" customHeight="true" outlineLevel="0" collapsed="false">
      <c r="A241" s="32" t="n">
        <v>2008</v>
      </c>
      <c r="B241" s="33" t="s">
        <v>61</v>
      </c>
      <c r="C241" s="35"/>
      <c r="D241" s="35" t="n">
        <v>113.05</v>
      </c>
      <c r="E241" s="35" t="n">
        <v>106.36</v>
      </c>
      <c r="F241" s="35" t="n">
        <v>113.15</v>
      </c>
      <c r="G241" s="35" t="n">
        <v>47.54</v>
      </c>
      <c r="H241" s="35" t="n">
        <v>55.82</v>
      </c>
      <c r="I241" s="35" t="n">
        <v>99.6092355039078</v>
      </c>
      <c r="J241" s="36" t="n">
        <f aca="false">F241-E241</f>
        <v>6.79000000000001</v>
      </c>
      <c r="K241" s="36" t="n">
        <v>174.188761236653</v>
      </c>
      <c r="L241" s="36" t="n">
        <v>272.9</v>
      </c>
      <c r="M241" s="34"/>
      <c r="N241" s="39" t="n">
        <f aca="false">(Typical_retail_prices_of_petroleum_products_and_a_crude_oil_price_index_monthly[[#This Row],[Month]]&amp;" "&amp;Typical_retail_prices_of_petroleum_products_and_a_crude_oil_price_index_monthly[[#This Row],[Year]])*1</f>
        <v>39508</v>
      </c>
    </row>
    <row r="242" customFormat="false" ht="14.25" hidden="false" customHeight="true" outlineLevel="0" collapsed="false">
      <c r="A242" s="32" t="n">
        <v>2008</v>
      </c>
      <c r="B242" s="33" t="s">
        <v>62</v>
      </c>
      <c r="C242" s="35"/>
      <c r="D242" s="35" t="n">
        <v>113.61</v>
      </c>
      <c r="E242" s="35" t="n">
        <v>107.56</v>
      </c>
      <c r="F242" s="35" t="n">
        <v>116.55</v>
      </c>
      <c r="G242" s="35" t="n">
        <v>53.39</v>
      </c>
      <c r="H242" s="35" t="n">
        <v>59.49</v>
      </c>
      <c r="I242" s="35" t="n">
        <v>107.522081878564</v>
      </c>
      <c r="J242" s="36" t="n">
        <f aca="false">F242-E242</f>
        <v>8.99</v>
      </c>
      <c r="K242" s="36" t="n">
        <v>188.180398116753</v>
      </c>
      <c r="L242" s="36" t="n">
        <v>295.1</v>
      </c>
      <c r="M242" s="34"/>
      <c r="N242" s="39" t="n">
        <f aca="false">(Typical_retail_prices_of_petroleum_products_and_a_crude_oil_price_index_monthly[[#This Row],[Month]]&amp;" "&amp;Typical_retail_prices_of_petroleum_products_and_a_crude_oil_price_index_monthly[[#This Row],[Year]])*1</f>
        <v>39539</v>
      </c>
    </row>
    <row r="243" customFormat="false" ht="14.25" hidden="false" customHeight="true" outlineLevel="0" collapsed="false">
      <c r="A243" s="32" t="n">
        <v>2008</v>
      </c>
      <c r="B243" s="33" t="s">
        <v>63</v>
      </c>
      <c r="C243" s="35"/>
      <c r="D243" s="35" t="n">
        <v>117.87</v>
      </c>
      <c r="E243" s="35" t="n">
        <v>112.69</v>
      </c>
      <c r="F243" s="35" t="n">
        <v>124.2</v>
      </c>
      <c r="G243" s="35" t="n">
        <v>60.1</v>
      </c>
      <c r="H243" s="35" t="n">
        <v>67.34</v>
      </c>
      <c r="I243" s="35" t="n">
        <v>120.676776179941</v>
      </c>
      <c r="J243" s="36" t="n">
        <f aca="false">F243-E243</f>
        <v>11.51</v>
      </c>
      <c r="K243" s="36" t="n">
        <v>211.115951373485</v>
      </c>
      <c r="L243" s="36" t="n">
        <v>331</v>
      </c>
      <c r="M243" s="34"/>
      <c r="N243" s="39" t="n">
        <f aca="false">(Typical_retail_prices_of_petroleum_products_and_a_crude_oil_price_index_monthly[[#This Row],[Month]]&amp;" "&amp;Typical_retail_prices_of_petroleum_products_and_a_crude_oil_price_index_monthly[[#This Row],[Year]])*1</f>
        <v>39569</v>
      </c>
    </row>
    <row r="244" customFormat="false" ht="14.25" hidden="false" customHeight="true" outlineLevel="0" collapsed="false">
      <c r="A244" s="32" t="n">
        <v>2008</v>
      </c>
      <c r="B244" s="33" t="s">
        <v>64</v>
      </c>
      <c r="C244" s="35"/>
      <c r="D244" s="35" t="n">
        <v>123.41</v>
      </c>
      <c r="E244" s="35" t="n">
        <v>117.49</v>
      </c>
      <c r="F244" s="35" t="n">
        <v>130.59</v>
      </c>
      <c r="G244" s="35" t="n">
        <v>61.78</v>
      </c>
      <c r="H244" s="35" t="n">
        <v>69.21</v>
      </c>
      <c r="I244" s="35" t="n">
        <v>129.980570715988</v>
      </c>
      <c r="J244" s="36" t="n">
        <f aca="false">F244-E244</f>
        <v>13.1</v>
      </c>
      <c r="K244" s="36" t="n">
        <v>227.278198470211</v>
      </c>
      <c r="L244" s="36" t="n">
        <v>356.2</v>
      </c>
      <c r="M244" s="34"/>
      <c r="N244" s="39" t="n">
        <f aca="false">(Typical_retail_prices_of_petroleum_products_and_a_crude_oil_price_index_monthly[[#This Row],[Month]]&amp;" "&amp;Typical_retail_prices_of_petroleum_products_and_a_crude_oil_price_index_monthly[[#This Row],[Year]])*1</f>
        <v>39600</v>
      </c>
    </row>
    <row r="245" customFormat="false" ht="14.25" hidden="false" customHeight="true" outlineLevel="0" collapsed="false">
      <c r="A245" s="32" t="n">
        <v>2008</v>
      </c>
      <c r="B245" s="33" t="s">
        <v>65</v>
      </c>
      <c r="C245" s="35"/>
      <c r="D245" s="35" t="n">
        <v>126.04</v>
      </c>
      <c r="E245" s="35" t="n">
        <v>119.62</v>
      </c>
      <c r="F245" s="35" t="n">
        <v>132.98</v>
      </c>
      <c r="G245" s="35" t="n">
        <v>63.83</v>
      </c>
      <c r="H245" s="35" t="n">
        <v>69.79</v>
      </c>
      <c r="I245" s="35" t="n">
        <v>130.059756954534</v>
      </c>
      <c r="J245" s="36" t="n">
        <f aca="false">F245-E245</f>
        <v>13.36</v>
      </c>
      <c r="K245" s="36" t="n">
        <v>227.277933227806</v>
      </c>
      <c r="L245" s="36" t="n">
        <v>355.617899625437</v>
      </c>
      <c r="M245" s="34"/>
      <c r="N245" s="39" t="n">
        <f aca="false">(Typical_retail_prices_of_petroleum_products_and_a_crude_oil_price_index_monthly[[#This Row],[Month]]&amp;" "&amp;Typical_retail_prices_of_petroleum_products_and_a_crude_oil_price_index_monthly[[#This Row],[Year]])*1</f>
        <v>39630</v>
      </c>
    </row>
    <row r="246" customFormat="false" ht="14.25" hidden="false" customHeight="true" outlineLevel="0" collapsed="false">
      <c r="A246" s="32" t="n">
        <v>2008</v>
      </c>
      <c r="B246" s="33" t="s">
        <v>66</v>
      </c>
      <c r="C246" s="35"/>
      <c r="D246" s="35" t="n">
        <v>118.18</v>
      </c>
      <c r="E246" s="35" t="n">
        <v>112.06</v>
      </c>
      <c r="F246" s="35" t="n">
        <v>123.95</v>
      </c>
      <c r="G246" s="35" t="n">
        <v>55.3</v>
      </c>
      <c r="H246" s="35" t="n">
        <v>62.31</v>
      </c>
      <c r="I246" s="35" t="n">
        <v>117.381771784243</v>
      </c>
      <c r="J246" s="36" t="n">
        <f aca="false">F246-E246</f>
        <v>11.89</v>
      </c>
      <c r="K246" s="36" t="n">
        <v>204.847471072845</v>
      </c>
      <c r="L246" s="36" t="n">
        <v>320.397751724601</v>
      </c>
      <c r="M246" s="34"/>
      <c r="N246" s="39" t="n">
        <f aca="false">(Typical_retail_prices_of_petroleum_products_and_a_crude_oil_price_index_monthly[[#This Row],[Month]]&amp;" "&amp;Typical_retail_prices_of_petroleum_products_and_a_crude_oil_price_index_monthly[[#This Row],[Year]])*1</f>
        <v>39661</v>
      </c>
    </row>
    <row r="247" customFormat="false" ht="14.25" hidden="false" customHeight="true" outlineLevel="0" collapsed="false">
      <c r="A247" s="32" t="n">
        <v>2008</v>
      </c>
      <c r="B247" s="33" t="s">
        <v>67</v>
      </c>
      <c r="C247" s="35"/>
      <c r="D247" s="35" t="n">
        <v>118.68</v>
      </c>
      <c r="E247" s="35" t="n">
        <v>112.3</v>
      </c>
      <c r="F247" s="35" t="n">
        <v>123.92</v>
      </c>
      <c r="G247" s="35" t="n">
        <v>54.6</v>
      </c>
      <c r="H247" s="35" t="n">
        <v>62.05</v>
      </c>
      <c r="I247" s="35" t="n">
        <v>107.330986057902</v>
      </c>
      <c r="J247" s="36" t="n">
        <f aca="false">F247-E247</f>
        <v>11.62</v>
      </c>
      <c r="K247" s="36" t="n">
        <v>187.294715821863</v>
      </c>
      <c r="L247" s="36" t="n">
        <v>293.142111450799</v>
      </c>
      <c r="M247" s="34"/>
      <c r="N247" s="39" t="n">
        <f aca="false">(Typical_retail_prices_of_petroleum_products_and_a_crude_oil_price_index_monthly[[#This Row],[Month]]&amp;" "&amp;Typical_retail_prices_of_petroleum_products_and_a_crude_oil_price_index_monthly[[#This Row],[Year]])*1</f>
        <v>39692</v>
      </c>
    </row>
    <row r="248" customFormat="false" ht="14.25" hidden="false" customHeight="true" outlineLevel="0" collapsed="false">
      <c r="A248" s="32" t="n">
        <v>2008</v>
      </c>
      <c r="B248" s="33" t="s">
        <v>68</v>
      </c>
      <c r="C248" s="35"/>
      <c r="D248" s="35" t="n">
        <v>113.04</v>
      </c>
      <c r="E248" s="35" t="n">
        <v>106.03</v>
      </c>
      <c r="F248" s="35" t="n">
        <v>117.54</v>
      </c>
      <c r="G248" s="35" t="n">
        <v>48.75</v>
      </c>
      <c r="H248" s="35" t="n">
        <v>56.32</v>
      </c>
      <c r="I248" s="35" t="n">
        <v>85.8975226570885</v>
      </c>
      <c r="J248" s="36" t="n">
        <f aca="false">F248-E248</f>
        <v>11.51</v>
      </c>
      <c r="K248" s="36" t="n">
        <v>150.109604543821</v>
      </c>
      <c r="L248" s="36" t="n">
        <v>234.842453432819</v>
      </c>
      <c r="M248" s="34"/>
      <c r="N248" s="39" t="n">
        <f aca="false">(Typical_retail_prices_of_petroleum_products_and_a_crude_oil_price_index_monthly[[#This Row],[Month]]&amp;" "&amp;Typical_retail_prices_of_petroleum_products_and_a_crude_oil_price_index_monthly[[#This Row],[Year]])*1</f>
        <v>39722</v>
      </c>
    </row>
    <row r="249" customFormat="false" ht="14.25" hidden="false" customHeight="true" outlineLevel="0" collapsed="false">
      <c r="A249" s="32" t="n">
        <v>2008</v>
      </c>
      <c r="B249" s="33" t="s">
        <v>69</v>
      </c>
      <c r="C249" s="35"/>
      <c r="D249" s="35" t="n">
        <v>101.18</v>
      </c>
      <c r="E249" s="35" t="n">
        <v>94.65</v>
      </c>
      <c r="F249" s="35" t="n">
        <v>108.6</v>
      </c>
      <c r="G249" s="35" t="n">
        <v>40.81</v>
      </c>
      <c r="H249" s="35" t="n">
        <v>50.12</v>
      </c>
      <c r="I249" s="35" t="n">
        <v>68.0708893224658</v>
      </c>
      <c r="J249" s="36" t="n">
        <f aca="false">F249-E249</f>
        <v>13.95</v>
      </c>
      <c r="K249" s="36" t="n">
        <v>119.37484161841</v>
      </c>
      <c r="L249" s="36" t="n">
        <v>186.136608424379</v>
      </c>
      <c r="M249" s="34"/>
      <c r="N249" s="39" t="n">
        <f aca="false">(Typical_retail_prices_of_petroleum_products_and_a_crude_oil_price_index_monthly[[#This Row],[Month]]&amp;" "&amp;Typical_retail_prices_of_petroleum_products_and_a_crude_oil_price_index_monthly[[#This Row],[Year]])*1</f>
        <v>39753</v>
      </c>
    </row>
    <row r="250" customFormat="false" ht="14.25" hidden="false" customHeight="true" outlineLevel="0" collapsed="false">
      <c r="A250" s="32" t="n">
        <v>2008</v>
      </c>
      <c r="B250" s="33" t="s">
        <v>70</v>
      </c>
      <c r="C250" s="35"/>
      <c r="D250" s="35" t="n">
        <v>95.7</v>
      </c>
      <c r="E250" s="35" t="n">
        <v>88.94</v>
      </c>
      <c r="F250" s="35" t="n">
        <v>101.1</v>
      </c>
      <c r="G250" s="35" t="n">
        <v>38.23</v>
      </c>
      <c r="H250" s="35" t="n">
        <v>45.79</v>
      </c>
      <c r="I250" s="35" t="n">
        <v>53.2884412121811</v>
      </c>
      <c r="J250" s="36" t="n">
        <f aca="false">F250-E250</f>
        <v>12.16</v>
      </c>
      <c r="K250" s="36" t="n">
        <v>92.7363132793699</v>
      </c>
      <c r="L250" s="36" t="n">
        <v>144.791788922181</v>
      </c>
      <c r="M250" s="34"/>
      <c r="N250" s="39" t="n">
        <f aca="false">(Typical_retail_prices_of_petroleum_products_and_a_crude_oil_price_index_monthly[[#This Row],[Month]]&amp;" "&amp;Typical_retail_prices_of_petroleum_products_and_a_crude_oil_price_index_monthly[[#This Row],[Year]])*1</f>
        <v>39783</v>
      </c>
    </row>
    <row r="251" customFormat="false" ht="14.25" hidden="false" customHeight="true" outlineLevel="0" collapsed="false">
      <c r="A251" s="32" t="n">
        <v>2009</v>
      </c>
      <c r="B251" s="33" t="s">
        <v>59</v>
      </c>
      <c r="C251" s="35"/>
      <c r="D251" s="35" t="n">
        <v>93.3</v>
      </c>
      <c r="E251" s="35" t="n">
        <v>86.33</v>
      </c>
      <c r="F251" s="35" t="n">
        <v>98.74</v>
      </c>
      <c r="G251" s="35" t="n">
        <v>36.01</v>
      </c>
      <c r="H251" s="35" t="n">
        <v>43.83</v>
      </c>
      <c r="I251" s="35" t="n">
        <v>54.9203287112085</v>
      </c>
      <c r="J251" s="36" t="n">
        <f aca="false">F251-E251</f>
        <v>12.41</v>
      </c>
      <c r="K251" s="36" t="n">
        <v>96.1889696716456</v>
      </c>
      <c r="L251" s="36" t="n">
        <v>150.647691582578</v>
      </c>
      <c r="M251" s="34"/>
      <c r="N251" s="39" t="n">
        <f aca="false">(Typical_retail_prices_of_petroleum_products_and_a_crude_oil_price_index_monthly[[#This Row],[Month]]&amp;" "&amp;Typical_retail_prices_of_petroleum_products_and_a_crude_oil_price_index_monthly[[#This Row],[Year]])*1</f>
        <v>39814</v>
      </c>
    </row>
    <row r="252" customFormat="false" ht="14.25" hidden="false" customHeight="true" outlineLevel="0" collapsed="false">
      <c r="A252" s="32" t="n">
        <v>2009</v>
      </c>
      <c r="B252" s="33" t="s">
        <v>60</v>
      </c>
      <c r="C252" s="35"/>
      <c r="D252" s="35" t="n">
        <v>96.35</v>
      </c>
      <c r="E252" s="35" t="n">
        <v>89.39</v>
      </c>
      <c r="F252" s="35" t="n">
        <v>100.26</v>
      </c>
      <c r="G252" s="35" t="n">
        <v>33.91</v>
      </c>
      <c r="H252" s="35" t="n">
        <v>41.68</v>
      </c>
      <c r="I252" s="35" t="n">
        <v>59.0670352040805</v>
      </c>
      <c r="J252" s="36" t="n">
        <f aca="false">F252-E252</f>
        <v>10.87</v>
      </c>
      <c r="K252" s="36" t="n">
        <v>103.332067760295</v>
      </c>
      <c r="L252" s="36" t="n">
        <v>161.639137958334</v>
      </c>
      <c r="M252" s="34"/>
      <c r="N252" s="39" t="n">
        <f aca="false">(Typical_retail_prices_of_petroleum_products_and_a_crude_oil_price_index_monthly[[#This Row],[Month]]&amp;" "&amp;Typical_retail_prices_of_petroleum_products_and_a_crude_oil_price_index_monthly[[#This Row],[Year]])*1</f>
        <v>39845</v>
      </c>
    </row>
    <row r="253" customFormat="false" ht="14.25" hidden="false" customHeight="true" outlineLevel="0" collapsed="false">
      <c r="A253" s="32" t="n">
        <v>2009</v>
      </c>
      <c r="B253" s="33" t="s">
        <v>61</v>
      </c>
      <c r="C253" s="35"/>
      <c r="D253" s="35" t="n">
        <v>96.46</v>
      </c>
      <c r="E253" s="35" t="n">
        <v>90.05</v>
      </c>
      <c r="F253" s="35" t="n">
        <v>99.88</v>
      </c>
      <c r="G253" s="35" t="n">
        <v>31.78</v>
      </c>
      <c r="H253" s="35" t="n">
        <v>39.8</v>
      </c>
      <c r="I253" s="35" t="n">
        <v>63.5607075220666</v>
      </c>
      <c r="J253" s="36" t="n">
        <f aca="false">F253-E253</f>
        <v>9.83</v>
      </c>
      <c r="K253" s="36" t="n">
        <v>111.251811352158</v>
      </c>
      <c r="L253" s="36" t="n">
        <v>174.326896391502</v>
      </c>
      <c r="M253" s="34"/>
      <c r="N253" s="39" t="n">
        <f aca="false">(Typical_retail_prices_of_petroleum_products_and_a_crude_oil_price_index_monthly[[#This Row],[Month]]&amp;" "&amp;Typical_retail_prices_of_petroleum_products_and_a_crude_oil_price_index_monthly[[#This Row],[Year]])*1</f>
        <v>39873</v>
      </c>
    </row>
    <row r="254" customFormat="false" ht="14.25" hidden="false" customHeight="true" outlineLevel="0" collapsed="false">
      <c r="A254" s="32" t="n">
        <v>2009</v>
      </c>
      <c r="B254" s="33" t="s">
        <v>62</v>
      </c>
      <c r="C254" s="35"/>
      <c r="D254" s="35" t="n">
        <v>99.45</v>
      </c>
      <c r="E254" s="35" t="n">
        <v>93.61</v>
      </c>
      <c r="F254" s="35" t="n">
        <v>101.93</v>
      </c>
      <c r="G254" s="35" t="n">
        <v>33.19</v>
      </c>
      <c r="H254" s="35" t="n">
        <v>41.59</v>
      </c>
      <c r="I254" s="35" t="n">
        <v>66.2825320506091</v>
      </c>
      <c r="J254" s="36" t="n">
        <f aca="false">F254-E254</f>
        <v>8.32000000000001</v>
      </c>
      <c r="K254" s="36" t="n">
        <v>115.984851358142</v>
      </c>
      <c r="L254" s="36" t="n">
        <v>181.590076636284</v>
      </c>
      <c r="M254" s="34"/>
      <c r="N254" s="39" t="n">
        <f aca="false">(Typical_retail_prices_of_petroleum_products_and_a_crude_oil_price_index_monthly[[#This Row],[Month]]&amp;" "&amp;Typical_retail_prices_of_petroleum_products_and_a_crude_oil_price_index_monthly[[#This Row],[Year]])*1</f>
        <v>39904</v>
      </c>
    </row>
    <row r="255" customFormat="false" ht="14.25" hidden="false" customHeight="true" outlineLevel="0" collapsed="false">
      <c r="A255" s="32" t="n">
        <v>2009</v>
      </c>
      <c r="B255" s="33" t="s">
        <v>63</v>
      </c>
      <c r="C255" s="35"/>
      <c r="D255" s="35" t="n">
        <v>103.2</v>
      </c>
      <c r="E255" s="35" t="n">
        <v>96.98</v>
      </c>
      <c r="F255" s="35" t="n">
        <v>102.98</v>
      </c>
      <c r="G255" s="35" t="n">
        <v>34.49</v>
      </c>
      <c r="H255" s="35" t="n">
        <v>41.91</v>
      </c>
      <c r="I255" s="35" t="n">
        <v>71.7067543532694</v>
      </c>
      <c r="J255" s="36" t="n">
        <f aca="false">F255-E255</f>
        <v>6</v>
      </c>
      <c r="K255" s="36" t="n">
        <v>125.667687076684</v>
      </c>
      <c r="L255" s="36" t="n">
        <v>197.454857061781</v>
      </c>
      <c r="M255" s="34"/>
      <c r="N255" s="39" t="n">
        <f aca="false">(Typical_retail_prices_of_petroleum_products_and_a_crude_oil_price_index_monthly[[#This Row],[Month]]&amp;" "&amp;Typical_retail_prices_of_petroleum_products_and_a_crude_oil_price_index_monthly[[#This Row],[Year]])*1</f>
        <v>39934</v>
      </c>
    </row>
    <row r="256" customFormat="false" ht="14.25" hidden="false" customHeight="true" outlineLevel="0" collapsed="false">
      <c r="A256" s="32" t="n">
        <v>2009</v>
      </c>
      <c r="B256" s="33" t="s">
        <v>64</v>
      </c>
      <c r="C256" s="35"/>
      <c r="D256" s="35" t="n">
        <v>107.97</v>
      </c>
      <c r="E256" s="35" t="n">
        <v>101.81</v>
      </c>
      <c r="F256" s="35" t="n">
        <v>104.33</v>
      </c>
      <c r="G256" s="35" t="n">
        <v>36.13</v>
      </c>
      <c r="H256" s="35" t="n">
        <v>43.35</v>
      </c>
      <c r="I256" s="35" t="n">
        <v>79.7072000424554</v>
      </c>
      <c r="J256" s="36" t="n">
        <f aca="false">F256-E256</f>
        <v>2.52</v>
      </c>
      <c r="K256" s="36" t="n">
        <v>139.502548768234</v>
      </c>
      <c r="L256" s="36" t="n">
        <v>218.84284238632</v>
      </c>
      <c r="M256" s="34"/>
      <c r="N256" s="39" t="n">
        <f aca="false">(Typical_retail_prices_of_petroleum_products_and_a_crude_oil_price_index_monthly[[#This Row],[Month]]&amp;" "&amp;Typical_retail_prices_of_petroleum_products_and_a_crude_oil_price_index_monthly[[#This Row],[Year]])*1</f>
        <v>39965</v>
      </c>
    </row>
    <row r="257" customFormat="false" ht="14.25" hidden="false" customHeight="true" outlineLevel="0" collapsed="false">
      <c r="A257" s="32" t="n">
        <v>2009</v>
      </c>
      <c r="B257" s="33" t="s">
        <v>65</v>
      </c>
      <c r="C257" s="35"/>
      <c r="D257" s="35" t="n">
        <v>108.84</v>
      </c>
      <c r="E257" s="35" t="n">
        <v>102.65</v>
      </c>
      <c r="F257" s="35" t="n">
        <v>103.85</v>
      </c>
      <c r="G257" s="35" t="n">
        <v>35.99</v>
      </c>
      <c r="H257" s="35" t="n">
        <v>43.11</v>
      </c>
      <c r="I257" s="35" t="n">
        <v>77.4394946089145</v>
      </c>
      <c r="J257" s="36" t="n">
        <f aca="false">F257-E257</f>
        <v>1.19999999999999</v>
      </c>
      <c r="K257" s="36" t="n">
        <v>135.431959615438</v>
      </c>
      <c r="L257" s="36" t="n">
        <v>212.2</v>
      </c>
      <c r="M257" s="34"/>
      <c r="N257" s="39" t="n">
        <f aca="false">(Typical_retail_prices_of_petroleum_products_and_a_crude_oil_price_index_monthly[[#This Row],[Month]]&amp;" "&amp;Typical_retail_prices_of_petroleum_products_and_a_crude_oil_price_index_monthly[[#This Row],[Year]])*1</f>
        <v>39995</v>
      </c>
    </row>
    <row r="258" customFormat="false" ht="14.25" hidden="false" customHeight="true" outlineLevel="0" collapsed="false">
      <c r="A258" s="32" t="n">
        <v>2009</v>
      </c>
      <c r="B258" s="33" t="s">
        <v>66</v>
      </c>
      <c r="C258" s="35"/>
      <c r="D258" s="35" t="n">
        <v>110.06</v>
      </c>
      <c r="E258" s="35" t="n">
        <v>103.78</v>
      </c>
      <c r="F258" s="35" t="n">
        <v>104.27</v>
      </c>
      <c r="G258" s="35" t="n">
        <v>37.06</v>
      </c>
      <c r="H258" s="35" t="n">
        <v>44.84</v>
      </c>
      <c r="I258" s="35" t="n">
        <v>84.9877506021289</v>
      </c>
      <c r="J258" s="36" t="n">
        <f aca="false">F258-E258</f>
        <v>0.489999999999995</v>
      </c>
      <c r="K258" s="36" t="n">
        <v>148.729174239115</v>
      </c>
      <c r="L258" s="36" t="n">
        <v>233.261219399327</v>
      </c>
      <c r="M258" s="34"/>
      <c r="N258" s="39" t="n">
        <f aca="false">(Typical_retail_prices_of_petroleum_products_and_a_crude_oil_price_index_monthly[[#This Row],[Month]]&amp;" "&amp;Typical_retail_prices_of_petroleum_products_and_a_crude_oil_price_index_monthly[[#This Row],[Year]])*1</f>
        <v>40026</v>
      </c>
    </row>
    <row r="259" customFormat="false" ht="14.25" hidden="false" customHeight="true" outlineLevel="0" collapsed="false">
      <c r="A259" s="32" t="n">
        <v>2009</v>
      </c>
      <c r="B259" s="33" t="s">
        <v>67</v>
      </c>
      <c r="C259" s="35"/>
      <c r="D259" s="35" t="n">
        <v>112.41</v>
      </c>
      <c r="E259" s="35" t="n">
        <v>105.89</v>
      </c>
      <c r="F259" s="35" t="n">
        <v>106.58</v>
      </c>
      <c r="G259" s="35" t="n">
        <v>37.4</v>
      </c>
      <c r="H259" s="35" t="n">
        <v>45.04</v>
      </c>
      <c r="I259" s="35" t="n">
        <v>81.0122394510768</v>
      </c>
      <c r="J259" s="36" t="n">
        <f aca="false">F259-E259</f>
        <v>0.689999999999998</v>
      </c>
      <c r="K259" s="36" t="n">
        <v>141.725819574549</v>
      </c>
      <c r="L259" s="36" t="n">
        <v>221.825068498641</v>
      </c>
      <c r="M259" s="34"/>
      <c r="N259" s="39" t="n">
        <f aca="false">(Typical_retail_prices_of_petroleum_products_and_a_crude_oil_price_index_monthly[[#This Row],[Month]]&amp;" "&amp;Typical_retail_prices_of_petroleum_products_and_a_crude_oil_price_index_monthly[[#This Row],[Year]])*1</f>
        <v>40057</v>
      </c>
    </row>
    <row r="260" customFormat="false" ht="14.25" hidden="false" customHeight="true" outlineLevel="0" collapsed="false">
      <c r="A260" s="32" t="n">
        <v>2009</v>
      </c>
      <c r="B260" s="33" t="s">
        <v>68</v>
      </c>
      <c r="C260" s="35"/>
      <c r="D260" s="35" t="n">
        <v>110.9</v>
      </c>
      <c r="E260" s="35" t="n">
        <v>104.54</v>
      </c>
      <c r="F260" s="35" t="n">
        <v>105.54</v>
      </c>
      <c r="G260" s="35" t="n">
        <v>37.96</v>
      </c>
      <c r="H260" s="35" t="n">
        <v>46.19</v>
      </c>
      <c r="I260" s="35" t="n">
        <v>87.0929816494554</v>
      </c>
      <c r="J260" s="36" t="n">
        <f aca="false">F260-E260</f>
        <v>1</v>
      </c>
      <c r="K260" s="36" t="n">
        <v>152.426698541589</v>
      </c>
      <c r="L260" s="36" t="n">
        <v>239.112849081971</v>
      </c>
      <c r="M260" s="34"/>
      <c r="N260" s="39" t="n">
        <f aca="false">(Typical_retail_prices_of_petroleum_products_and_a_crude_oil_price_index_monthly[[#This Row],[Month]]&amp;" "&amp;Typical_retail_prices_of_petroleum_products_and_a_crude_oil_price_index_monthly[[#This Row],[Year]])*1</f>
        <v>40087</v>
      </c>
    </row>
    <row r="261" customFormat="false" ht="14.25" hidden="false" customHeight="true" outlineLevel="0" collapsed="false">
      <c r="A261" s="32" t="n">
        <v>2009</v>
      </c>
      <c r="B261" s="33" t="s">
        <v>69</v>
      </c>
      <c r="C261" s="35"/>
      <c r="D261" s="35" t="n">
        <v>114.841567260048</v>
      </c>
      <c r="E261" s="35" t="n">
        <v>108.272572</v>
      </c>
      <c r="F261" s="35" t="n">
        <v>109.455838990242</v>
      </c>
      <c r="G261" s="35" t="n">
        <v>39.7716617803838</v>
      </c>
      <c r="H261" s="35" t="n">
        <v>48.1904347355899</v>
      </c>
      <c r="I261" s="35" t="n">
        <v>89.9734146324154</v>
      </c>
      <c r="J261" s="36" t="n">
        <f aca="false">F261-E261</f>
        <v>1.18326699024185</v>
      </c>
      <c r="K261" s="36" t="n">
        <v>157.326861261053</v>
      </c>
      <c r="L261" s="36" t="n">
        <v>246.560121924629</v>
      </c>
      <c r="M261" s="34"/>
      <c r="N261" s="39" t="n">
        <f aca="false">(Typical_retail_prices_of_petroleum_products_and_a_crude_oil_price_index_monthly[[#This Row],[Month]]&amp;" "&amp;Typical_retail_prices_of_petroleum_products_and_a_crude_oil_price_index_monthly[[#This Row],[Year]])*1</f>
        <v>40118</v>
      </c>
    </row>
    <row r="262" customFormat="false" ht="14.25" hidden="false" customHeight="true" outlineLevel="0" collapsed="false">
      <c r="A262" s="32" t="n">
        <v>2009</v>
      </c>
      <c r="B262" s="33" t="s">
        <v>70</v>
      </c>
      <c r="C262" s="35"/>
      <c r="D262" s="35" t="n">
        <v>114.757961093779</v>
      </c>
      <c r="E262" s="35" t="n">
        <v>108.17245</v>
      </c>
      <c r="F262" s="35" t="n">
        <v>109.343296563428</v>
      </c>
      <c r="G262" s="35" t="n">
        <v>40.0509368336887</v>
      </c>
      <c r="H262" s="35" t="n">
        <v>48.4158559532821</v>
      </c>
      <c r="I262" s="35" t="n">
        <v>89.0316490229397</v>
      </c>
      <c r="J262" s="36" t="n">
        <f aca="false">F262-E262</f>
        <v>1.17084656342806</v>
      </c>
      <c r="K262" s="36" t="n">
        <v>155.801510721656</v>
      </c>
      <c r="L262" s="36" t="n">
        <v>244.32857202723</v>
      </c>
      <c r="M262" s="34"/>
      <c r="N262" s="39" t="n">
        <f aca="false">(Typical_retail_prices_of_petroleum_products_and_a_crude_oil_price_index_monthly[[#This Row],[Month]]&amp;" "&amp;Typical_retail_prices_of_petroleum_products_and_a_crude_oil_price_index_monthly[[#This Row],[Year]])*1</f>
        <v>40148</v>
      </c>
    </row>
    <row r="263" customFormat="false" ht="14.25" hidden="false" customHeight="true" outlineLevel="0" collapsed="false">
      <c r="A263" s="32" t="n">
        <v>2010</v>
      </c>
      <c r="B263" s="33" t="s">
        <v>59</v>
      </c>
      <c r="C263" s="35"/>
      <c r="D263" s="35" t="n">
        <v>118.529274734791</v>
      </c>
      <c r="E263" s="35" t="n">
        <v>111.488838</v>
      </c>
      <c r="F263" s="35" t="n">
        <v>113.311004454815</v>
      </c>
      <c r="G263" s="35" t="n">
        <v>42.4901958955224</v>
      </c>
      <c r="H263" s="35" t="n">
        <v>50.6394354925922</v>
      </c>
      <c r="I263" s="35" t="n">
        <v>91.7504766204366</v>
      </c>
      <c r="J263" s="36" t="n">
        <f aca="false">F263-E263</f>
        <v>1.82216645481543</v>
      </c>
      <c r="K263" s="36" t="n">
        <v>160.727089889983</v>
      </c>
      <c r="L263" s="36" t="n">
        <v>257.450419229581</v>
      </c>
      <c r="M263" s="34"/>
      <c r="N263" s="39" t="n">
        <f aca="false">(Typical_retail_prices_of_petroleum_products_and_a_crude_oil_price_index_monthly[[#This Row],[Month]]&amp;" "&amp;Typical_retail_prices_of_petroleum_products_and_a_crude_oil_price_index_monthly[[#This Row],[Year]])*1</f>
        <v>40179</v>
      </c>
    </row>
    <row r="264" customFormat="false" ht="14.25" hidden="false" customHeight="true" outlineLevel="0" collapsed="false">
      <c r="A264" s="32" t="n">
        <v>2010</v>
      </c>
      <c r="B264" s="33" t="s">
        <v>60</v>
      </c>
      <c r="C264" s="35"/>
      <c r="D264" s="35" t="n">
        <v>118.528491015371</v>
      </c>
      <c r="E264" s="35" t="n">
        <v>111.645945</v>
      </c>
      <c r="F264" s="35" t="n">
        <v>113.384981968604</v>
      </c>
      <c r="G264" s="35" t="n">
        <v>43.1983208955224</v>
      </c>
      <c r="H264" s="35" t="n">
        <v>50.045117335352</v>
      </c>
      <c r="I264" s="35" t="n">
        <v>92.7178938276414</v>
      </c>
      <c r="J264" s="36" t="n">
        <f aca="false">F264-E264</f>
        <v>1.73903696860417</v>
      </c>
      <c r="K264" s="36" t="n">
        <v>162.241241715613</v>
      </c>
      <c r="L264" s="34"/>
      <c r="M264" s="34"/>
      <c r="N264" s="39" t="n">
        <f aca="false">(Typical_retail_prices_of_petroleum_products_and_a_crude_oil_price_index_monthly[[#This Row],[Month]]&amp;" "&amp;Typical_retail_prices_of_petroleum_products_and_a_crude_oil_price_index_monthly[[#This Row],[Year]])*1</f>
        <v>40210</v>
      </c>
    </row>
    <row r="265" customFormat="false" ht="14.25" hidden="false" customHeight="true" outlineLevel="0" collapsed="false">
      <c r="A265" s="32" t="n">
        <v>2010</v>
      </c>
      <c r="B265" s="33" t="s">
        <v>61</v>
      </c>
      <c r="C265" s="35"/>
      <c r="D265" s="35" t="n">
        <v>121.870837843689</v>
      </c>
      <c r="E265" s="35" t="n">
        <v>115.468758</v>
      </c>
      <c r="F265" s="35" t="n">
        <v>116.204581035214</v>
      </c>
      <c r="G265" s="35" t="n">
        <v>45.1176399253731</v>
      </c>
      <c r="H265" s="35" t="n">
        <v>52.5018189683141</v>
      </c>
      <c r="I265" s="35" t="n">
        <v>101.823069931305</v>
      </c>
      <c r="J265" s="36" t="n">
        <f aca="false">F265-E265</f>
        <v>0.735823035214281</v>
      </c>
      <c r="K265" s="36" t="n">
        <v>178.220820303109</v>
      </c>
      <c r="L265" s="34"/>
      <c r="M265" s="34"/>
      <c r="N265" s="39" t="n">
        <f aca="false">(Typical_retail_prices_of_petroleum_products_and_a_crude_oil_price_index_monthly[[#This Row],[Month]]&amp;" "&amp;Typical_retail_prices_of_petroleum_products_and_a_crude_oil_price_index_monthly[[#This Row],[Year]])*1</f>
        <v>40238</v>
      </c>
    </row>
    <row r="266" customFormat="false" ht="14.25" hidden="false" customHeight="true" outlineLevel="0" collapsed="false">
      <c r="A266" s="32" t="n">
        <v>2010</v>
      </c>
      <c r="B266" s="33" t="s">
        <v>62</v>
      </c>
      <c r="C266" s="35"/>
      <c r="D266" s="35" t="n">
        <v>126.097809049578</v>
      </c>
      <c r="E266" s="35" t="n">
        <v>119.802992</v>
      </c>
      <c r="F266" s="35" t="n">
        <v>120.985505939754</v>
      </c>
      <c r="G266" s="35" t="n">
        <v>46.682493336887</v>
      </c>
      <c r="H266" s="35" t="n">
        <v>55.1552514328972</v>
      </c>
      <c r="I266" s="35" t="n">
        <v>106.542311317291</v>
      </c>
      <c r="J266" s="36" t="n">
        <f aca="false">F266-E266</f>
        <v>1.18251393975393</v>
      </c>
      <c r="K266" s="36" t="n">
        <v>186.4096376359</v>
      </c>
      <c r="L266" s="34"/>
      <c r="M266" s="34"/>
      <c r="N266" s="39" t="n">
        <f aca="false">(Typical_retail_prices_of_petroleum_products_and_a_crude_oil_price_index_monthly[[#This Row],[Month]]&amp;" "&amp;Typical_retail_prices_of_petroleum_products_and_a_crude_oil_price_index_monthly[[#This Row],[Year]])*1</f>
        <v>40269</v>
      </c>
    </row>
    <row r="267" customFormat="false" ht="14.25" hidden="false" customHeight="true" outlineLevel="0" collapsed="false">
      <c r="A267" s="32" t="n">
        <v>2010</v>
      </c>
      <c r="B267" s="33" t="s">
        <v>63</v>
      </c>
      <c r="C267" s="35"/>
      <c r="D267" s="35" t="n">
        <v>127.080878978134</v>
      </c>
      <c r="E267" s="35" t="n">
        <v>121.179187</v>
      </c>
      <c r="F267" s="35" t="n">
        <v>122.753720831566</v>
      </c>
      <c r="G267" s="35" t="n">
        <v>47.413579424307</v>
      </c>
      <c r="H267" s="35" t="n">
        <v>56.4289131610252</v>
      </c>
      <c r="I267" s="35" t="n">
        <v>99.6262898493925</v>
      </c>
      <c r="J267" s="36" t="n">
        <f aca="false">F267-E267</f>
        <v>1.57453383156555</v>
      </c>
      <c r="K267" s="36" t="n">
        <v>174.209309013261</v>
      </c>
      <c r="L267" s="34"/>
      <c r="M267" s="34"/>
      <c r="N267" s="39" t="n">
        <f aca="false">(Typical_retail_prices_of_petroleum_products_and_a_crude_oil_price_index_monthly[[#This Row],[Month]]&amp;" "&amp;Typical_retail_prices_of_petroleum_products_and_a_crude_oil_price_index_monthly[[#This Row],[Year]])*1</f>
        <v>40299</v>
      </c>
    </row>
    <row r="268" customFormat="false" ht="14.25" hidden="false" customHeight="true" outlineLevel="0" collapsed="false">
      <c r="A268" s="32" t="n">
        <v>2010</v>
      </c>
      <c r="B268" s="33" t="s">
        <v>64</v>
      </c>
      <c r="C268" s="35"/>
      <c r="D268" s="35" t="n">
        <v>124.852208270188</v>
      </c>
      <c r="E268" s="35" t="n">
        <v>117.700876</v>
      </c>
      <c r="F268" s="35" t="n">
        <v>120.116710861264</v>
      </c>
      <c r="G268" s="35" t="n">
        <v>46.7521868336887</v>
      </c>
      <c r="H268" s="35" t="n">
        <v>55.3099383583865</v>
      </c>
      <c r="I268" s="35" t="n">
        <v>98.161653692308</v>
      </c>
      <c r="J268" s="36" t="n">
        <f aca="false">F268-E268</f>
        <v>2.41583486126433</v>
      </c>
      <c r="K268" s="36" t="n">
        <v>171.753538174024</v>
      </c>
      <c r="L268" s="34"/>
      <c r="M268" s="34"/>
      <c r="N268" s="39" t="n">
        <f aca="false">(Typical_retail_prices_of_petroleum_products_and_a_crude_oil_price_index_monthly[[#This Row],[Month]]&amp;" "&amp;Typical_retail_prices_of_petroleum_products_and_a_crude_oil_price_index_monthly[[#This Row],[Year]])*1</f>
        <v>40330</v>
      </c>
    </row>
    <row r="269" customFormat="false" ht="14.25" hidden="false" customHeight="true" outlineLevel="0" collapsed="false">
      <c r="A269" s="32" t="n">
        <v>2010</v>
      </c>
      <c r="B269" s="33" t="s">
        <v>65</v>
      </c>
      <c r="C269" s="35"/>
      <c r="D269" s="35" t="n">
        <v>124.53616150682</v>
      </c>
      <c r="E269" s="35" t="n">
        <v>117.22383</v>
      </c>
      <c r="F269" s="35" t="n">
        <v>119.66200572762</v>
      </c>
      <c r="G269" s="35" t="n">
        <v>44.4538179637527</v>
      </c>
      <c r="H269" s="35" t="n">
        <v>53.3235892721964</v>
      </c>
      <c r="I269" s="35" t="n">
        <v>96.4232897049162</v>
      </c>
      <c r="J269" s="36" t="n">
        <f aca="false">F269-E269</f>
        <v>2.43817572761985</v>
      </c>
      <c r="K269" s="36" t="n">
        <v>168.884817269254</v>
      </c>
      <c r="L269" s="34"/>
      <c r="M269" s="34"/>
      <c r="N269" s="39" t="n">
        <f aca="false">(Typical_retail_prices_of_petroleum_products_and_a_crude_oil_price_index_monthly[[#This Row],[Month]]&amp;" "&amp;Typical_retail_prices_of_petroleum_products_and_a_crude_oil_price_index_monthly[[#This Row],[Year]])*1</f>
        <v>40360</v>
      </c>
    </row>
    <row r="270" customFormat="false" ht="14.25" hidden="false" customHeight="true" outlineLevel="0" collapsed="false">
      <c r="A270" s="32" t="n">
        <v>2010</v>
      </c>
      <c r="B270" s="33" t="s">
        <v>66</v>
      </c>
      <c r="C270" s="35"/>
      <c r="D270" s="35" t="n">
        <v>123.156598830916</v>
      </c>
      <c r="E270" s="35" t="n">
        <v>116.195155</v>
      </c>
      <c r="F270" s="35" t="n">
        <v>118.686003394145</v>
      </c>
      <c r="G270" s="35" t="n">
        <v>44.1844389658849</v>
      </c>
      <c r="H270" s="35" t="n">
        <v>52.8888374607981</v>
      </c>
      <c r="I270" s="35" t="n">
        <v>97.073203724403</v>
      </c>
      <c r="J270" s="36" t="n">
        <f aca="false">F270-E270</f>
        <v>2.4908483941451</v>
      </c>
      <c r="K270" s="36" t="n">
        <v>169.629005542386</v>
      </c>
      <c r="L270" s="34"/>
      <c r="M270" s="34"/>
      <c r="N270" s="39" t="n">
        <f aca="false">(Typical_retail_prices_of_petroleum_products_and_a_crude_oil_price_index_monthly[[#This Row],[Month]]&amp;" "&amp;Typical_retail_prices_of_petroleum_products_and_a_crude_oil_price_index_monthly[[#This Row],[Year]])*1</f>
        <v>40391</v>
      </c>
    </row>
    <row r="271" customFormat="false" ht="14.25" hidden="false" customHeight="true" outlineLevel="0" collapsed="false">
      <c r="A271" s="32" t="n">
        <v>2010</v>
      </c>
      <c r="B271" s="33" t="s">
        <v>67</v>
      </c>
      <c r="C271" s="35"/>
      <c r="D271" s="35" t="n">
        <v>121.872359818142</v>
      </c>
      <c r="E271" s="35" t="n">
        <v>114.614573</v>
      </c>
      <c r="F271" s="35" t="n">
        <v>117.179706194315</v>
      </c>
      <c r="G271" s="35" t="n">
        <v>42.9268270255864</v>
      </c>
      <c r="H271" s="35" t="n">
        <v>52.9895252514329</v>
      </c>
      <c r="I271" s="35" t="n">
        <v>97.1572810347027</v>
      </c>
      <c r="J271" s="36" t="n">
        <f aca="false">F271-E271</f>
        <v>2.56513319431484</v>
      </c>
      <c r="K271" s="36" t="n">
        <v>169.983878624141</v>
      </c>
      <c r="L271" s="34"/>
      <c r="M271" s="34"/>
      <c r="N271" s="39" t="n">
        <f aca="false">(Typical_retail_prices_of_petroleum_products_and_a_crude_oil_price_index_monthly[[#This Row],[Month]]&amp;" "&amp;Typical_retail_prices_of_petroleum_products_and_a_crude_oil_price_index_monthly[[#This Row],[Year]])*1</f>
        <v>40422</v>
      </c>
    </row>
    <row r="272" customFormat="false" ht="14.25" hidden="false" customHeight="true" outlineLevel="0" collapsed="false">
      <c r="A272" s="32" t="n">
        <v>2010</v>
      </c>
      <c r="B272" s="33" t="s">
        <v>68</v>
      </c>
      <c r="C272" s="35"/>
      <c r="D272" s="35" t="n">
        <v>124.648898029877</v>
      </c>
      <c r="E272" s="35" t="n">
        <v>117.202106</v>
      </c>
      <c r="F272" s="35" t="n">
        <v>120.589793169283</v>
      </c>
      <c r="G272" s="35" t="n">
        <v>45.3019629530917</v>
      </c>
      <c r="H272" s="35" t="n">
        <v>54.8269319779388</v>
      </c>
      <c r="I272" s="35" t="n">
        <v>101.569322761035</v>
      </c>
      <c r="J272" s="36" t="n">
        <f aca="false">F272-E272</f>
        <v>3.38768716928298</v>
      </c>
      <c r="K272" s="36" t="n">
        <v>177.702669076871</v>
      </c>
      <c r="L272" s="34"/>
      <c r="M272" s="34"/>
      <c r="N272" s="39" t="n">
        <f aca="false">(Typical_retail_prices_of_petroleum_products_and_a_crude_oil_price_index_monthly[[#This Row],[Month]]&amp;" "&amp;Typical_retail_prices_of_petroleum_products_and_a_crude_oil_price_index_monthly[[#This Row],[Year]])*1</f>
        <v>40452</v>
      </c>
    </row>
    <row r="273" customFormat="false" ht="14.25" hidden="false" customHeight="true" outlineLevel="0" collapsed="false">
      <c r="A273" s="32" t="n">
        <v>2010</v>
      </c>
      <c r="B273" s="33" t="s">
        <v>69</v>
      </c>
      <c r="C273" s="35"/>
      <c r="D273" s="35" t="n">
        <v>125.972591470015</v>
      </c>
      <c r="E273" s="35" t="n">
        <v>118.701851</v>
      </c>
      <c r="F273" s="35" t="n">
        <v>122.469788926602</v>
      </c>
      <c r="G273" s="35" t="n">
        <v>46.6454371002132</v>
      </c>
      <c r="H273" s="35" t="n">
        <v>55.7861317183952</v>
      </c>
      <c r="I273" s="35" t="n">
        <v>104.043085289632</v>
      </c>
      <c r="J273" s="36" t="n">
        <f aca="false">F273-E273</f>
        <v>3.76793792660163</v>
      </c>
      <c r="K273" s="36" t="n">
        <v>181.895401205878</v>
      </c>
      <c r="L273" s="34"/>
      <c r="M273" s="34"/>
      <c r="N273" s="39" t="n">
        <f aca="false">(Typical_retail_prices_of_petroleum_products_and_a_crude_oil_price_index_monthly[[#This Row],[Month]]&amp;" "&amp;Typical_retail_prices_of_petroleum_products_and_a_crude_oil_price_index_monthly[[#This Row],[Year]])*1</f>
        <v>40483</v>
      </c>
    </row>
    <row r="274" customFormat="false" ht="14.25" hidden="false" customHeight="true" outlineLevel="0" collapsed="false">
      <c r="A274" s="32" t="n">
        <v>2010</v>
      </c>
      <c r="B274" s="33" t="s">
        <v>70</v>
      </c>
      <c r="C274" s="35"/>
      <c r="D274" s="35" t="n">
        <v>128.856252435592</v>
      </c>
      <c r="E274" s="35" t="n">
        <v>121.606741</v>
      </c>
      <c r="F274" s="35" t="n">
        <v>125.759727407722</v>
      </c>
      <c r="G274" s="35" t="n">
        <v>50.2484501599147</v>
      </c>
      <c r="H274" s="35" t="n">
        <v>59.8195144371147</v>
      </c>
      <c r="I274" s="35" t="n">
        <v>113.112122246937</v>
      </c>
      <c r="J274" s="36" t="n">
        <f aca="false">F274-E274</f>
        <v>4.15298640772166</v>
      </c>
      <c r="K274" s="36" t="n">
        <v>197.97121988702</v>
      </c>
      <c r="L274" s="34"/>
      <c r="M274" s="34"/>
      <c r="N274" s="39" t="n">
        <f aca="false">(Typical_retail_prices_of_petroleum_products_and_a_crude_oil_price_index_monthly[[#This Row],[Month]]&amp;" "&amp;Typical_retail_prices_of_petroleum_products_and_a_crude_oil_price_index_monthly[[#This Row],[Year]])*1</f>
        <v>40513</v>
      </c>
    </row>
    <row r="275" customFormat="false" ht="14.25" hidden="false" customHeight="true" outlineLevel="0" collapsed="false">
      <c r="A275" s="32" t="n">
        <v>2011</v>
      </c>
      <c r="B275" s="33" t="s">
        <v>59</v>
      </c>
      <c r="C275" s="35"/>
      <c r="D275" s="35" t="n">
        <v>134.832841677943</v>
      </c>
      <c r="E275" s="35" t="n">
        <v>127.525715900303</v>
      </c>
      <c r="F275" s="35" t="n">
        <v>132.077854017832</v>
      </c>
      <c r="G275" s="35" t="n">
        <v>55.1367143674871</v>
      </c>
      <c r="H275" s="35" t="n">
        <v>61.9015475704369</v>
      </c>
      <c r="I275" s="35" t="n">
        <v>119.785876579004</v>
      </c>
      <c r="J275" s="36" t="n">
        <f aca="false">F275-E275</f>
        <v>4.552138117529</v>
      </c>
      <c r="K275" s="36" t="n">
        <v>209.886909515553</v>
      </c>
      <c r="L275" s="37"/>
      <c r="M275" s="46"/>
      <c r="N275" s="39" t="n">
        <f aca="false">(Typical_retail_prices_of_petroleum_products_and_a_crude_oil_price_index_monthly[[#This Row],[Month]]&amp;" "&amp;Typical_retail_prices_of_petroleum_products_and_a_crude_oil_price_index_monthly[[#This Row],[Year]])*1</f>
        <v>40544</v>
      </c>
    </row>
    <row r="276" customFormat="false" ht="14.25" hidden="false" customHeight="true" outlineLevel="0" collapsed="false">
      <c r="A276" s="32" t="n">
        <v>2011</v>
      </c>
      <c r="B276" s="33" t="s">
        <v>60</v>
      </c>
      <c r="C276" s="35"/>
      <c r="D276" s="35" t="n">
        <v>135.342801082544</v>
      </c>
      <c r="E276" s="35" t="n">
        <v>128.366085301291</v>
      </c>
      <c r="F276" s="35" t="n">
        <v>133.445714127485</v>
      </c>
      <c r="G276" s="35" t="n">
        <v>55.5978110480124</v>
      </c>
      <c r="H276" s="35" t="n">
        <v>64.1883037156704</v>
      </c>
      <c r="I276" s="35" t="n">
        <v>124.953096839675</v>
      </c>
      <c r="J276" s="36" t="n">
        <f aca="false">F276-E276</f>
        <v>5.0796288261943</v>
      </c>
      <c r="K276" s="36" t="n">
        <v>218.137994628048</v>
      </c>
      <c r="L276" s="37"/>
      <c r="M276" s="46"/>
      <c r="N276" s="39" t="n">
        <f aca="false">(Typical_retail_prices_of_petroleum_products_and_a_crude_oil_price_index_monthly[[#This Row],[Month]]&amp;" "&amp;Typical_retail_prices_of_petroleum_products_and_a_crude_oil_price_index_monthly[[#This Row],[Year]])*1</f>
        <v>40575</v>
      </c>
    </row>
    <row r="277" customFormat="false" ht="14.25" hidden="false" customHeight="true" outlineLevel="0" collapsed="false">
      <c r="A277" s="32" t="n">
        <v>2011</v>
      </c>
      <c r="B277" s="33" t="s">
        <v>61</v>
      </c>
      <c r="C277" s="35"/>
      <c r="D277" s="35" t="n">
        <v>137.939648173207</v>
      </c>
      <c r="E277" s="35" t="n">
        <v>131.892385937779</v>
      </c>
      <c r="F277" s="35" t="n">
        <v>138.126280666777</v>
      </c>
      <c r="G277" s="35" t="n">
        <v>57.5969798657718</v>
      </c>
      <c r="H277" s="35" t="n">
        <v>67.1060662358643</v>
      </c>
      <c r="I277" s="35" t="n">
        <v>137.03941775775</v>
      </c>
      <c r="J277" s="36" t="n">
        <f aca="false">F277-E277</f>
        <v>6.23389472899856</v>
      </c>
      <c r="K277" s="36" t="n">
        <v>239.721893975765</v>
      </c>
      <c r="L277" s="37"/>
      <c r="M277" s="46"/>
      <c r="N277" s="39" t="n">
        <f aca="false">(Typical_retail_prices_of_petroleum_products_and_a_crude_oil_price_index_monthly[[#This Row],[Month]]&amp;" "&amp;Typical_retail_prices_of_petroleum_products_and_a_crude_oil_price_index_monthly[[#This Row],[Year]])*1</f>
        <v>40603</v>
      </c>
    </row>
    <row r="278" customFormat="false" ht="14.25" hidden="false" customHeight="true" outlineLevel="0" collapsed="false">
      <c r="A278" s="32" t="n">
        <v>2011</v>
      </c>
      <c r="B278" s="33" t="s">
        <v>62</v>
      </c>
      <c r="C278" s="35"/>
      <c r="D278" s="35" t="n">
        <v>141.802124492558</v>
      </c>
      <c r="E278" s="35" t="n">
        <v>134.74220569865</v>
      </c>
      <c r="F278" s="35" t="n">
        <v>141.122781192889</v>
      </c>
      <c r="G278" s="35" t="n">
        <v>61.2082343830666</v>
      </c>
      <c r="H278" s="35" t="n">
        <v>71.337366720517</v>
      </c>
      <c r="I278" s="35" t="n">
        <v>147.781178350364</v>
      </c>
      <c r="J278" s="36" t="n">
        <f aca="false">F278-E278</f>
        <v>6.38057549423945</v>
      </c>
      <c r="K278" s="36" t="n">
        <v>258.430434979397</v>
      </c>
      <c r="L278" s="37"/>
      <c r="M278" s="46"/>
      <c r="N278" s="39" t="n">
        <f aca="false">(Typical_retail_prices_of_petroleum_products_and_a_crude_oil_price_index_monthly[[#This Row],[Month]]&amp;" "&amp;Typical_retail_prices_of_petroleum_products_and_a_crude_oil_price_index_monthly[[#This Row],[Year]])*1</f>
        <v>40634</v>
      </c>
    </row>
    <row r="279" customFormat="false" ht="14.25" hidden="false" customHeight="true" outlineLevel="0" collapsed="false">
      <c r="A279" s="32" t="n">
        <v>2011</v>
      </c>
      <c r="B279" s="33" t="s">
        <v>63</v>
      </c>
      <c r="C279" s="35"/>
      <c r="D279" s="35" t="n">
        <v>144.363910690122</v>
      </c>
      <c r="E279" s="35" t="n">
        <v>136.706065076438</v>
      </c>
      <c r="F279" s="35" t="n">
        <v>141.507273633494</v>
      </c>
      <c r="G279" s="35" t="n">
        <v>60.4126690758906</v>
      </c>
      <c r="H279" s="35" t="n">
        <v>69.1328634894992</v>
      </c>
      <c r="I279" s="35" t="n">
        <v>137.054728812889</v>
      </c>
      <c r="J279" s="36" t="n">
        <f aca="false">F279-E279</f>
        <v>4.80120855705587</v>
      </c>
      <c r="K279" s="36" t="n">
        <v>239.879669049691</v>
      </c>
      <c r="L279" s="37"/>
      <c r="M279" s="46"/>
      <c r="N279" s="39" t="n">
        <f aca="false">(Typical_retail_prices_of_petroleum_products_and_a_crude_oil_price_index_monthly[[#This Row],[Month]]&amp;" "&amp;Typical_retail_prices_of_petroleum_products_and_a_crude_oil_price_index_monthly[[#This Row],[Year]])*1</f>
        <v>40664</v>
      </c>
    </row>
    <row r="280" customFormat="false" ht="14.25" hidden="false" customHeight="true" outlineLevel="0" collapsed="false">
      <c r="A280" s="32" t="n">
        <v>2011</v>
      </c>
      <c r="B280" s="33" t="s">
        <v>64</v>
      </c>
      <c r="C280" s="35"/>
      <c r="D280" s="35" t="n">
        <v>142.800473612991</v>
      </c>
      <c r="E280" s="35" t="n">
        <v>135.564746297067</v>
      </c>
      <c r="F280" s="35" t="n">
        <v>139.642350888852</v>
      </c>
      <c r="G280" s="35" t="n">
        <v>58.8359370160041</v>
      </c>
      <c r="H280" s="35" t="n">
        <v>68.122746365105</v>
      </c>
      <c r="I280" s="35" t="n">
        <v>138.067777810404</v>
      </c>
      <c r="J280" s="36" t="n">
        <f aca="false">F280-E280</f>
        <v>4.07760459178459</v>
      </c>
      <c r="K280" s="36" t="n">
        <v>241.70110675096</v>
      </c>
      <c r="L280" s="37"/>
      <c r="M280" s="46"/>
      <c r="N280" s="39" t="n">
        <f aca="false">(Typical_retail_prices_of_petroleum_products_and_a_crude_oil_price_index_monthly[[#This Row],[Month]]&amp;" "&amp;Typical_retail_prices_of_petroleum_products_and_a_crude_oil_price_index_monthly[[#This Row],[Year]])*1</f>
        <v>40695</v>
      </c>
    </row>
    <row r="281" customFormat="false" ht="14.25" hidden="false" customHeight="true" outlineLevel="0" collapsed="false">
      <c r="A281" s="32" t="n">
        <v>2011</v>
      </c>
      <c r="B281" s="33" t="s">
        <v>65</v>
      </c>
      <c r="C281" s="35"/>
      <c r="D281" s="35" t="n">
        <v>142.922395128552</v>
      </c>
      <c r="E281" s="35" t="n">
        <v>135.106125156148</v>
      </c>
      <c r="F281" s="35" t="n">
        <v>139.42141607133</v>
      </c>
      <c r="G281" s="35" t="n">
        <v>58.6359886422303</v>
      </c>
      <c r="H281" s="35" t="n">
        <v>68.5865953150242</v>
      </c>
      <c r="I281" s="35" t="n">
        <v>139.74873060801</v>
      </c>
      <c r="J281" s="36" t="n">
        <f aca="false">F281-E281</f>
        <v>4.31529091518189</v>
      </c>
      <c r="K281" s="36" t="n">
        <v>244.992219715374</v>
      </c>
      <c r="L281" s="37"/>
      <c r="M281" s="46"/>
      <c r="N281" s="39" t="n">
        <f aca="false">(Typical_retail_prices_of_petroleum_products_and_a_crude_oil_price_index_monthly[[#This Row],[Month]]&amp;" "&amp;Typical_retail_prices_of_petroleum_products_and_a_crude_oil_price_index_monthly[[#This Row],[Year]])*1</f>
        <v>40725</v>
      </c>
    </row>
    <row r="282" customFormat="false" ht="14.25" hidden="false" customHeight="true" outlineLevel="0" collapsed="false">
      <c r="A282" s="32" t="n">
        <v>2011</v>
      </c>
      <c r="B282" s="33" t="s">
        <v>66</v>
      </c>
      <c r="C282" s="35"/>
      <c r="D282" s="35" t="n">
        <v>142.904127198917</v>
      </c>
      <c r="E282" s="35" t="n">
        <v>135.34572601273</v>
      </c>
      <c r="F282" s="35" t="n">
        <v>139.852392423991</v>
      </c>
      <c r="G282" s="35" t="n">
        <v>57.7184254001033</v>
      </c>
      <c r="H282" s="35" t="n">
        <v>68.0142528271406</v>
      </c>
      <c r="I282" s="35" t="n">
        <v>131.951614955722</v>
      </c>
      <c r="J282" s="36" t="n">
        <f aca="false">F282-E282</f>
        <v>4.50666641126097</v>
      </c>
      <c r="K282" s="36" t="n">
        <v>230.908980214118</v>
      </c>
      <c r="L282" s="37"/>
      <c r="M282" s="46"/>
      <c r="N282" s="39" t="n">
        <f aca="false">(Typical_retail_prices_of_petroleum_products_and_a_crude_oil_price_index_monthly[[#This Row],[Month]]&amp;" "&amp;Typical_retail_prices_of_petroleum_products_and_a_crude_oil_price_index_monthly[[#This Row],[Year]])*1</f>
        <v>40756</v>
      </c>
    </row>
    <row r="283" customFormat="false" ht="14.25" hidden="false" customHeight="true" outlineLevel="0" collapsed="false">
      <c r="A283" s="32" t="n">
        <v>2011</v>
      </c>
      <c r="B283" s="33" t="s">
        <v>67</v>
      </c>
      <c r="C283" s="35"/>
      <c r="D283" s="35" t="n">
        <v>142.009607577808</v>
      </c>
      <c r="E283" s="35" t="n">
        <v>134.749922074832</v>
      </c>
      <c r="F283" s="35" t="n">
        <v>139.150424766019</v>
      </c>
      <c r="G283" s="35" t="n">
        <v>57.0604233350542</v>
      </c>
      <c r="H283" s="35" t="n">
        <v>67.9649030694669</v>
      </c>
      <c r="I283" s="35" t="n">
        <v>140.399908456773</v>
      </c>
      <c r="J283" s="36" t="n">
        <f aca="false">F283-E283</f>
        <v>4.40050269118672</v>
      </c>
      <c r="K283" s="36" t="n">
        <v>245.738275022908</v>
      </c>
      <c r="L283" s="37"/>
      <c r="M283" s="46"/>
      <c r="N283" s="39" t="n">
        <f aca="false">(Typical_retail_prices_of_petroleum_products_and_a_crude_oil_price_index_monthly[[#This Row],[Month]]&amp;" "&amp;Typical_retail_prices_of_petroleum_products_and_a_crude_oil_price_index_monthly[[#This Row],[Year]])*1</f>
        <v>40787</v>
      </c>
    </row>
    <row r="284" customFormat="false" ht="14.25" hidden="false" customHeight="true" outlineLevel="0" collapsed="false">
      <c r="A284" s="32" t="n">
        <v>2011</v>
      </c>
      <c r="B284" s="33" t="s">
        <v>68</v>
      </c>
      <c r="C284" s="35"/>
      <c r="D284" s="35" t="n">
        <v>141.542368064953</v>
      </c>
      <c r="E284" s="35" t="n">
        <v>133.965470227827</v>
      </c>
      <c r="F284" s="35" t="n">
        <v>139.366858835909</v>
      </c>
      <c r="G284" s="35" t="n">
        <v>57.4379246257099</v>
      </c>
      <c r="H284" s="35" t="n">
        <v>69.015246365105</v>
      </c>
      <c r="I284" s="35" t="n">
        <v>137.626549777822</v>
      </c>
      <c r="J284" s="36" t="n">
        <f aca="false">F284-E284</f>
        <v>5.40138860808148</v>
      </c>
      <c r="K284" s="36" t="n">
        <v>240.644659318348</v>
      </c>
      <c r="L284" s="37"/>
      <c r="M284" s="46"/>
      <c r="N284" s="39" t="n">
        <f aca="false">(Typical_retail_prices_of_petroleum_products_and_a_crude_oil_price_index_monthly[[#This Row],[Month]]&amp;" "&amp;Typical_retail_prices_of_petroleum_products_and_a_crude_oil_price_index_monthly[[#This Row],[Year]])*1</f>
        <v>40817</v>
      </c>
    </row>
    <row r="285" customFormat="false" ht="14.25" hidden="false" customHeight="true" outlineLevel="0" collapsed="false">
      <c r="A285" s="32" t="n">
        <v>2011</v>
      </c>
      <c r="B285" s="33" t="s">
        <v>69</v>
      </c>
      <c r="C285" s="35"/>
      <c r="D285" s="35" t="n">
        <v>140.68552097429</v>
      </c>
      <c r="E285" s="35" t="n">
        <v>133.175689132116</v>
      </c>
      <c r="F285" s="35" t="n">
        <v>140.254172343136</v>
      </c>
      <c r="G285" s="35" t="n">
        <v>57.9015539494063</v>
      </c>
      <c r="H285" s="35" t="n">
        <v>70.592310177706</v>
      </c>
      <c r="I285" s="35" t="n">
        <v>138.451660857515</v>
      </c>
      <c r="J285" s="36" t="n">
        <f aca="false">F285-E285</f>
        <v>7.07848321101972</v>
      </c>
      <c r="K285" s="36" t="n">
        <v>242.22987588578</v>
      </c>
      <c r="L285" s="37"/>
      <c r="M285" s="46"/>
      <c r="N285" s="39" t="n">
        <f aca="false">(Typical_retail_prices_of_petroleum_products_and_a_crude_oil_price_index_monthly[[#This Row],[Month]]&amp;" "&amp;Typical_retail_prices_of_petroleum_products_and_a_crude_oil_price_index_monthly[[#This Row],[Year]])*1</f>
        <v>40848</v>
      </c>
    </row>
    <row r="286" customFormat="false" ht="14.25" hidden="false" customHeight="true" outlineLevel="0" collapsed="false">
      <c r="A286" s="32" t="n">
        <v>2011</v>
      </c>
      <c r="B286" s="33" t="s">
        <v>70</v>
      </c>
      <c r="C286" s="35"/>
      <c r="D286" s="35" t="n">
        <v>139.741542625169</v>
      </c>
      <c r="E286" s="35" t="n">
        <v>132.085345309619</v>
      </c>
      <c r="F286" s="35" t="n">
        <v>140.62600598106</v>
      </c>
      <c r="G286" s="35" t="n">
        <v>60.587310273619</v>
      </c>
      <c r="H286" s="35" t="n">
        <v>71.2881098546042</v>
      </c>
      <c r="I286" s="35" t="n">
        <v>135.913806987808</v>
      </c>
      <c r="J286" s="36" t="n">
        <f aca="false">F286-E286</f>
        <v>8.54066067144123</v>
      </c>
      <c r="K286" s="36" t="n">
        <v>237.869476931537</v>
      </c>
      <c r="L286" s="37"/>
      <c r="M286" s="46"/>
      <c r="N286" s="39" t="n">
        <f aca="false">(Typical_retail_prices_of_petroleum_products_and_a_crude_oil_price_index_monthly[[#This Row],[Month]]&amp;" "&amp;Typical_retail_prices_of_petroleum_products_and_a_crude_oil_price_index_monthly[[#This Row],[Year]])*1</f>
        <v>40878</v>
      </c>
    </row>
    <row r="287" customFormat="false" ht="14.25" hidden="false" customHeight="true" outlineLevel="0" collapsed="false">
      <c r="A287" s="32" t="n">
        <v>2012</v>
      </c>
      <c r="B287" s="33" t="s">
        <v>59</v>
      </c>
      <c r="C287" s="35"/>
      <c r="D287" s="35" t="n">
        <v>140.395331529093</v>
      </c>
      <c r="E287" s="35" t="n">
        <v>132.887339242163</v>
      </c>
      <c r="F287" s="35" t="n">
        <v>141.344501301434</v>
      </c>
      <c r="G287" s="35" t="n">
        <v>61.0373618998451</v>
      </c>
      <c r="H287" s="35" t="n">
        <v>70.7446324717286</v>
      </c>
      <c r="I287" s="35" t="n">
        <v>137.024009614013</v>
      </c>
      <c r="J287" s="36" t="n">
        <f aca="false">F287-E287</f>
        <v>8.45716205927147</v>
      </c>
      <c r="K287" s="36" t="n">
        <v>239.091235337149</v>
      </c>
      <c r="L287" s="37"/>
      <c r="M287" s="46"/>
      <c r="N287" s="39" t="n">
        <f aca="false">(Typical_retail_prices_of_petroleum_products_and_a_crude_oil_price_index_monthly[[#This Row],[Month]]&amp;" "&amp;Typical_retail_prices_of_petroleum_products_and_a_crude_oil_price_index_monthly[[#This Row],[Year]])*1</f>
        <v>40909</v>
      </c>
    </row>
    <row r="288" customFormat="false" ht="14.25" hidden="false" customHeight="true" outlineLevel="0" collapsed="false">
      <c r="A288" s="32" t="n">
        <v>2012</v>
      </c>
      <c r="B288" s="33" t="s">
        <v>60</v>
      </c>
      <c r="C288" s="35"/>
      <c r="D288" s="35" t="n">
        <v>141.815101488498</v>
      </c>
      <c r="E288" s="35" t="n">
        <v>134.557365415502</v>
      </c>
      <c r="F288" s="35" t="n">
        <v>142.56475161987</v>
      </c>
      <c r="G288" s="35" t="n">
        <v>61.5182756840475</v>
      </c>
      <c r="H288" s="35" t="n">
        <v>71.3390064620355</v>
      </c>
      <c r="I288" s="35" t="n">
        <v>146.26105755012</v>
      </c>
      <c r="J288" s="36" t="n">
        <f aca="false">F288-E288</f>
        <v>8.0073862043686</v>
      </c>
      <c r="K288" s="36" t="n">
        <v>256.05768266966</v>
      </c>
      <c r="L288" s="37"/>
      <c r="M288" s="46"/>
      <c r="N288" s="39" t="n">
        <f aca="false">(Typical_retail_prices_of_petroleum_products_and_a_crude_oil_price_index_monthly[[#This Row],[Month]]&amp;" "&amp;Typical_retail_prices_of_petroleum_products_and_a_crude_oil_price_index_monthly[[#This Row],[Year]])*1</f>
        <v>40940</v>
      </c>
    </row>
    <row r="289" customFormat="false" ht="14.25" hidden="false" customHeight="true" outlineLevel="0" collapsed="false">
      <c r="A289" s="32" t="n">
        <v>2012</v>
      </c>
      <c r="B289" s="33" t="s">
        <v>61</v>
      </c>
      <c r="C289" s="35"/>
      <c r="D289" s="35" t="n">
        <v>144.899039242219</v>
      </c>
      <c r="E289" s="35" t="n">
        <v>137.672366902623</v>
      </c>
      <c r="F289" s="35" t="n">
        <v>145.043761422163</v>
      </c>
      <c r="G289" s="35" t="n">
        <v>63.2750482132728</v>
      </c>
      <c r="H289" s="35" t="n">
        <v>73.6850217391304</v>
      </c>
      <c r="I289" s="35" t="n">
        <v>155.067833116596</v>
      </c>
      <c r="J289" s="36" t="n">
        <f aca="false">F289-E289</f>
        <v>7.37139451953985</v>
      </c>
      <c r="K289" s="36" t="n">
        <v>270.969044476126</v>
      </c>
      <c r="L289" s="37"/>
      <c r="M289" s="46"/>
      <c r="N289" s="39" t="n">
        <f aca="false">(Typical_retail_prices_of_petroleum_products_and_a_crude_oil_price_index_monthly[[#This Row],[Month]]&amp;" "&amp;Typical_retail_prices_of_petroleum_products_and_a_crude_oil_price_index_monthly[[#This Row],[Year]])*1</f>
        <v>40969</v>
      </c>
    </row>
    <row r="290" customFormat="false" ht="14.25" hidden="false" customHeight="true" outlineLevel="0" collapsed="false">
      <c r="A290" s="32" t="n">
        <v>2012</v>
      </c>
      <c r="B290" s="33" t="s">
        <v>62</v>
      </c>
      <c r="C290" s="35"/>
      <c r="D290" s="35" t="n">
        <v>148.849769959405</v>
      </c>
      <c r="E290" s="35" t="n">
        <v>141.738424246029</v>
      </c>
      <c r="F290" s="35" t="n">
        <v>147.78288032342</v>
      </c>
      <c r="G290" s="35" t="n">
        <v>64.4</v>
      </c>
      <c r="H290" s="35" t="n">
        <v>74.59</v>
      </c>
      <c r="I290" s="35" t="n">
        <v>147.243230647508</v>
      </c>
      <c r="J290" s="36" t="n">
        <f aca="false">F290-E290</f>
        <v>6.04445607739086</v>
      </c>
      <c r="K290" s="36" t="n">
        <v>257.616287471472</v>
      </c>
      <c r="L290" s="37"/>
      <c r="M290" s="46"/>
      <c r="N290" s="39" t="n">
        <f aca="false">(Typical_retail_prices_of_petroleum_products_and_a_crude_oil_price_index_monthly[[#This Row],[Month]]&amp;" "&amp;Typical_retail_prices_of_petroleum_products_and_a_crude_oil_price_index_monthly[[#This Row],[Year]])*1</f>
        <v>41000</v>
      </c>
    </row>
    <row r="291" customFormat="false" ht="14.25" hidden="false" customHeight="true" outlineLevel="0" collapsed="false">
      <c r="A291" s="32" t="n">
        <v>2012</v>
      </c>
      <c r="B291" s="33" t="s">
        <v>63</v>
      </c>
      <c r="C291" s="35"/>
      <c r="D291" s="35" t="n">
        <v>145.361590245936</v>
      </c>
      <c r="E291" s="35" t="n">
        <v>137.676405</v>
      </c>
      <c r="F291" s="35" t="n">
        <v>144.010902059267</v>
      </c>
      <c r="G291" s="35" t="n">
        <v>59.0992892342684</v>
      </c>
      <c r="H291" s="35" t="n">
        <v>69.8884030784031</v>
      </c>
      <c r="I291" s="35" t="n">
        <v>136.484620177395</v>
      </c>
      <c r="J291" s="36" t="n">
        <f aca="false">F291-E291</f>
        <v>6.33449705926671</v>
      </c>
      <c r="K291" s="36" t="n">
        <v>238.347897111691</v>
      </c>
      <c r="L291" s="37"/>
      <c r="M291" s="46"/>
      <c r="N291" s="39" t="n">
        <f aca="false">(Typical_retail_prices_of_petroleum_products_and_a_crude_oil_price_index_monthly[[#This Row],[Month]]&amp;" "&amp;Typical_retail_prices_of_petroleum_products_and_a_crude_oil_price_index_monthly[[#This Row],[Year]])*1</f>
        <v>41030</v>
      </c>
    </row>
    <row r="292" customFormat="false" ht="14.25" hidden="false" customHeight="true" outlineLevel="0" collapsed="false">
      <c r="A292" s="32" t="n">
        <v>2012</v>
      </c>
      <c r="B292" s="33" t="s">
        <v>64</v>
      </c>
      <c r="C292" s="35"/>
      <c r="D292" s="35" t="n">
        <v>139.361398499375</v>
      </c>
      <c r="E292" s="35" t="n">
        <v>131.634916</v>
      </c>
      <c r="F292" s="35" t="n">
        <v>137.437491712707</v>
      </c>
      <c r="G292" s="35" t="n">
        <v>54.5008188021228</v>
      </c>
      <c r="H292" s="35" t="n">
        <v>65.5946208112875</v>
      </c>
      <c r="I292" s="35" t="n">
        <v>120.295791278233</v>
      </c>
      <c r="J292" s="36" t="n">
        <f aca="false">F292-E292</f>
        <v>5.80257571270721</v>
      </c>
      <c r="K292" s="36" t="n">
        <v>210.466358955093</v>
      </c>
      <c r="L292" s="37"/>
      <c r="M292" s="46"/>
      <c r="N292" s="39" t="n">
        <f aca="false">(Typical_retail_prices_of_petroleum_products_and_a_crude_oil_price_index_monthly[[#This Row],[Month]]&amp;" "&amp;Typical_retail_prices_of_petroleum_products_and_a_crude_oil_price_index_monthly[[#This Row],[Year]])*1</f>
        <v>41061</v>
      </c>
    </row>
    <row r="293" customFormat="false" ht="14.25" hidden="false" customHeight="true" outlineLevel="0" collapsed="false">
      <c r="A293" s="32" t="n">
        <v>2012</v>
      </c>
      <c r="B293" s="33" t="s">
        <v>65</v>
      </c>
      <c r="C293" s="35"/>
      <c r="D293" s="35" t="n">
        <v>138.441054606086</v>
      </c>
      <c r="E293" s="35" t="n">
        <v>131.084754</v>
      </c>
      <c r="F293" s="35" t="n">
        <v>136.592484178805</v>
      </c>
      <c r="G293" s="35" t="n">
        <v>53.740513646702</v>
      </c>
      <c r="H293" s="35" t="n">
        <v>67.335342312009</v>
      </c>
      <c r="I293" s="35" t="n">
        <v>125.407781483836</v>
      </c>
      <c r="J293" s="36" t="n">
        <f aca="false">F293-E293</f>
        <v>5.50773017880462</v>
      </c>
      <c r="K293" s="36" t="n">
        <v>219.735728176615</v>
      </c>
      <c r="L293" s="37"/>
      <c r="M293" s="46"/>
      <c r="N293" s="39" t="n">
        <f aca="false">(Typical_retail_prices_of_petroleum_products_and_a_crude_oil_price_index_monthly[[#This Row],[Month]]&amp;" "&amp;Typical_retail_prices_of_petroleum_products_and_a_crude_oil_price_index_monthly[[#This Row],[Year]])*1</f>
        <v>41091</v>
      </c>
    </row>
    <row r="294" customFormat="false" ht="14.25" hidden="false" customHeight="true" outlineLevel="0" collapsed="false">
      <c r="A294" s="32" t="n">
        <v>2012</v>
      </c>
      <c r="B294" s="33" t="s">
        <v>66</v>
      </c>
      <c r="C294" s="35"/>
      <c r="D294" s="35" t="n">
        <v>141.594755106294</v>
      </c>
      <c r="E294" s="35" t="n">
        <v>134.13443</v>
      </c>
      <c r="F294" s="35" t="n">
        <v>139.405459568056</v>
      </c>
      <c r="G294" s="35" t="n">
        <v>57.8718328278999</v>
      </c>
      <c r="H294" s="35" t="n">
        <v>71.0628298861632</v>
      </c>
      <c r="I294" s="35" t="n">
        <v>137.085354113543</v>
      </c>
      <c r="J294" s="36" t="n">
        <f aca="false">F294-E294</f>
        <v>5.27102956805626</v>
      </c>
      <c r="K294" s="36" t="n">
        <v>240.65948995657</v>
      </c>
      <c r="L294" s="37"/>
      <c r="M294" s="46"/>
      <c r="N294" s="39" t="n">
        <f aca="false">(Typical_retail_prices_of_petroleum_products_and_a_crude_oil_price_index_monthly[[#This Row],[Month]]&amp;" "&amp;Typical_retail_prices_of_petroleum_products_and_a_crude_oil_price_index_monthly[[#This Row],[Year]])*1</f>
        <v>41122</v>
      </c>
    </row>
    <row r="295" customFormat="false" ht="14.25" hidden="false" customHeight="true" outlineLevel="0" collapsed="false">
      <c r="A295" s="32" t="n">
        <v>2012</v>
      </c>
      <c r="B295" s="33" t="s">
        <v>67</v>
      </c>
      <c r="C295" s="35"/>
      <c r="D295" s="35" t="n">
        <v>146.449237182159</v>
      </c>
      <c r="E295" s="35" t="n">
        <v>139.128844</v>
      </c>
      <c r="F295" s="35" t="n">
        <v>143.978048216976</v>
      </c>
      <c r="G295" s="35" t="n">
        <v>60.6479662623199</v>
      </c>
      <c r="H295" s="35" t="n">
        <v>72.955494628828</v>
      </c>
      <c r="I295" s="35" t="n">
        <v>136.243466122911</v>
      </c>
      <c r="J295" s="36" t="n">
        <f aca="false">F295-E295</f>
        <v>4.84920421697643</v>
      </c>
      <c r="K295" s="36" t="n">
        <v>238.28262296971</v>
      </c>
      <c r="L295" s="37"/>
      <c r="M295" s="46"/>
      <c r="N295" s="39" t="n">
        <f aca="false">(Typical_retail_prices_of_petroleum_products_and_a_crude_oil_price_index_monthly[[#This Row],[Month]]&amp;" "&amp;Typical_retail_prices_of_petroleum_products_and_a_crude_oil_price_index_monthly[[#This Row],[Year]])*1</f>
        <v>41153</v>
      </c>
    </row>
    <row r="296" customFormat="false" ht="14.25" hidden="false" customHeight="true" outlineLevel="0" collapsed="false">
      <c r="A296" s="32" t="n">
        <v>2012</v>
      </c>
      <c r="B296" s="33" t="s">
        <v>68</v>
      </c>
      <c r="C296" s="35"/>
      <c r="D296" s="35" t="n">
        <v>145.578834931221</v>
      </c>
      <c r="E296" s="35" t="n">
        <v>138.076356</v>
      </c>
      <c r="F296" s="35" t="n">
        <v>143.018360622803</v>
      </c>
      <c r="G296" s="35" t="n">
        <v>60.4411391205459</v>
      </c>
      <c r="H296" s="35" t="n">
        <v>73.187367324034</v>
      </c>
      <c r="I296" s="35" t="n">
        <v>135.210266055121</v>
      </c>
      <c r="J296" s="36" t="n">
        <f aca="false">F296-E296</f>
        <v>4.94200462280267</v>
      </c>
      <c r="K296" s="36" t="n">
        <v>236.485170209005</v>
      </c>
      <c r="L296" s="37"/>
      <c r="M296" s="46"/>
      <c r="N296" s="39" t="n">
        <f aca="false">(Typical_retail_prices_of_petroleum_products_and_a_crude_oil_price_index_monthly[[#This Row],[Month]]&amp;" "&amp;Typical_retail_prices_of_petroleum_products_and_a_crude_oil_price_index_monthly[[#This Row],[Year]])*1</f>
        <v>41183</v>
      </c>
    </row>
    <row r="297" customFormat="false" ht="14.25" hidden="false" customHeight="true" outlineLevel="0" collapsed="false">
      <c r="A297" s="32" t="n">
        <v>2012</v>
      </c>
      <c r="B297" s="33" t="s">
        <v>69</v>
      </c>
      <c r="C297" s="35"/>
      <c r="D297" s="35" t="n">
        <v>142.275882659441</v>
      </c>
      <c r="E297" s="35" t="n">
        <v>134.54309</v>
      </c>
      <c r="F297" s="35" t="n">
        <v>141.099237569061</v>
      </c>
      <c r="G297" s="35" t="n">
        <v>57.7456539044731</v>
      </c>
      <c r="H297" s="35" t="n">
        <v>70.0097883597884</v>
      </c>
      <c r="I297" s="35" t="n">
        <v>133.020443252178</v>
      </c>
      <c r="J297" s="36" t="n">
        <f aca="false">F297-E297</f>
        <v>6.55614756906076</v>
      </c>
      <c r="K297" s="36" t="n">
        <v>232.838759229592</v>
      </c>
      <c r="L297" s="37"/>
      <c r="M297" s="46"/>
      <c r="N297" s="39" t="n">
        <f aca="false">(Typical_retail_prices_of_petroleum_products_and_a_crude_oil_price_index_monthly[[#This Row],[Month]]&amp;" "&amp;Typical_retail_prices_of_petroleum_products_and_a_crude_oil_price_index_monthly[[#This Row],[Year]])*1</f>
        <v>41214</v>
      </c>
    </row>
    <row r="298" customFormat="false" ht="14.25" hidden="false" customHeight="true" outlineLevel="0" collapsed="false">
      <c r="A298" s="32" t="n">
        <v>2012</v>
      </c>
      <c r="B298" s="33" t="s">
        <v>70</v>
      </c>
      <c r="C298" s="35"/>
      <c r="D298" s="35" t="n">
        <v>139.403819299708</v>
      </c>
      <c r="E298" s="35" t="n">
        <v>131.552276</v>
      </c>
      <c r="F298" s="35" t="n">
        <v>139.661238573581</v>
      </c>
      <c r="G298" s="35" t="n">
        <v>57.1769977255496</v>
      </c>
      <c r="H298" s="35" t="n">
        <v>68.738505691839</v>
      </c>
      <c r="I298" s="35" t="n">
        <v>132.219852447969</v>
      </c>
      <c r="J298" s="36" t="n">
        <f aca="false">F298-E298</f>
        <v>8.10896257358112</v>
      </c>
      <c r="K298" s="36" t="n">
        <v>230.877111121658</v>
      </c>
      <c r="L298" s="37"/>
      <c r="M298" s="46"/>
      <c r="N298" s="39" t="n">
        <f aca="false">(Typical_retail_prices_of_petroleum_products_and_a_crude_oil_price_index_monthly[[#This Row],[Month]]&amp;" "&amp;Typical_retail_prices_of_petroleum_products_and_a_crude_oil_price_index_monthly[[#This Row],[Year]])*1</f>
        <v>41244</v>
      </c>
    </row>
    <row r="299" customFormat="false" ht="14.25" hidden="false" customHeight="true" outlineLevel="0" collapsed="false">
      <c r="A299" s="32" t="n">
        <v>2013</v>
      </c>
      <c r="B299" s="33" t="s">
        <v>59</v>
      </c>
      <c r="C299" s="35"/>
      <c r="D299" s="35" t="n">
        <v>139.351546477699</v>
      </c>
      <c r="E299" s="35" t="n">
        <v>131.709578</v>
      </c>
      <c r="F299" s="35" t="n">
        <v>139.45832245103</v>
      </c>
      <c r="G299" s="35" t="n">
        <v>57.8524905231236</v>
      </c>
      <c r="H299" s="35" t="n">
        <v>68.9862177328844</v>
      </c>
      <c r="I299" s="35" t="n">
        <v>137.036097202103</v>
      </c>
      <c r="J299" s="36" t="n">
        <f aca="false">F299-E299</f>
        <v>7.74874445102967</v>
      </c>
      <c r="K299" s="36" t="n">
        <v>239.132056790886</v>
      </c>
      <c r="L299" s="37"/>
      <c r="M299" s="46"/>
      <c r="N299" s="39" t="n">
        <f aca="false">(Typical_retail_prices_of_petroleum_products_and_a_crude_oil_price_index_monthly[[#This Row],[Month]]&amp;" "&amp;Typical_retail_prices_of_petroleum_products_and_a_crude_oil_price_index_monthly[[#This Row],[Year]])*1</f>
        <v>41275</v>
      </c>
    </row>
    <row r="300" customFormat="false" ht="14.25" hidden="false" customHeight="true" outlineLevel="0" collapsed="false">
      <c r="A300" s="32" t="n">
        <v>2013</v>
      </c>
      <c r="B300" s="33" t="s">
        <v>60</v>
      </c>
      <c r="C300" s="35"/>
      <c r="D300" s="35" t="n">
        <v>144.033173197165</v>
      </c>
      <c r="E300" s="35" t="n">
        <v>136.366511</v>
      </c>
      <c r="F300" s="35" t="n">
        <v>143.904015067805</v>
      </c>
      <c r="G300" s="35" t="n">
        <v>64.592706595906</v>
      </c>
      <c r="H300" s="35" t="n">
        <v>74.54443001443</v>
      </c>
      <c r="I300" s="35" t="n">
        <v>145.165110985815</v>
      </c>
      <c r="J300" s="36" t="n">
        <f aca="false">F300-E300</f>
        <v>7.53750406780512</v>
      </c>
      <c r="K300" s="36" t="n">
        <v>253.234663855964</v>
      </c>
      <c r="L300" s="37"/>
      <c r="M300" s="46"/>
      <c r="N300" s="39" t="n">
        <f aca="false">(Typical_retail_prices_of_petroleum_products_and_a_crude_oil_price_index_monthly[[#This Row],[Month]]&amp;" "&amp;Typical_retail_prices_of_petroleum_products_and_a_crude_oil_price_index_monthly[[#This Row],[Year]])*1</f>
        <v>41306</v>
      </c>
    </row>
    <row r="301" customFormat="false" ht="14.25" hidden="false" customHeight="true" outlineLevel="0" collapsed="false">
      <c r="A301" s="32" t="n">
        <v>2013</v>
      </c>
      <c r="B301" s="33" t="s">
        <v>61</v>
      </c>
      <c r="C301" s="35"/>
      <c r="D301" s="35" t="n">
        <v>144.987635473114</v>
      </c>
      <c r="E301" s="35" t="n">
        <v>137.249865</v>
      </c>
      <c r="F301" s="35" t="n">
        <v>144.609511803114</v>
      </c>
      <c r="G301" s="35" t="n">
        <v>62.7254700530705</v>
      </c>
      <c r="H301" s="35" t="n">
        <v>72.6733846400513</v>
      </c>
      <c r="I301" s="35" t="n">
        <v>141.181215484016</v>
      </c>
      <c r="J301" s="36" t="n">
        <f aca="false">F301-E301</f>
        <v>7.35964680311403</v>
      </c>
      <c r="K301" s="36" t="n">
        <v>246.542249805586</v>
      </c>
      <c r="L301" s="37"/>
      <c r="M301" s="46"/>
      <c r="N301" s="39" t="n">
        <f aca="false">(Typical_retail_prices_of_petroleum_products_and_a_crude_oil_price_index_monthly[[#This Row],[Month]]&amp;" "&amp;Typical_retail_prices_of_petroleum_products_and_a_crude_oil_price_index_monthly[[#This Row],[Year]])*1</f>
        <v>41334</v>
      </c>
    </row>
    <row r="302" customFormat="false" ht="14.25" hidden="false" customHeight="true" outlineLevel="0" collapsed="false">
      <c r="A302" s="32" t="n">
        <v>2013</v>
      </c>
      <c r="B302" s="33" t="s">
        <v>62</v>
      </c>
      <c r="C302" s="35"/>
      <c r="D302" s="35" t="n">
        <v>144.238315964985</v>
      </c>
      <c r="E302" s="35" t="n">
        <v>136.806063</v>
      </c>
      <c r="F302" s="35" t="n">
        <v>141.27323656454</v>
      </c>
      <c r="G302" s="35" t="n">
        <v>57.7581159969674</v>
      </c>
      <c r="H302" s="35" t="n">
        <v>69.7945807279141</v>
      </c>
      <c r="I302" s="35" t="n">
        <v>131.968288431683</v>
      </c>
      <c r="J302" s="36" t="n">
        <f aca="false">F302-E302</f>
        <v>4.46717356454045</v>
      </c>
      <c r="K302" s="36" t="n">
        <v>230.178097518662</v>
      </c>
      <c r="L302" s="37"/>
      <c r="M302" s="46"/>
      <c r="N302" s="39" t="n">
        <f aca="false">(Typical_retail_prices_of_petroleum_products_and_a_crude_oil_price_index_monthly[[#This Row],[Month]]&amp;" "&amp;Typical_retail_prices_of_petroleum_products_and_a_crude_oil_price_index_monthly[[#This Row],[Year]])*1</f>
        <v>41365</v>
      </c>
    </row>
    <row r="303" customFormat="false" ht="14.25" hidden="false" customHeight="true" outlineLevel="0" collapsed="false">
      <c r="A303" s="32" t="n">
        <v>2013</v>
      </c>
      <c r="B303" s="33" t="s">
        <v>63</v>
      </c>
      <c r="C303" s="35"/>
      <c r="D303" s="35" t="n">
        <v>140.541384952063</v>
      </c>
      <c r="E303" s="35" t="n">
        <v>132.747279</v>
      </c>
      <c r="F303" s="35" t="n">
        <v>137.951125062783</v>
      </c>
      <c r="G303" s="35" t="n">
        <v>55.392113343442</v>
      </c>
      <c r="H303" s="35" t="n">
        <v>67.9570113836781</v>
      </c>
      <c r="I303" s="35" t="n">
        <v>130.611185624199</v>
      </c>
      <c r="J303" s="36" t="n">
        <f aca="false">F303-E303</f>
        <v>5.2038460627825</v>
      </c>
      <c r="K303" s="36" t="n">
        <v>228.291576916974</v>
      </c>
      <c r="L303" s="37"/>
      <c r="M303" s="46"/>
      <c r="N303" s="39" t="n">
        <f aca="false">(Typical_retail_prices_of_petroleum_products_and_a_crude_oil_price_index_monthly[[#This Row],[Month]]&amp;" "&amp;Typical_retail_prices_of_petroleum_products_and_a_crude_oil_price_index_monthly[[#This Row],[Year]])*1</f>
        <v>41395</v>
      </c>
    </row>
    <row r="304" customFormat="false" ht="14.25" hidden="false" customHeight="true" outlineLevel="0" collapsed="false">
      <c r="A304" s="32" t="n">
        <v>2013</v>
      </c>
      <c r="B304" s="33" t="s">
        <v>64</v>
      </c>
      <c r="C304" s="35"/>
      <c r="D304" s="35" t="n">
        <v>141.876769487286</v>
      </c>
      <c r="E304" s="35" t="n">
        <v>134.061392</v>
      </c>
      <c r="F304" s="35" t="n">
        <v>139.259936715219</v>
      </c>
      <c r="G304" s="35" t="n">
        <v>54.9890769522365</v>
      </c>
      <c r="H304" s="35" t="n">
        <v>68.2291774891775</v>
      </c>
      <c r="I304" s="35" t="n">
        <v>128.563352574268</v>
      </c>
      <c r="J304" s="36" t="n">
        <f aca="false">F304-E304</f>
        <v>5.1985447152185</v>
      </c>
      <c r="K304" s="36" t="n">
        <v>224.475991615723</v>
      </c>
      <c r="L304" s="37"/>
      <c r="M304" s="46"/>
      <c r="N304" s="39" t="n">
        <f aca="false">(Typical_retail_prices_of_petroleum_products_and_a_crude_oil_price_index_monthly[[#This Row],[Month]]&amp;" "&amp;Typical_retail_prices_of_petroleum_products_and_a_crude_oil_price_index_monthly[[#This Row],[Year]])*1</f>
        <v>41426</v>
      </c>
    </row>
    <row r="305" customFormat="false" ht="14.25" hidden="false" customHeight="true" outlineLevel="0" collapsed="false">
      <c r="A305" s="32" t="n">
        <v>2013</v>
      </c>
      <c r="B305" s="33" t="s">
        <v>65</v>
      </c>
      <c r="C305" s="35"/>
      <c r="D305" s="35" t="n">
        <v>142.261098219644</v>
      </c>
      <c r="E305" s="35" t="n">
        <v>134.741711</v>
      </c>
      <c r="F305" s="35" t="n">
        <v>139.622535</v>
      </c>
      <c r="G305" s="35" t="n">
        <v>56.9379288338813</v>
      </c>
      <c r="H305" s="35" t="n">
        <v>70.9634394010295</v>
      </c>
      <c r="I305" s="35" t="n">
        <v>137.311214805298</v>
      </c>
      <c r="J305" s="36" t="n">
        <f aca="false">F305-E305</f>
        <v>4.88082399999999</v>
      </c>
      <c r="K305" s="36" t="n">
        <v>240.247673015027</v>
      </c>
      <c r="L305" s="37"/>
      <c r="M305" s="46"/>
      <c r="N305" s="39" t="n">
        <f aca="false">(Typical_retail_prices_of_petroleum_products_and_a_crude_oil_price_index_monthly[[#This Row],[Month]]&amp;" "&amp;Typical_retail_prices_of_petroleum_products_and_a_crude_oil_price_index_monthly[[#This Row],[Year]])*1</f>
        <v>41456</v>
      </c>
    </row>
    <row r="306" customFormat="false" ht="14.25" hidden="false" customHeight="true" outlineLevel="0" collapsed="false">
      <c r="A306" s="32" t="n">
        <v>2013</v>
      </c>
      <c r="B306" s="33" t="s">
        <v>66</v>
      </c>
      <c r="C306" s="35"/>
      <c r="D306" s="35" t="n">
        <v>144.423554710942</v>
      </c>
      <c r="E306" s="35" t="n">
        <v>136.868361</v>
      </c>
      <c r="F306" s="35" t="n">
        <v>141.625522</v>
      </c>
      <c r="G306" s="35" t="n">
        <v>55.3232566234771</v>
      </c>
      <c r="H306" s="35" t="n">
        <v>70.0786788332554</v>
      </c>
      <c r="I306" s="35" t="n">
        <v>138.74249222542</v>
      </c>
      <c r="J306" s="36" t="n">
        <f aca="false">F306-E306</f>
        <v>4.75716100000003</v>
      </c>
      <c r="K306" s="36" t="n">
        <v>242.999604738193</v>
      </c>
      <c r="L306" s="37"/>
      <c r="M306" s="46"/>
      <c r="N306" s="39" t="n">
        <f aca="false">(Typical_retail_prices_of_petroleum_products_and_a_crude_oil_price_index_monthly[[#This Row],[Month]]&amp;" "&amp;Typical_retail_prices_of_petroleum_products_and_a_crude_oil_price_index_monthly[[#This Row],[Year]])*1</f>
        <v>41487</v>
      </c>
    </row>
    <row r="307" customFormat="false" ht="14.25" hidden="false" customHeight="true" outlineLevel="0" collapsed="false">
      <c r="A307" s="32" t="n">
        <v>2013</v>
      </c>
      <c r="B307" s="33" t="s">
        <v>67</v>
      </c>
      <c r="C307" s="35"/>
      <c r="D307" s="35" t="n">
        <v>145.034446889378</v>
      </c>
      <c r="E307" s="35" t="n">
        <v>137.191123</v>
      </c>
      <c r="F307" s="35" t="n">
        <v>142.332028</v>
      </c>
      <c r="G307" s="35" t="n">
        <v>56.6363875459292</v>
      </c>
      <c r="H307" s="35" t="n">
        <v>71.2497231888643</v>
      </c>
      <c r="I307" s="35" t="n">
        <v>138.499315341684</v>
      </c>
      <c r="J307" s="36" t="n">
        <f aca="false">F307-E307</f>
        <v>5.140905</v>
      </c>
      <c r="K307" s="36" t="n">
        <v>241.739721810868</v>
      </c>
      <c r="L307" s="37"/>
      <c r="M307" s="46"/>
      <c r="N307" s="39" t="n">
        <f aca="false">(Typical_retail_prices_of_petroleum_products_and_a_crude_oil_price_index_monthly[[#This Row],[Month]]&amp;" "&amp;Typical_retail_prices_of_petroleum_products_and_a_crude_oil_price_index_monthly[[#This Row],[Year]])*1</f>
        <v>41518</v>
      </c>
    </row>
    <row r="308" customFormat="false" ht="14.25" hidden="false" customHeight="true" outlineLevel="0" collapsed="false">
      <c r="A308" s="32" t="n">
        <v>2013</v>
      </c>
      <c r="B308" s="33" t="s">
        <v>68</v>
      </c>
      <c r="C308" s="35"/>
      <c r="D308" s="35" t="n">
        <v>139.493074614923</v>
      </c>
      <c r="E308" s="35" t="n">
        <v>131.480586</v>
      </c>
      <c r="F308" s="35" t="n">
        <v>138.763945</v>
      </c>
      <c r="G308" s="35" t="n">
        <v>54.437911429124</v>
      </c>
      <c r="H308" s="35" t="n">
        <v>67.8935843087631</v>
      </c>
      <c r="I308" s="35" t="n">
        <v>132.906371692347</v>
      </c>
      <c r="J308" s="36" t="n">
        <f aca="false">F308-E308</f>
        <v>7.28335899999999</v>
      </c>
      <c r="K308" s="36" t="n">
        <v>232.488133853749</v>
      </c>
      <c r="L308" s="37"/>
      <c r="M308" s="46"/>
      <c r="N308" s="39" t="n">
        <f aca="false">(Typical_retail_prices_of_petroleum_products_and_a_crude_oil_price_index_monthly[[#This Row],[Month]]&amp;" "&amp;Typical_retail_prices_of_petroleum_products_and_a_crude_oil_price_index_monthly[[#This Row],[Year]])*1</f>
        <v>41548</v>
      </c>
    </row>
    <row r="309" customFormat="false" ht="14.25" hidden="false" customHeight="true" outlineLevel="0" collapsed="false">
      <c r="A309" s="32" t="n">
        <v>2013</v>
      </c>
      <c r="B309" s="33" t="s">
        <v>69</v>
      </c>
      <c r="C309" s="35"/>
      <c r="D309" s="35" t="n">
        <v>136.199361872374</v>
      </c>
      <c r="E309" s="35" t="n">
        <v>129.730169</v>
      </c>
      <c r="F309" s="35" t="n">
        <v>137.296061</v>
      </c>
      <c r="G309" s="35" t="n">
        <v>54.3609998066138</v>
      </c>
      <c r="H309" s="35" t="n">
        <v>67.3166244859222</v>
      </c>
      <c r="I309" s="35" t="n">
        <v>130.057268697963</v>
      </c>
      <c r="J309" s="36" t="n">
        <f aca="false">F309-E309</f>
        <v>7.56589199999999</v>
      </c>
      <c r="K309" s="36" t="n">
        <v>226.801431614743</v>
      </c>
      <c r="L309" s="37"/>
      <c r="M309" s="46"/>
      <c r="N309" s="39" t="n">
        <f aca="false">(Typical_retail_prices_of_petroleum_products_and_a_crude_oil_price_index_monthly[[#This Row],[Month]]&amp;" "&amp;Typical_retail_prices_of_petroleum_products_and_a_crude_oil_price_index_monthly[[#This Row],[Year]])*1</f>
        <v>41579</v>
      </c>
    </row>
    <row r="310" customFormat="false" ht="14.25" hidden="false" customHeight="true" outlineLevel="0" collapsed="false">
      <c r="A310" s="32" t="n">
        <v>2013</v>
      </c>
      <c r="B310" s="33" t="s">
        <v>70</v>
      </c>
      <c r="C310" s="35"/>
      <c r="D310" s="35" t="n">
        <v>138.547773554711</v>
      </c>
      <c r="E310" s="35" t="n">
        <v>130.790698</v>
      </c>
      <c r="F310" s="35" t="n">
        <v>138.766031</v>
      </c>
      <c r="G310" s="35" t="n">
        <v>54.7222181396248</v>
      </c>
      <c r="H310" s="35" t="n">
        <v>67.7117858272698</v>
      </c>
      <c r="I310" s="35" t="n">
        <v>131.795405529458</v>
      </c>
      <c r="J310" s="36" t="n">
        <f aca="false">F310-E310</f>
        <v>7.97533300000001</v>
      </c>
      <c r="K310" s="36" t="n">
        <v>230.604983824625</v>
      </c>
      <c r="L310" s="37"/>
      <c r="M310" s="46"/>
      <c r="N310" s="39" t="n">
        <f aca="false">(Typical_retail_prices_of_petroleum_products_and_a_crude_oil_price_index_monthly[[#This Row],[Month]]&amp;" "&amp;Typical_retail_prices_of_petroleum_products_and_a_crude_oil_price_index_monthly[[#This Row],[Year]])*1</f>
        <v>41609</v>
      </c>
    </row>
    <row r="311" customFormat="false" ht="14.25" hidden="false" customHeight="true" outlineLevel="0" collapsed="false">
      <c r="A311" s="32" t="n">
        <v>2014</v>
      </c>
      <c r="B311" s="33" t="s">
        <v>59</v>
      </c>
      <c r="C311" s="35"/>
      <c r="D311" s="35" t="n">
        <v>137.771648329666</v>
      </c>
      <c r="E311" s="35" t="n">
        <v>130.163805</v>
      </c>
      <c r="F311" s="35" t="n">
        <v>138.106687</v>
      </c>
      <c r="G311" s="35" t="n">
        <v>55.6681879713789</v>
      </c>
      <c r="H311" s="35" t="n">
        <v>66.6757023093958</v>
      </c>
      <c r="I311" s="35" t="n">
        <v>129.010033522844</v>
      </c>
      <c r="J311" s="36" t="n">
        <f aca="false">F311-E311</f>
        <v>7.942882</v>
      </c>
      <c r="K311" s="36" t="n">
        <v>223.499216055689</v>
      </c>
      <c r="L311" s="37"/>
      <c r="M311" s="46"/>
      <c r="N311" s="39" t="n">
        <f aca="false">(Typical_retail_prices_of_petroleum_products_and_a_crude_oil_price_index_monthly[[#This Row],[Month]]&amp;" "&amp;Typical_retail_prices_of_petroleum_products_and_a_crude_oil_price_index_monthly[[#This Row],[Year]])*1</f>
        <v>41640</v>
      </c>
    </row>
    <row r="312" customFormat="false" ht="14.25" hidden="false" customHeight="true" outlineLevel="0" collapsed="false">
      <c r="A312" s="32" t="n">
        <v>2014</v>
      </c>
      <c r="B312" s="33" t="s">
        <v>60</v>
      </c>
      <c r="C312" s="35"/>
      <c r="D312" s="35" t="n">
        <v>136.33651130226</v>
      </c>
      <c r="E312" s="35" t="n">
        <v>128.996635</v>
      </c>
      <c r="F312" s="35" t="n">
        <v>136.65356</v>
      </c>
      <c r="G312" s="35" t="n">
        <v>52.86731386579</v>
      </c>
      <c r="H312" s="35" t="n">
        <v>65.8124928819994</v>
      </c>
      <c r="I312" s="35" t="n">
        <v>128.607189710337</v>
      </c>
      <c r="J312" s="36" t="n">
        <f aca="false">F312-E312</f>
        <v>7.65692499999997</v>
      </c>
      <c r="K312" s="47"/>
      <c r="L312" s="37"/>
      <c r="M312" s="46"/>
      <c r="N312" s="39" t="n">
        <f aca="false">(Typical_retail_prices_of_petroleum_products_and_a_crude_oil_price_index_monthly[[#This Row],[Month]]&amp;" "&amp;Typical_retail_prices_of_petroleum_products_and_a_crude_oil_price_index_monthly[[#This Row],[Year]])*1</f>
        <v>41671</v>
      </c>
    </row>
    <row r="313" customFormat="false" ht="14.25" hidden="false" customHeight="true" outlineLevel="0" collapsed="false">
      <c r="A313" s="32" t="n">
        <v>2014</v>
      </c>
      <c r="B313" s="33" t="s">
        <v>61</v>
      </c>
      <c r="C313" s="35"/>
      <c r="D313" s="35" t="n">
        <v>136.261550310062</v>
      </c>
      <c r="E313" s="35" t="n">
        <v>128.617024</v>
      </c>
      <c r="F313" s="35" t="n">
        <v>136.030004</v>
      </c>
      <c r="G313" s="35" t="n">
        <v>51.5857300328757</v>
      </c>
      <c r="H313" s="35" t="n">
        <v>65.6022334704208</v>
      </c>
      <c r="I313" s="35" t="n">
        <v>126.347599493046</v>
      </c>
      <c r="J313" s="36" t="n">
        <f aca="false">F313-E313</f>
        <v>7.41298000000001</v>
      </c>
      <c r="K313" s="47"/>
      <c r="L313" s="37"/>
      <c r="M313" s="46"/>
      <c r="N313" s="39" t="n">
        <f aca="false">(Typical_retail_prices_of_petroleum_products_and_a_crude_oil_price_index_monthly[[#This Row],[Month]]&amp;" "&amp;Typical_retail_prices_of_petroleum_products_and_a_crude_oil_price_index_monthly[[#This Row],[Year]])*1</f>
        <v>41699</v>
      </c>
    </row>
    <row r="314" customFormat="false" ht="14.25" hidden="false" customHeight="true" outlineLevel="0" collapsed="false">
      <c r="A314" s="32" t="n">
        <v>2014</v>
      </c>
      <c r="B314" s="33" t="s">
        <v>62</v>
      </c>
      <c r="C314" s="35"/>
      <c r="D314" s="35" t="n">
        <v>136.344062812563</v>
      </c>
      <c r="E314" s="35" t="n">
        <v>128.794056</v>
      </c>
      <c r="F314" s="35" t="n">
        <v>135.867737</v>
      </c>
      <c r="G314" s="35" t="n">
        <v>51.3571030748404</v>
      </c>
      <c r="H314" s="35" t="n">
        <v>66.6939354634609</v>
      </c>
      <c r="I314" s="35" t="n">
        <v>125.419251406424</v>
      </c>
      <c r="J314" s="36" t="n">
        <f aca="false">F314-E314</f>
        <v>7.07368099999997</v>
      </c>
      <c r="K314" s="47"/>
      <c r="L314" s="37"/>
      <c r="M314" s="46"/>
      <c r="N314" s="39" t="n">
        <f aca="false">(Typical_retail_prices_of_petroleum_products_and_a_crude_oil_price_index_monthly[[#This Row],[Month]]&amp;" "&amp;Typical_retail_prices_of_petroleum_products_and_a_crude_oil_price_index_monthly[[#This Row],[Year]])*1</f>
        <v>41730</v>
      </c>
    </row>
    <row r="315" customFormat="false" ht="14.25" hidden="false" customHeight="true" outlineLevel="0" collapsed="false">
      <c r="A315" s="32" t="n">
        <v>2014</v>
      </c>
      <c r="B315" s="33" t="s">
        <v>63</v>
      </c>
      <c r="C315" s="35"/>
      <c r="D315" s="35" t="n">
        <v>137.147823564713</v>
      </c>
      <c r="E315" s="35" t="n">
        <v>129.319133</v>
      </c>
      <c r="F315" s="35" t="n">
        <v>136.103889</v>
      </c>
      <c r="G315" s="35" t="n">
        <v>50.2687507251982</v>
      </c>
      <c r="H315" s="35" t="n">
        <v>63.7444463777286</v>
      </c>
      <c r="I315" s="35" t="n">
        <v>126.682377270106</v>
      </c>
      <c r="J315" s="36" t="n">
        <f aca="false">F315-E315</f>
        <v>6.78475600000004</v>
      </c>
      <c r="K315" s="47"/>
      <c r="L315" s="37"/>
      <c r="M315" s="46"/>
      <c r="N315" s="39" t="n">
        <f aca="false">(Typical_retail_prices_of_petroleum_products_and_a_crude_oil_price_index_monthly[[#This Row],[Month]]&amp;" "&amp;Typical_retail_prices_of_petroleum_products_and_a_crude_oil_price_index_monthly[[#This Row],[Year]])*1</f>
        <v>41760</v>
      </c>
    </row>
    <row r="316" customFormat="false" ht="14.25" hidden="false" customHeight="true" outlineLevel="0" collapsed="false">
      <c r="A316" s="32" t="n">
        <v>2014</v>
      </c>
      <c r="B316" s="33" t="s">
        <v>64</v>
      </c>
      <c r="C316" s="35"/>
      <c r="D316" s="35" t="n">
        <v>137.35050810162</v>
      </c>
      <c r="E316" s="35" t="n">
        <v>129.69879</v>
      </c>
      <c r="F316" s="35" t="n">
        <v>135.413598</v>
      </c>
      <c r="G316" s="35" t="n">
        <v>51.6913092245214</v>
      </c>
      <c r="H316" s="35" t="n">
        <v>63.9336396709902</v>
      </c>
      <c r="I316" s="35" t="n">
        <v>128.341866636212</v>
      </c>
      <c r="J316" s="36" t="n">
        <f aca="false">F316-E316</f>
        <v>5.71480800000001</v>
      </c>
      <c r="K316" s="47"/>
      <c r="L316" s="37"/>
      <c r="M316" s="46"/>
      <c r="N316" s="39" t="n">
        <f aca="false">(Typical_retail_prices_of_petroleum_products_and_a_crude_oil_price_index_monthly[[#This Row],[Month]]&amp;" "&amp;Typical_retail_prices_of_petroleum_products_and_a_crude_oil_price_index_monthly[[#This Row],[Year]])*1</f>
        <v>41791</v>
      </c>
    </row>
    <row r="317" customFormat="false" ht="14.25" hidden="false" customHeight="true" outlineLevel="0" collapsed="false">
      <c r="A317" s="32" t="n">
        <v>2014</v>
      </c>
      <c r="B317" s="33" t="s">
        <v>65</v>
      </c>
      <c r="C317" s="35"/>
      <c r="D317" s="35" t="n">
        <v>138.668650228503</v>
      </c>
      <c r="E317" s="35" t="n">
        <v>131.120313322521</v>
      </c>
      <c r="F317" s="35" t="n">
        <v>136.007702515855</v>
      </c>
      <c r="G317" s="35" t="n">
        <v>51.334171</v>
      </c>
      <c r="H317" s="35" t="n">
        <v>62.551987</v>
      </c>
      <c r="I317" s="35" t="n">
        <v>123.356389325856</v>
      </c>
      <c r="J317" s="36" t="n">
        <f aca="false">F317-E317</f>
        <v>4.88738919333366</v>
      </c>
      <c r="K317" s="47"/>
      <c r="L317" s="34"/>
      <c r="M317" s="34"/>
      <c r="N317" s="39" t="n">
        <f aca="false">(Typical_retail_prices_of_petroleum_products_and_a_crude_oil_price_index_monthly[[#This Row],[Month]]&amp;" "&amp;Typical_retail_prices_of_petroleum_products_and_a_crude_oil_price_index_monthly[[#This Row],[Year]])*1</f>
        <v>41821</v>
      </c>
    </row>
    <row r="318" customFormat="false" ht="14.25" hidden="false" customHeight="true" outlineLevel="0" collapsed="false">
      <c r="A318" s="32" t="n">
        <v>2014</v>
      </c>
      <c r="B318" s="33" t="s">
        <v>66</v>
      </c>
      <c r="C318" s="35"/>
      <c r="D318" s="35" t="n">
        <v>136.847267088093</v>
      </c>
      <c r="E318" s="35" t="n">
        <v>129.26998619398</v>
      </c>
      <c r="F318" s="35" t="n">
        <v>133.61397856642</v>
      </c>
      <c r="G318" s="35" t="n">
        <v>51.147077</v>
      </c>
      <c r="H318" s="35" t="n">
        <v>62.609354</v>
      </c>
      <c r="I318" s="35" t="n">
        <v>119.550310522665</v>
      </c>
      <c r="J318" s="36" t="n">
        <f aca="false">F318-E318</f>
        <v>4.34399237244011</v>
      </c>
      <c r="K318" s="47"/>
      <c r="L318" s="34"/>
      <c r="M318" s="34"/>
      <c r="N318" s="39" t="n">
        <f aca="false">(Typical_retail_prices_of_petroleum_products_and_a_crude_oil_price_index_monthly[[#This Row],[Month]]&amp;" "&amp;Typical_retail_prices_of_petroleum_products_and_a_crude_oil_price_index_monthly[[#This Row],[Year]])*1</f>
        <v>41852</v>
      </c>
    </row>
    <row r="319" customFormat="false" ht="14.25" hidden="false" customHeight="true" outlineLevel="0" collapsed="false">
      <c r="A319" s="32" t="n">
        <v>2014</v>
      </c>
      <c r="B319" s="33" t="s">
        <v>67</v>
      </c>
      <c r="C319" s="35"/>
      <c r="D319" s="35" t="n">
        <v>136.128275460663</v>
      </c>
      <c r="E319" s="35" t="n">
        <v>128.513639514473</v>
      </c>
      <c r="F319" s="35" t="n">
        <v>133.07131880571</v>
      </c>
      <c r="G319" s="35" t="n">
        <v>51.023101</v>
      </c>
      <c r="H319" s="35" t="n">
        <v>61.901025</v>
      </c>
      <c r="I319" s="35" t="n">
        <v>116.662640374369</v>
      </c>
      <c r="J319" s="36" t="n">
        <f aca="false">F319-E319</f>
        <v>4.55767929123707</v>
      </c>
      <c r="K319" s="47"/>
      <c r="L319" s="34"/>
      <c r="M319" s="34"/>
      <c r="N319" s="39" t="n">
        <f aca="false">(Typical_retail_prices_of_petroleum_products_and_a_crude_oil_price_index_monthly[[#This Row],[Month]]&amp;" "&amp;Typical_retail_prices_of_petroleum_products_and_a_crude_oil_price_index_monthly[[#This Row],[Year]])*1</f>
        <v>41883</v>
      </c>
    </row>
    <row r="320" customFormat="false" ht="14.25" hidden="false" customHeight="true" outlineLevel="0" collapsed="false">
      <c r="A320" s="32" t="n">
        <v>2014</v>
      </c>
      <c r="B320" s="33" t="s">
        <v>68</v>
      </c>
      <c r="C320" s="35"/>
      <c r="D320" s="35" t="n">
        <v>134.236153673205</v>
      </c>
      <c r="E320" s="35" t="n">
        <v>126.757746635371</v>
      </c>
      <c r="F320" s="35" t="n">
        <v>131.081976545159</v>
      </c>
      <c r="G320" s="35" t="n">
        <v>46.725181</v>
      </c>
      <c r="H320" s="35" t="n">
        <v>58.658971</v>
      </c>
      <c r="I320" s="35" t="n">
        <v>107.215542999769</v>
      </c>
      <c r="J320" s="36" t="n">
        <f aca="false">F320-E320</f>
        <v>4.32422990978741</v>
      </c>
      <c r="K320" s="47"/>
      <c r="L320" s="34"/>
      <c r="M320" s="34"/>
      <c r="N320" s="39" t="n">
        <f aca="false">(Typical_retail_prices_of_petroleum_products_and_a_crude_oil_price_index_monthly[[#This Row],[Month]]&amp;" "&amp;Typical_retail_prices_of_petroleum_products_and_a_crude_oil_price_index_monthly[[#This Row],[Year]])*1</f>
        <v>41913</v>
      </c>
    </row>
    <row r="321" customFormat="false" ht="14.25" hidden="false" customHeight="true" outlineLevel="0" collapsed="false">
      <c r="A321" s="32" t="n">
        <v>2014</v>
      </c>
      <c r="B321" s="33" t="s">
        <v>69</v>
      </c>
      <c r="C321" s="35"/>
      <c r="D321" s="35" t="n">
        <v>130.024747223001</v>
      </c>
      <c r="E321" s="35" t="n">
        <v>122.477068513417</v>
      </c>
      <c r="F321" s="35" t="n">
        <v>127.179976248011</v>
      </c>
      <c r="G321" s="35" t="n">
        <v>46.322657</v>
      </c>
      <c r="H321" s="35" t="n">
        <v>57.794693</v>
      </c>
      <c r="I321" s="35" t="n">
        <v>99.1081598793644</v>
      </c>
      <c r="J321" s="36" t="n">
        <f aca="false">F321-E321</f>
        <v>4.70290773459406</v>
      </c>
      <c r="K321" s="47"/>
      <c r="L321" s="34"/>
      <c r="M321" s="34"/>
      <c r="N321" s="39" t="n">
        <f aca="false">(Typical_retail_prices_of_petroleum_products_and_a_crude_oil_price_index_monthly[[#This Row],[Month]]&amp;" "&amp;Typical_retail_prices_of_petroleum_products_and_a_crude_oil_price_index_monthly[[#This Row],[Year]])*1</f>
        <v>41944</v>
      </c>
    </row>
    <row r="322" customFormat="false" ht="14.25" hidden="false" customHeight="true" outlineLevel="0" collapsed="false">
      <c r="A322" s="32" t="n">
        <v>2014</v>
      </c>
      <c r="B322" s="33" t="s">
        <v>70</v>
      </c>
      <c r="C322" s="35"/>
      <c r="D322" s="35" t="n">
        <v>123.707627041862</v>
      </c>
      <c r="E322" s="35" t="n">
        <v>116.222038073568</v>
      </c>
      <c r="F322" s="35" t="n">
        <v>122.365558814288</v>
      </c>
      <c r="G322" s="35" t="n">
        <v>41.7492</v>
      </c>
      <c r="H322" s="35" t="n">
        <v>51.403922</v>
      </c>
      <c r="I322" s="35" t="n">
        <v>81.1814646772973</v>
      </c>
      <c r="J322" s="36" t="n">
        <f aca="false">F322-E322</f>
        <v>6.14352074071954</v>
      </c>
      <c r="K322" s="47"/>
      <c r="L322" s="34"/>
      <c r="M322" s="34"/>
      <c r="N322" s="39" t="n">
        <f aca="false">(Typical_retail_prices_of_petroleum_products_and_a_crude_oil_price_index_monthly[[#This Row],[Month]]&amp;" "&amp;Typical_retail_prices_of_petroleum_products_and_a_crude_oil_price_index_monthly[[#This Row],[Year]])*1</f>
        <v>41974</v>
      </c>
    </row>
    <row r="323" customFormat="false" ht="14.25" hidden="false" customHeight="true" outlineLevel="0" collapsed="false">
      <c r="A323" s="32" t="n">
        <v>2015</v>
      </c>
      <c r="B323" s="33" t="s">
        <v>59</v>
      </c>
      <c r="C323" s="35"/>
      <c r="D323" s="35" t="n">
        <v>116.224320390777</v>
      </c>
      <c r="E323" s="35" t="n">
        <v>108.445090335613</v>
      </c>
      <c r="F323" s="35" t="n">
        <v>115.845130172067</v>
      </c>
      <c r="G323" s="35" t="n">
        <v>36.432617</v>
      </c>
      <c r="H323" s="35" t="n">
        <v>46.331203</v>
      </c>
      <c r="I323" s="35" t="n">
        <v>64.8098809915838</v>
      </c>
      <c r="J323" s="36" t="n">
        <f aca="false">F323-E323</f>
        <v>7.40003983645454</v>
      </c>
      <c r="K323" s="47"/>
      <c r="L323" s="34"/>
      <c r="M323" s="34"/>
      <c r="N323" s="39" t="n">
        <f aca="false">(Typical_retail_prices_of_petroleum_products_and_a_crude_oil_price_index_monthly[[#This Row],[Month]]&amp;" "&amp;Typical_retail_prices_of_petroleum_products_and_a_crude_oil_price_index_monthly[[#This Row],[Year]])*1</f>
        <v>42005</v>
      </c>
    </row>
    <row r="324" customFormat="false" ht="14.25" hidden="false" customHeight="true" outlineLevel="0" collapsed="false">
      <c r="A324" s="32" t="n">
        <v>2015</v>
      </c>
      <c r="B324" s="33" t="s">
        <v>60</v>
      </c>
      <c r="C324" s="35"/>
      <c r="D324" s="35" t="n">
        <v>114.939098426366</v>
      </c>
      <c r="E324" s="35" t="n">
        <v>107.195255624778</v>
      </c>
      <c r="F324" s="35" t="n">
        <v>114.604824327059</v>
      </c>
      <c r="G324" s="35" t="n">
        <v>37.270316</v>
      </c>
      <c r="H324" s="35" t="n">
        <v>48.711154</v>
      </c>
      <c r="I324" s="35" t="n">
        <v>69.7552720291977</v>
      </c>
      <c r="J324" s="36" t="n">
        <f aca="false">F324-E324</f>
        <v>7.40956870228158</v>
      </c>
      <c r="K324" s="47"/>
      <c r="L324" s="34"/>
      <c r="M324" s="34"/>
      <c r="N324" s="39" t="n">
        <f aca="false">(Typical_retail_prices_of_petroleum_products_and_a_crude_oil_price_index_monthly[[#This Row],[Month]]&amp;" "&amp;Typical_retail_prices_of_petroleum_products_and_a_crude_oil_price_index_monthly[[#This Row],[Year]])*1</f>
        <v>42036</v>
      </c>
    </row>
    <row r="325" customFormat="false" ht="14.25" hidden="false" customHeight="true" outlineLevel="0" collapsed="false">
      <c r="A325" s="32" t="n">
        <v>2015</v>
      </c>
      <c r="B325" s="33" t="s">
        <v>61</v>
      </c>
      <c r="C325" s="35"/>
      <c r="D325" s="35" t="n">
        <v>118.682512549955</v>
      </c>
      <c r="E325" s="35" t="n">
        <v>111.04205281257</v>
      </c>
      <c r="F325" s="35" t="n">
        <v>118.210980755537</v>
      </c>
      <c r="G325" s="35" t="n">
        <v>36.843831</v>
      </c>
      <c r="H325" s="35" t="n">
        <v>48.566275</v>
      </c>
      <c r="I325" s="35" t="n">
        <v>74.0684223656281</v>
      </c>
      <c r="J325" s="36" t="n">
        <f aca="false">F325-E325</f>
        <v>7.16892794296652</v>
      </c>
      <c r="K325" s="47"/>
      <c r="L325" s="34"/>
      <c r="M325" s="34"/>
      <c r="N325" s="39" t="n">
        <f aca="false">(Typical_retail_prices_of_petroleum_products_and_a_crude_oil_price_index_monthly[[#This Row],[Month]]&amp;" "&amp;Typical_retail_prices_of_petroleum_products_and_a_crude_oil_price_index_monthly[[#This Row],[Year]])*1</f>
        <v>42064</v>
      </c>
    </row>
    <row r="326" customFormat="false" ht="14.25" hidden="false" customHeight="true" outlineLevel="0" collapsed="false">
      <c r="A326" s="32" t="n">
        <v>2015</v>
      </c>
      <c r="B326" s="33" t="s">
        <v>62</v>
      </c>
      <c r="C326" s="35"/>
      <c r="D326" s="35" t="n">
        <v>120.074166806554</v>
      </c>
      <c r="E326" s="35" t="n">
        <v>112.547473221618</v>
      </c>
      <c r="F326" s="35" t="n">
        <v>119.09091328263</v>
      </c>
      <c r="G326" s="35" t="n">
        <v>36.47362</v>
      </c>
      <c r="H326" s="35" t="n">
        <v>48.200792</v>
      </c>
      <c r="I326" s="35" t="n">
        <v>76.2798187103133</v>
      </c>
      <c r="J326" s="36" t="n">
        <f aca="false">F326-E326</f>
        <v>6.54344006101232</v>
      </c>
      <c r="K326" s="47"/>
      <c r="L326" s="34"/>
      <c r="M326" s="34"/>
      <c r="N326" s="39" t="n">
        <f aca="false">(Typical_retail_prices_of_petroleum_products_and_a_crude_oil_price_index_monthly[[#This Row],[Month]]&amp;" "&amp;Typical_retail_prices_of_petroleum_products_and_a_crude_oil_price_index_monthly[[#This Row],[Year]])*1</f>
        <v>42095</v>
      </c>
    </row>
    <row r="327" customFormat="false" ht="14.25" hidden="false" customHeight="true" outlineLevel="0" collapsed="false">
      <c r="A327" s="32" t="n">
        <v>2015</v>
      </c>
      <c r="B327" s="33" t="s">
        <v>63</v>
      </c>
      <c r="C327" s="35"/>
      <c r="D327" s="35" t="n">
        <v>123.324616693154</v>
      </c>
      <c r="E327" s="35" t="n">
        <v>115.749557907642</v>
      </c>
      <c r="F327" s="35" t="n">
        <v>120.967454800935</v>
      </c>
      <c r="G327" s="35" t="n">
        <v>36.870227</v>
      </c>
      <c r="H327" s="35" t="n">
        <v>49.479605</v>
      </c>
      <c r="I327" s="35" t="n">
        <v>80.6177679471547</v>
      </c>
      <c r="J327" s="36" t="n">
        <f aca="false">F327-E327</f>
        <v>5.21789689329293</v>
      </c>
      <c r="K327" s="47"/>
      <c r="L327" s="34"/>
      <c r="M327" s="34"/>
      <c r="N327" s="39" t="n">
        <f aca="false">(Typical_retail_prices_of_petroleum_products_and_a_crude_oil_price_index_monthly[[#This Row],[Month]]&amp;" "&amp;Typical_retail_prices_of_petroleum_products_and_a_crude_oil_price_index_monthly[[#This Row],[Year]])*1</f>
        <v>42125</v>
      </c>
    </row>
    <row r="328" customFormat="false" ht="14.25" hidden="false" customHeight="true" outlineLevel="0" collapsed="false">
      <c r="A328" s="32" t="n">
        <v>2015</v>
      </c>
      <c r="B328" s="33" t="s">
        <v>64</v>
      </c>
      <c r="C328" s="35"/>
      <c r="D328" s="35" t="n">
        <v>123.955933922868</v>
      </c>
      <c r="E328" s="35" t="n">
        <v>116.396302539825</v>
      </c>
      <c r="F328" s="35" t="n">
        <v>121.24244809918</v>
      </c>
      <c r="G328" s="35" t="n">
        <v>37.112939</v>
      </c>
      <c r="H328" s="35" t="n">
        <v>49.690142</v>
      </c>
      <c r="I328" s="35" t="n">
        <v>77.0344981512717</v>
      </c>
      <c r="J328" s="36" t="n">
        <f aca="false">F328-E328</f>
        <v>4.84614555935507</v>
      </c>
      <c r="K328" s="47"/>
      <c r="L328" s="34"/>
      <c r="M328" s="34"/>
      <c r="N328" s="39" t="n">
        <f aca="false">(Typical_retail_prices_of_petroleum_products_and_a_crude_oil_price_index_monthly[[#This Row],[Month]]&amp;" "&amp;Typical_retail_prices_of_petroleum_products_and_a_crude_oil_price_index_monthly[[#This Row],[Year]])*1</f>
        <v>42156</v>
      </c>
    </row>
    <row r="329" customFormat="false" ht="14.25" hidden="false" customHeight="true" outlineLevel="0" collapsed="false">
      <c r="A329" s="32" t="n">
        <v>2015</v>
      </c>
      <c r="B329" s="33" t="s">
        <v>65</v>
      </c>
      <c r="C329" s="35"/>
      <c r="D329" s="35" t="n">
        <v>124.314264718071</v>
      </c>
      <c r="E329" s="35" t="n">
        <v>116.40329866924</v>
      </c>
      <c r="F329" s="35" t="n">
        <v>118.732157181321</v>
      </c>
      <c r="G329" s="35" t="n">
        <v>36.493231</v>
      </c>
      <c r="H329" s="35" t="n">
        <v>48.258851</v>
      </c>
      <c r="I329" s="35" t="n">
        <v>71.7437703098332</v>
      </c>
      <c r="J329" s="36" t="n">
        <f aca="false">F329-E329</f>
        <v>2.3288585120815</v>
      </c>
      <c r="K329" s="47"/>
      <c r="L329" s="34"/>
      <c r="M329" s="34"/>
      <c r="N329" s="39" t="n">
        <f aca="false">(Typical_retail_prices_of_petroleum_products_and_a_crude_oil_price_index_monthly[[#This Row],[Month]]&amp;" "&amp;Typical_retail_prices_of_petroleum_products_and_a_crude_oil_price_index_monthly[[#This Row],[Year]])*1</f>
        <v>42186</v>
      </c>
    </row>
    <row r="330" customFormat="false" ht="14.25" hidden="false" customHeight="true" outlineLevel="0" collapsed="false">
      <c r="A330" s="32" t="n">
        <v>2015</v>
      </c>
      <c r="B330" s="33" t="s">
        <v>66</v>
      </c>
      <c r="C330" s="35"/>
      <c r="D330" s="35" t="n">
        <v>122.327862767593</v>
      </c>
      <c r="E330" s="35" t="n">
        <v>114.482381589419</v>
      </c>
      <c r="F330" s="35" t="n">
        <v>111.702487865335</v>
      </c>
      <c r="G330" s="35" t="n">
        <v>30.375296</v>
      </c>
      <c r="H330" s="35" t="n">
        <v>43.259474</v>
      </c>
      <c r="I330" s="35" t="n">
        <v>60.3543709854402</v>
      </c>
      <c r="J330" s="36" t="n">
        <f aca="false">F330-E330</f>
        <v>-2.77989372408364</v>
      </c>
      <c r="K330" s="47"/>
      <c r="L330" s="34"/>
      <c r="M330" s="34"/>
      <c r="N330" s="39" t="n">
        <f aca="false">(Typical_retail_prices_of_petroleum_products_and_a_crude_oil_price_index_monthly[[#This Row],[Month]]&amp;" "&amp;Typical_retail_prices_of_petroleum_products_and_a_crude_oil_price_index_monthly[[#This Row],[Year]])*1</f>
        <v>42217</v>
      </c>
    </row>
    <row r="331" customFormat="false" ht="14.25" hidden="false" customHeight="true" outlineLevel="0" collapsed="false">
      <c r="A331" s="32" t="n">
        <v>2015</v>
      </c>
      <c r="B331" s="33" t="s">
        <v>67</v>
      </c>
      <c r="C331" s="35"/>
      <c r="D331" s="35" t="n">
        <v>118.630649129826</v>
      </c>
      <c r="E331" s="35" t="n">
        <v>111.49316544651</v>
      </c>
      <c r="F331" s="35" t="n">
        <v>109.811405</v>
      </c>
      <c r="G331" s="35" t="n">
        <v>31.101</v>
      </c>
      <c r="H331" s="35" t="n">
        <v>43.381056</v>
      </c>
      <c r="I331" s="35" t="n">
        <v>60.0383290178829</v>
      </c>
      <c r="J331" s="36" t="n">
        <f aca="false">F331-E331</f>
        <v>-1.68176044650966</v>
      </c>
      <c r="K331" s="47"/>
      <c r="L331" s="48"/>
      <c r="M331" s="34"/>
      <c r="N331" s="39" t="n">
        <f aca="false">(Typical_retail_prices_of_petroleum_products_and_a_crude_oil_price_index_monthly[[#This Row],[Month]]&amp;" "&amp;Typical_retail_prices_of_petroleum_products_and_a_crude_oil_price_index_monthly[[#This Row],[Year]])*1</f>
        <v>42248</v>
      </c>
    </row>
    <row r="332" customFormat="false" ht="14.25" hidden="false" customHeight="true" outlineLevel="0" collapsed="false">
      <c r="A332" s="32" t="n">
        <v>2015</v>
      </c>
      <c r="B332" s="33" t="s">
        <v>68</v>
      </c>
      <c r="C332" s="35"/>
      <c r="D332" s="35" t="n">
        <v>117.221486297259</v>
      </c>
      <c r="E332" s="35" t="n">
        <v>108.896158389332</v>
      </c>
      <c r="F332" s="35" t="n">
        <v>110.682699</v>
      </c>
      <c r="G332" s="35" t="n">
        <v>31.28</v>
      </c>
      <c r="H332" s="35" t="n">
        <v>44.027853</v>
      </c>
      <c r="I332" s="35" t="n">
        <v>61.7379895424581</v>
      </c>
      <c r="J332" s="36" t="n">
        <f aca="false">F332-E332</f>
        <v>1.78654061066783</v>
      </c>
      <c r="K332" s="49"/>
      <c r="L332" s="48"/>
      <c r="M332" s="49"/>
      <c r="N332" s="39" t="n">
        <f aca="false">(Typical_retail_prices_of_petroleum_products_and_a_crude_oil_price_index_monthly[[#This Row],[Month]]&amp;" "&amp;Typical_retail_prices_of_petroleum_products_and_a_crude_oil_price_index_monthly[[#This Row],[Year]])*1</f>
        <v>42278</v>
      </c>
    </row>
    <row r="333" customFormat="false" ht="14.25" hidden="false" customHeight="true" outlineLevel="0" collapsed="false">
      <c r="A333" s="32" t="n">
        <v>2015</v>
      </c>
      <c r="B333" s="33" t="s">
        <v>69</v>
      </c>
      <c r="C333" s="35"/>
      <c r="D333" s="35" t="n">
        <v>115.640956191238</v>
      </c>
      <c r="E333" s="35" t="n">
        <v>107.238988342374</v>
      </c>
      <c r="F333" s="35" t="n">
        <v>110.12272</v>
      </c>
      <c r="G333" s="35" t="n">
        <v>30.018</v>
      </c>
      <c r="H333" s="35" t="n">
        <v>41.568133</v>
      </c>
      <c r="I333" s="35" t="n">
        <v>57.2936542783826</v>
      </c>
      <c r="J333" s="36" t="n">
        <f aca="false">F333-E333</f>
        <v>2.88373165762572</v>
      </c>
      <c r="K333" s="49"/>
      <c r="L333" s="48"/>
      <c r="M333" s="49"/>
      <c r="N333" s="39" t="n">
        <f aca="false">(Typical_retail_prices_of_petroleum_products_and_a_crude_oil_price_index_monthly[[#This Row],[Month]]&amp;" "&amp;Typical_retail_prices_of_petroleum_products_and_a_crude_oil_price_index_monthly[[#This Row],[Year]])*1</f>
        <v>42309</v>
      </c>
    </row>
    <row r="334" customFormat="false" ht="14.25" hidden="false" customHeight="true" outlineLevel="0" collapsed="false">
      <c r="A334" s="32" t="n">
        <v>2015</v>
      </c>
      <c r="B334" s="33" t="s">
        <v>70</v>
      </c>
      <c r="C334" s="35"/>
      <c r="D334" s="35" t="n">
        <v>112.355288057612</v>
      </c>
      <c r="E334" s="35" t="n">
        <v>103.679396929288</v>
      </c>
      <c r="F334" s="35" t="n">
        <v>107.76825</v>
      </c>
      <c r="G334" s="35" t="n">
        <v>28.588</v>
      </c>
      <c r="H334" s="35" t="n">
        <v>38.101939</v>
      </c>
      <c r="I334" s="35" t="n">
        <v>50.923818482313</v>
      </c>
      <c r="J334" s="36" t="n">
        <f aca="false">F334-E334</f>
        <v>4.08885307071202</v>
      </c>
      <c r="K334" s="49"/>
      <c r="L334" s="50"/>
      <c r="M334" s="49"/>
      <c r="N334" s="39" t="n">
        <f aca="false">(Typical_retail_prices_of_petroleum_products_and_a_crude_oil_price_index_monthly[[#This Row],[Month]]&amp;" "&amp;Typical_retail_prices_of_petroleum_products_and_a_crude_oil_price_index_monthly[[#This Row],[Year]])*1</f>
        <v>42339</v>
      </c>
    </row>
    <row r="335" customFormat="false" ht="14.25" hidden="false" customHeight="true" outlineLevel="0" collapsed="false">
      <c r="A335" s="32" t="n">
        <v>2016</v>
      </c>
      <c r="B335" s="33" t="s">
        <v>59</v>
      </c>
      <c r="C335" s="35"/>
      <c r="D335" s="35" t="n">
        <v>110.243857771554</v>
      </c>
      <c r="E335" s="35" t="n">
        <v>101.742386466289</v>
      </c>
      <c r="F335" s="35" t="n">
        <v>102.522596</v>
      </c>
      <c r="G335" s="35" t="n">
        <v>22.813</v>
      </c>
      <c r="H335" s="35" t="n">
        <v>35.185763</v>
      </c>
      <c r="I335" s="35" t="n">
        <v>44.1282543708437</v>
      </c>
      <c r="J335" s="36" t="n">
        <f aca="false">F335-E335</f>
        <v>0.780209533711059</v>
      </c>
      <c r="K335" s="49"/>
      <c r="L335" s="48"/>
      <c r="M335" s="49"/>
      <c r="N335" s="39" t="n">
        <f aca="false">(Typical_retail_prices_of_petroleum_products_and_a_crude_oil_price_index_monthly[[#This Row],[Month]]&amp;" "&amp;Typical_retail_prices_of_petroleum_products_and_a_crude_oil_price_index_monthly[[#This Row],[Year]])*1</f>
        <v>42370</v>
      </c>
    </row>
    <row r="336" customFormat="false" ht="14.25" hidden="false" customHeight="true" outlineLevel="0" collapsed="false">
      <c r="A336" s="32" t="n">
        <v>2016</v>
      </c>
      <c r="B336" s="33" t="s">
        <v>60</v>
      </c>
      <c r="C336" s="35"/>
      <c r="D336" s="35" t="n">
        <v>109.719153830766</v>
      </c>
      <c r="E336" s="35" t="n">
        <v>101.402537571821</v>
      </c>
      <c r="F336" s="35" t="n">
        <v>101.020909</v>
      </c>
      <c r="G336" s="35" t="n">
        <v>21.892</v>
      </c>
      <c r="H336" s="35" t="n">
        <v>33.459595</v>
      </c>
      <c r="I336" s="35" t="n">
        <v>42.9998847287383</v>
      </c>
      <c r="J336" s="36" t="n">
        <f aca="false">F336-E336</f>
        <v>-0.381628571821395</v>
      </c>
      <c r="K336" s="49"/>
      <c r="L336" s="48"/>
      <c r="M336" s="49"/>
      <c r="N336" s="39" t="n">
        <f aca="false">(Typical_retail_prices_of_petroleum_products_and_a_crude_oil_price_index_monthly[[#This Row],[Month]]&amp;" "&amp;Typical_retail_prices_of_petroleum_products_and_a_crude_oil_price_index_monthly[[#This Row],[Year]])*1</f>
        <v>42401</v>
      </c>
    </row>
    <row r="337" customFormat="false" ht="14.25" hidden="false" customHeight="true" outlineLevel="0" collapsed="false">
      <c r="A337" s="32" t="n">
        <v>2016</v>
      </c>
      <c r="B337" s="33" t="s">
        <v>61</v>
      </c>
      <c r="C337" s="35"/>
      <c r="D337" s="35" t="n">
        <v>110.527767553511</v>
      </c>
      <c r="E337" s="35" t="n">
        <v>101.726858843943</v>
      </c>
      <c r="F337" s="35" t="n">
        <v>102.399034</v>
      </c>
      <c r="G337" s="35" t="n">
        <v>26.428</v>
      </c>
      <c r="H337" s="35" t="n">
        <v>38.213879</v>
      </c>
      <c r="I337" s="35" t="n">
        <v>52.0342348638792</v>
      </c>
      <c r="J337" s="36" t="n">
        <f aca="false">F337-E337</f>
        <v>0.672175156056667</v>
      </c>
      <c r="K337" s="49"/>
      <c r="L337" s="48"/>
      <c r="M337" s="49"/>
      <c r="N337" s="39" t="n">
        <f aca="false">(Typical_retail_prices_of_petroleum_products_and_a_crude_oil_price_index_monthly[[#This Row],[Month]]&amp;" "&amp;Typical_retail_prices_of_petroleum_products_and_a_crude_oil_price_index_monthly[[#This Row],[Year]])*1</f>
        <v>42430</v>
      </c>
    </row>
    <row r="338" customFormat="false" ht="14.25" hidden="false" customHeight="true" outlineLevel="0" collapsed="false">
      <c r="A338" s="32" t="n">
        <v>2016</v>
      </c>
      <c r="B338" s="33" t="s">
        <v>62</v>
      </c>
      <c r="C338" s="35"/>
      <c r="D338" s="35" t="n">
        <v>115.015963192639</v>
      </c>
      <c r="E338" s="35" t="n">
        <v>106.442845608169</v>
      </c>
      <c r="F338" s="35" t="n">
        <v>106.943421</v>
      </c>
      <c r="G338" s="35" t="n">
        <v>27.398</v>
      </c>
      <c r="H338" s="35" t="n">
        <v>38.835974</v>
      </c>
      <c r="I338" s="35" t="n">
        <v>55.6943392012951</v>
      </c>
      <c r="J338" s="36" t="n">
        <f aca="false">F338-E338</f>
        <v>0.50057539183095</v>
      </c>
      <c r="K338" s="49"/>
      <c r="L338" s="48"/>
      <c r="M338" s="49"/>
      <c r="N338" s="39" t="n">
        <f aca="false">(Typical_retail_prices_of_petroleum_products_and_a_crude_oil_price_index_monthly[[#This Row],[Month]]&amp;" "&amp;Typical_retail_prices_of_petroleum_products_and_a_crude_oil_price_index_monthly[[#This Row],[Year]])*1</f>
        <v>42461</v>
      </c>
    </row>
    <row r="339" customFormat="false" ht="14.25" hidden="false" customHeight="true" outlineLevel="0" collapsed="false">
      <c r="A339" s="32" t="n">
        <v>2016</v>
      </c>
      <c r="B339" s="33" t="s">
        <v>63</v>
      </c>
      <c r="C339" s="35"/>
      <c r="D339" s="35" t="n">
        <v>117.189158831766</v>
      </c>
      <c r="E339" s="35" t="n">
        <v>108.434112394031</v>
      </c>
      <c r="F339" s="35" t="n">
        <v>109.070894</v>
      </c>
      <c r="G339" s="35" t="n">
        <v>29.558</v>
      </c>
      <c r="H339" s="35" t="n">
        <v>42.078426</v>
      </c>
      <c r="I339" s="35" t="n">
        <v>61.9619186079949</v>
      </c>
      <c r="J339" s="36" t="n">
        <f aca="false">F339-E339</f>
        <v>0.636781605969262</v>
      </c>
      <c r="K339" s="49"/>
      <c r="L339" s="48"/>
      <c r="M339" s="49"/>
      <c r="N339" s="39" t="n">
        <f aca="false">(Typical_retail_prices_of_petroleum_products_and_a_crude_oil_price_index_monthly[[#This Row],[Month]]&amp;" "&amp;Typical_retail_prices_of_petroleum_products_and_a_crude_oil_price_index_monthly[[#This Row],[Year]])*1</f>
        <v>42491</v>
      </c>
    </row>
    <row r="340" customFormat="false" ht="14.25" hidden="false" customHeight="true" outlineLevel="0" collapsed="false">
      <c r="A340" s="32" t="n">
        <v>2016</v>
      </c>
      <c r="B340" s="33" t="s">
        <v>64</v>
      </c>
      <c r="C340" s="35"/>
      <c r="D340" s="35" t="n">
        <v>119.713855771154</v>
      </c>
      <c r="E340" s="35" t="n">
        <v>110.963414012462</v>
      </c>
      <c r="F340" s="35" t="n">
        <v>111.856993</v>
      </c>
      <c r="G340" s="35" t="n">
        <v>32.005</v>
      </c>
      <c r="H340" s="35" t="n">
        <v>44.299308</v>
      </c>
      <c r="I340" s="35" t="n">
        <v>66.0936224991744</v>
      </c>
      <c r="J340" s="36" t="n">
        <f aca="false">F340-E340</f>
        <v>0.893578987538021</v>
      </c>
      <c r="K340" s="49"/>
      <c r="L340" s="48"/>
      <c r="M340" s="49"/>
      <c r="N340" s="39" t="n">
        <f aca="false">(Typical_retail_prices_of_petroleum_products_and_a_crude_oil_price_index_monthly[[#This Row],[Month]]&amp;" "&amp;Typical_retail_prices_of_petroleum_products_and_a_crude_oil_price_index_monthly[[#This Row],[Year]])*1</f>
        <v>42522</v>
      </c>
    </row>
    <row r="341" customFormat="false" ht="14.25" hidden="false" customHeight="true" outlineLevel="0" collapsed="false">
      <c r="A341" s="32" t="n">
        <v>2016</v>
      </c>
      <c r="B341" s="33" t="s">
        <v>65</v>
      </c>
      <c r="C341" s="35"/>
      <c r="D341" s="35" t="n">
        <v>120.45675735147</v>
      </c>
      <c r="E341" s="35" t="n">
        <v>111.66290536363</v>
      </c>
      <c r="F341" s="35" t="n">
        <v>112.650845</v>
      </c>
      <c r="G341" s="35" t="n">
        <v>32.383</v>
      </c>
      <c r="H341" s="35" t="n">
        <v>44.492312</v>
      </c>
      <c r="I341" s="35" t="n">
        <v>66.8792849094966</v>
      </c>
      <c r="J341" s="36" t="n">
        <f aca="false">F341-E341</f>
        <v>0.987939636370427</v>
      </c>
      <c r="K341" s="49"/>
      <c r="L341" s="48"/>
      <c r="M341" s="49"/>
      <c r="N341" s="39" t="n">
        <f aca="false">(Typical_retail_prices_of_petroleum_products_and_a_crude_oil_price_index_monthly[[#This Row],[Month]]&amp;" "&amp;Typical_retail_prices_of_petroleum_products_and_a_crude_oil_price_index_monthly[[#This Row],[Year]])*1</f>
        <v>42552</v>
      </c>
    </row>
    <row r="342" customFormat="false" ht="14.25" hidden="false" customHeight="true" outlineLevel="0" collapsed="false">
      <c r="A342" s="32" t="n">
        <v>2016</v>
      </c>
      <c r="B342" s="33" t="s">
        <v>66</v>
      </c>
      <c r="C342" s="35"/>
      <c r="D342" s="35" t="n">
        <v>118.354664932987</v>
      </c>
      <c r="E342" s="35" t="n">
        <v>109.049604021851</v>
      </c>
      <c r="F342" s="35" t="n">
        <v>110.68451</v>
      </c>
      <c r="G342" s="35" t="n">
        <v>30.033</v>
      </c>
      <c r="H342" s="35" t="n">
        <v>43.743884</v>
      </c>
      <c r="I342" s="35" t="n">
        <v>67.2149991701018</v>
      </c>
      <c r="J342" s="36" t="n">
        <f aca="false">F342-E342</f>
        <v>1.63490597814922</v>
      </c>
      <c r="K342" s="49"/>
      <c r="L342" s="48"/>
      <c r="M342" s="49"/>
      <c r="N342" s="39" t="n">
        <f aca="false">(Typical_retail_prices_of_petroleum_products_and_a_crude_oil_price_index_monthly[[#This Row],[Month]]&amp;" "&amp;Typical_retail_prices_of_petroleum_products_and_a_crude_oil_price_index_monthly[[#This Row],[Year]])*1</f>
        <v>42583</v>
      </c>
    </row>
    <row r="343" customFormat="false" ht="14.25" hidden="false" customHeight="true" outlineLevel="0" collapsed="false">
      <c r="A343" s="32" t="n">
        <v>2016</v>
      </c>
      <c r="B343" s="33" t="s">
        <v>67</v>
      </c>
      <c r="C343" s="35"/>
      <c r="D343" s="35" t="n">
        <v>120.128627725545</v>
      </c>
      <c r="E343" s="35" t="n">
        <v>111.21109967971</v>
      </c>
      <c r="F343" s="35" t="n">
        <v>113.23174</v>
      </c>
      <c r="G343" s="35" t="n">
        <v>31.939</v>
      </c>
      <c r="H343" s="35" t="n">
        <v>44.483657</v>
      </c>
      <c r="I343" s="35" t="n">
        <v>69.4311103305754</v>
      </c>
      <c r="J343" s="36" t="n">
        <f aca="false">F343-E343</f>
        <v>2.02064032028957</v>
      </c>
      <c r="K343" s="49"/>
      <c r="L343" s="48"/>
      <c r="M343" s="49"/>
      <c r="N343" s="39" t="n">
        <f aca="false">(Typical_retail_prices_of_petroleum_products_and_a_crude_oil_price_index_monthly[[#This Row],[Month]]&amp;" "&amp;Typical_retail_prices_of_petroleum_products_and_a_crude_oil_price_index_monthly[[#This Row],[Year]])*1</f>
        <v>42614</v>
      </c>
    </row>
    <row r="344" customFormat="false" ht="14.25" hidden="false" customHeight="true" outlineLevel="0" collapsed="false">
      <c r="A344" s="32" t="n">
        <v>2016</v>
      </c>
      <c r="B344" s="33" t="s">
        <v>68</v>
      </c>
      <c r="C344" s="35"/>
      <c r="D344" s="35" t="n">
        <v>123.229392878576</v>
      </c>
      <c r="E344" s="35" t="n">
        <v>113.555123942325</v>
      </c>
      <c r="F344" s="35" t="n">
        <v>115.642068</v>
      </c>
      <c r="G344" s="35" t="n">
        <v>37.445</v>
      </c>
      <c r="H344" s="35" t="n">
        <v>50.250573</v>
      </c>
      <c r="I344" s="35" t="n">
        <v>76.8165500692905</v>
      </c>
      <c r="J344" s="36" t="n">
        <f aca="false">F344-E344</f>
        <v>2.08694405767547</v>
      </c>
      <c r="K344" s="49"/>
      <c r="L344" s="48"/>
      <c r="M344" s="49"/>
      <c r="N344" s="39" t="n">
        <f aca="false">(Typical_retail_prices_of_petroleum_products_and_a_crude_oil_price_index_monthly[[#This Row],[Month]]&amp;" "&amp;Typical_retail_prices_of_petroleum_products_and_a_crude_oil_price_index_monthly[[#This Row],[Year]])*1</f>
        <v>42644</v>
      </c>
    </row>
    <row r="345" customFormat="false" ht="14.25" hidden="false" customHeight="true" outlineLevel="0" collapsed="false">
      <c r="A345" s="32" t="n">
        <v>2016</v>
      </c>
      <c r="B345" s="33" t="s">
        <v>69</v>
      </c>
      <c r="C345" s="35"/>
      <c r="D345" s="35" t="n">
        <v>125.739351870374</v>
      </c>
      <c r="E345" s="35" t="n">
        <v>115.88441626192</v>
      </c>
      <c r="F345" s="35" t="n">
        <v>118.360279</v>
      </c>
      <c r="G345" s="35" t="n">
        <v>35.246</v>
      </c>
      <c r="H345" s="35" t="n">
        <v>46.102402</v>
      </c>
      <c r="I345" s="35" t="n">
        <v>70.9622365990945</v>
      </c>
      <c r="J345" s="36" t="n">
        <f aca="false">F345-E345</f>
        <v>2.47586273808003</v>
      </c>
      <c r="K345" s="49"/>
      <c r="L345" s="48"/>
      <c r="M345" s="49"/>
      <c r="N345" s="39" t="n">
        <f aca="false">(Typical_retail_prices_of_petroleum_products_and_a_crude_oil_price_index_monthly[[#This Row],[Month]]&amp;" "&amp;Typical_retail_prices_of_petroleum_products_and_a_crude_oil_price_index_monthly[[#This Row],[Year]])*1</f>
        <v>42675</v>
      </c>
    </row>
    <row r="346" customFormat="false" ht="14.25" hidden="false" customHeight="true" outlineLevel="0" collapsed="false">
      <c r="A346" s="32" t="n">
        <v>2016</v>
      </c>
      <c r="B346" s="33" t="s">
        <v>70</v>
      </c>
      <c r="C346" s="35"/>
      <c r="D346" s="35" t="n">
        <v>123.642455491098</v>
      </c>
      <c r="E346" s="35" t="n">
        <v>114.0723796218</v>
      </c>
      <c r="F346" s="35" t="n">
        <v>117.160275</v>
      </c>
      <c r="G346" s="35" t="n">
        <v>38.635</v>
      </c>
      <c r="H346" s="35" t="n">
        <v>50.012331</v>
      </c>
      <c r="I346" s="35" t="n">
        <v>82.0994839908255</v>
      </c>
      <c r="J346" s="36" t="n">
        <f aca="false">F346-E346</f>
        <v>3.08789537819973</v>
      </c>
      <c r="K346" s="49"/>
      <c r="L346" s="48"/>
      <c r="M346" s="49"/>
      <c r="N346" s="39" t="n">
        <f aca="false">(Typical_retail_prices_of_petroleum_products_and_a_crude_oil_price_index_monthly[[#This Row],[Month]]&amp;" "&amp;Typical_retail_prices_of_petroleum_products_and_a_crude_oil_price_index_monthly[[#This Row],[Year]])*1</f>
        <v>42705</v>
      </c>
    </row>
    <row r="347" customFormat="false" ht="14.25" hidden="false" customHeight="true" outlineLevel="0" collapsed="false">
      <c r="A347" s="32" t="n">
        <v>2017</v>
      </c>
      <c r="B347" s="33" t="s">
        <v>59</v>
      </c>
      <c r="C347" s="35"/>
      <c r="D347" s="35" t="n">
        <v>127.854687937588</v>
      </c>
      <c r="E347" s="35" t="n">
        <v>118.694981980431</v>
      </c>
      <c r="F347" s="35" t="n">
        <v>121.991512</v>
      </c>
      <c r="G347" s="35" t="n">
        <v>40.68</v>
      </c>
      <c r="H347" s="35" t="n">
        <v>51.987027</v>
      </c>
      <c r="I347" s="35" t="n">
        <v>85.9036836767186</v>
      </c>
      <c r="J347" s="36" t="n">
        <f aca="false">F347-E347</f>
        <v>3.29653001956862</v>
      </c>
      <c r="K347" s="49"/>
      <c r="L347" s="48"/>
      <c r="M347" s="49"/>
      <c r="N347" s="39" t="n">
        <f aca="false">(Typical_retail_prices_of_petroleum_products_and_a_crude_oil_price_index_monthly[[#This Row],[Month]]&amp;" "&amp;Typical_retail_prices_of_petroleum_products_and_a_crude_oil_price_index_monthly[[#This Row],[Year]])*1</f>
        <v>42736</v>
      </c>
    </row>
    <row r="348" customFormat="false" ht="14.25" hidden="false" customHeight="true" outlineLevel="0" collapsed="false">
      <c r="A348" s="32" t="n">
        <v>2017</v>
      </c>
      <c r="B348" s="33" t="s">
        <v>60</v>
      </c>
      <c r="C348" s="35"/>
      <c r="D348" s="35" t="n">
        <v>128.865300060012</v>
      </c>
      <c r="E348" s="35" t="n">
        <v>119.862493654679</v>
      </c>
      <c r="F348" s="35" t="n">
        <v>122.798954</v>
      </c>
      <c r="G348" s="35" t="n">
        <v>40.42</v>
      </c>
      <c r="H348" s="35" t="n">
        <v>51.645923</v>
      </c>
      <c r="I348" s="35" t="n">
        <v>85.4181696583537</v>
      </c>
      <c r="J348" s="36" t="n">
        <f aca="false">F348-E348</f>
        <v>2.93646034532102</v>
      </c>
      <c r="K348" s="49"/>
      <c r="L348" s="48"/>
      <c r="M348" s="49"/>
      <c r="N348" s="39" t="n">
        <f aca="false">(Typical_retail_prices_of_petroleum_products_and_a_crude_oil_price_index_monthly[[#This Row],[Month]]&amp;" "&amp;Typical_retail_prices_of_petroleum_products_and_a_crude_oil_price_index_monthly[[#This Row],[Year]])*1</f>
        <v>42767</v>
      </c>
    </row>
    <row r="349" customFormat="false" ht="14.25" hidden="false" customHeight="true" outlineLevel="0" collapsed="false">
      <c r="A349" s="32" t="n">
        <v>2017</v>
      </c>
      <c r="B349" s="33" t="s">
        <v>61</v>
      </c>
      <c r="C349" s="35"/>
      <c r="D349" s="35" t="n">
        <v>128.4</v>
      </c>
      <c r="E349" s="35" t="n">
        <v>119.39</v>
      </c>
      <c r="F349" s="35" t="n">
        <v>122.34</v>
      </c>
      <c r="G349" s="35" t="n">
        <v>39.58</v>
      </c>
      <c r="H349" s="35" t="n">
        <v>52.21</v>
      </c>
      <c r="I349" s="35" t="n">
        <v>81.722697451294</v>
      </c>
      <c r="J349" s="36" t="n">
        <f aca="false">F349-E349</f>
        <v>2.95</v>
      </c>
      <c r="K349" s="49"/>
      <c r="L349" s="48"/>
      <c r="M349" s="49"/>
      <c r="N349" s="39" t="n">
        <f aca="false">(Typical_retail_prices_of_petroleum_products_and_a_crude_oil_price_index_monthly[[#This Row],[Month]]&amp;" "&amp;Typical_retail_prices_of_petroleum_products_and_a_crude_oil_price_index_monthly[[#This Row],[Year]])*1</f>
        <v>42795</v>
      </c>
    </row>
    <row r="350" customFormat="false" ht="14.25" hidden="false" customHeight="true" outlineLevel="0" collapsed="false">
      <c r="A350" s="32" t="n">
        <v>2017</v>
      </c>
      <c r="B350" s="33" t="s">
        <v>62</v>
      </c>
      <c r="C350" s="35"/>
      <c r="D350" s="35" t="n">
        <v>126.710651130226</v>
      </c>
      <c r="E350" s="35" t="n">
        <v>117.301619295579</v>
      </c>
      <c r="F350" s="35" t="n">
        <v>119.891968</v>
      </c>
      <c r="G350" s="35" t="n">
        <v>39.772</v>
      </c>
      <c r="H350" s="35" t="n">
        <v>51.420868</v>
      </c>
      <c r="I350" s="35" t="n">
        <v>79.8380655414937</v>
      </c>
      <c r="J350" s="36" t="n">
        <f aca="false">F350-E350</f>
        <v>2.59034870442069</v>
      </c>
      <c r="K350" s="49"/>
      <c r="L350" s="48"/>
      <c r="M350" s="49"/>
      <c r="N350" s="39" t="n">
        <f aca="false">(Typical_retail_prices_of_petroleum_products_and_a_crude_oil_price_index_monthly[[#This Row],[Month]]&amp;" "&amp;Typical_retail_prices_of_petroleum_products_and_a_crude_oil_price_index_monthly[[#This Row],[Year]])*1</f>
        <v>42826</v>
      </c>
    </row>
    <row r="351" customFormat="false" ht="14.25" hidden="false" customHeight="true" outlineLevel="0" collapsed="false">
      <c r="A351" s="32" t="n">
        <v>2017</v>
      </c>
      <c r="B351" s="33" t="s">
        <v>63</v>
      </c>
      <c r="C351" s="35"/>
      <c r="D351" s="35" t="n">
        <v>125.007328465693</v>
      </c>
      <c r="E351" s="35" t="n">
        <v>115.521196413678</v>
      </c>
      <c r="F351" s="35" t="n">
        <v>117.398356</v>
      </c>
      <c r="G351" s="35" t="n">
        <v>36.472</v>
      </c>
      <c r="H351" s="35" t="n">
        <v>47.96498</v>
      </c>
      <c r="I351" s="35" t="n">
        <v>75.7595486806509</v>
      </c>
      <c r="J351" s="36" t="n">
        <f aca="false">F351-E351</f>
        <v>1.87715958632243</v>
      </c>
      <c r="K351" s="49"/>
      <c r="L351" s="48"/>
      <c r="M351" s="49"/>
      <c r="N351" s="39" t="n">
        <f aca="false">(Typical_retail_prices_of_petroleum_products_and_a_crude_oil_price_index_monthly[[#This Row],[Month]]&amp;" "&amp;Typical_retail_prices_of_petroleum_products_and_a_crude_oil_price_index_monthly[[#This Row],[Year]])*1</f>
        <v>42856</v>
      </c>
    </row>
    <row r="352" customFormat="false" ht="14.25" hidden="false" customHeight="true" outlineLevel="0" collapsed="false">
      <c r="A352" s="32" t="n">
        <v>2017</v>
      </c>
      <c r="B352" s="33" t="s">
        <v>64</v>
      </c>
      <c r="C352" s="35"/>
      <c r="D352" s="35" t="n">
        <v>124.956049209842</v>
      </c>
      <c r="E352" s="35" t="n">
        <v>115.548423451797</v>
      </c>
      <c r="F352" s="35" t="n">
        <v>117.536351</v>
      </c>
      <c r="G352" s="35" t="n">
        <v>35.731</v>
      </c>
      <c r="H352" s="35" t="n">
        <v>45.579841</v>
      </c>
      <c r="I352" s="35" t="n">
        <v>71.6995087340369</v>
      </c>
      <c r="J352" s="36" t="n">
        <f aca="false">F352-E352</f>
        <v>1.98792754820265</v>
      </c>
      <c r="K352" s="49"/>
      <c r="L352" s="49"/>
      <c r="M352" s="49"/>
      <c r="N352" s="39" t="n">
        <f aca="false">(Typical_retail_prices_of_petroleum_products_and_a_crude_oil_price_index_monthly[[#This Row],[Month]]&amp;" "&amp;Typical_retail_prices_of_petroleum_products_and_a_crude_oil_price_index_monthly[[#This Row],[Year]])*1</f>
        <v>42887</v>
      </c>
    </row>
    <row r="353" customFormat="false" ht="14.25" hidden="false" customHeight="true" outlineLevel="0" collapsed="false">
      <c r="A353" s="32" t="n">
        <v>2017</v>
      </c>
      <c r="B353" s="33" t="s">
        <v>65</v>
      </c>
      <c r="C353" s="35"/>
      <c r="D353" s="35" t="n">
        <v>123.126399279856</v>
      </c>
      <c r="E353" s="35" t="n">
        <v>113.904538918027</v>
      </c>
      <c r="F353" s="35" t="n">
        <v>115.397125</v>
      </c>
      <c r="G353" s="35" t="n">
        <v>34.987</v>
      </c>
      <c r="H353" s="35" t="n">
        <v>46.466909</v>
      </c>
      <c r="I353" s="35" t="n">
        <v>71.7784109100223</v>
      </c>
      <c r="J353" s="36" t="n">
        <f aca="false">F353-E353</f>
        <v>1.49258608197314</v>
      </c>
      <c r="K353" s="49"/>
      <c r="L353" s="49"/>
      <c r="M353" s="49"/>
      <c r="N353" s="39" t="n">
        <f aca="false">(Typical_retail_prices_of_petroleum_products_and_a_crude_oil_price_index_monthly[[#This Row],[Month]]&amp;" "&amp;Typical_retail_prices_of_petroleum_products_and_a_crude_oil_price_index_monthly[[#This Row],[Year]])*1</f>
        <v>42917</v>
      </c>
    </row>
    <row r="354" customFormat="false" ht="14.25" hidden="false" customHeight="true" outlineLevel="0" collapsed="false">
      <c r="A354" s="32" t="n">
        <v>2017</v>
      </c>
      <c r="B354" s="33" t="s">
        <v>66</v>
      </c>
      <c r="C354" s="35"/>
      <c r="D354" s="35" t="n">
        <v>125.180538107622</v>
      </c>
      <c r="E354" s="35" t="n">
        <v>115.64066330085</v>
      </c>
      <c r="F354" s="35" t="n">
        <v>117.346353</v>
      </c>
      <c r="G354" s="35" t="n">
        <v>36.915</v>
      </c>
      <c r="H354" s="35" t="n">
        <v>48.691034</v>
      </c>
      <c r="I354" s="35" t="n">
        <v>77.0796009933096</v>
      </c>
      <c r="J354" s="36" t="n">
        <f aca="false">F354-E354</f>
        <v>1.70568969915017</v>
      </c>
      <c r="K354" s="49"/>
      <c r="L354" s="49"/>
      <c r="M354" s="49"/>
      <c r="N354" s="39" t="n">
        <f aca="false">(Typical_retail_prices_of_petroleum_products_and_a_crude_oil_price_index_monthly[[#This Row],[Month]]&amp;" "&amp;Typical_retail_prices_of_petroleum_products_and_a_crude_oil_price_index_monthly[[#This Row],[Year]])*1</f>
        <v>42948</v>
      </c>
    </row>
    <row r="355" customFormat="false" ht="14.25" hidden="false" customHeight="true" outlineLevel="0" collapsed="false">
      <c r="A355" s="32" t="n">
        <v>2017</v>
      </c>
      <c r="B355" s="33" t="s">
        <v>67</v>
      </c>
      <c r="C355" s="35"/>
      <c r="D355" s="35" t="n">
        <v>128.479475895179</v>
      </c>
      <c r="E355" s="35" t="n">
        <v>118.933812605153</v>
      </c>
      <c r="F355" s="35" t="n">
        <v>120.516535</v>
      </c>
      <c r="G355" s="35" t="n">
        <v>38.503</v>
      </c>
      <c r="H355" s="35" t="n">
        <v>50.593099</v>
      </c>
      <c r="I355" s="35" t="n">
        <v>81.2015378470948</v>
      </c>
      <c r="J355" s="36" t="n">
        <f aca="false">F355-E355</f>
        <v>1.5827223948467</v>
      </c>
      <c r="K355" s="49"/>
      <c r="L355" s="49"/>
      <c r="M355" s="49"/>
      <c r="N355" s="39" t="n">
        <f aca="false">(Typical_retail_prices_of_petroleum_products_and_a_crude_oil_price_index_monthly[[#This Row],[Month]]&amp;" "&amp;Typical_retail_prices_of_petroleum_products_and_a_crude_oil_price_index_monthly[[#This Row],[Year]])*1</f>
        <v>42979</v>
      </c>
    </row>
    <row r="356" customFormat="false" ht="14.25" hidden="false" customHeight="true" outlineLevel="0" collapsed="false">
      <c r="A356" s="32" t="n">
        <v>2017</v>
      </c>
      <c r="B356" s="33" t="s">
        <v>68</v>
      </c>
      <c r="C356" s="35"/>
      <c r="D356" s="35" t="n">
        <v>126.629021804361</v>
      </c>
      <c r="E356" s="35" t="n">
        <v>117.150042635907</v>
      </c>
      <c r="F356" s="35" t="n">
        <v>120.343684</v>
      </c>
      <c r="G356" s="35" t="n">
        <v>39.948</v>
      </c>
      <c r="H356" s="35" t="n">
        <v>51.687528</v>
      </c>
      <c r="I356" s="35" t="n">
        <v>84.7144008475117</v>
      </c>
      <c r="J356" s="36" t="n">
        <f aca="false">F356-E356</f>
        <v>3.19364136409327</v>
      </c>
      <c r="K356" s="49"/>
      <c r="L356" s="49"/>
      <c r="M356" s="49"/>
      <c r="N356" s="39" t="n">
        <f aca="false">(Typical_retail_prices_of_petroleum_products_and_a_crude_oil_price_index_monthly[[#This Row],[Month]]&amp;" "&amp;Typical_retail_prices_of_petroleum_products_and_a_crude_oil_price_index_monthly[[#This Row],[Year]])*1</f>
        <v>43009</v>
      </c>
    </row>
    <row r="357" customFormat="false" ht="14.25" hidden="false" customHeight="true" outlineLevel="0" collapsed="false">
      <c r="A357" s="32" t="n">
        <v>2017</v>
      </c>
      <c r="B357" s="33" t="s">
        <v>69</v>
      </c>
      <c r="C357" s="35"/>
      <c r="D357" s="35" t="n">
        <v>128.711281256251</v>
      </c>
      <c r="E357" s="35" t="n">
        <v>119.124860651794</v>
      </c>
      <c r="F357" s="35" t="n">
        <v>122.716241</v>
      </c>
      <c r="G357" s="35" t="n">
        <v>43.43</v>
      </c>
      <c r="H357" s="35" t="n">
        <v>54.172714</v>
      </c>
      <c r="I357" s="35" t="n">
        <v>91.1495765938529</v>
      </c>
      <c r="J357" s="36" t="n">
        <f aca="false">F357-E357</f>
        <v>3.59138034820609</v>
      </c>
      <c r="K357" s="49"/>
      <c r="L357" s="49"/>
      <c r="M357" s="49"/>
      <c r="N357" s="39" t="n">
        <f aca="false">(Typical_retail_prices_of_petroleum_products_and_a_crude_oil_price_index_monthly[[#This Row],[Month]]&amp;" "&amp;Typical_retail_prices_of_petroleum_products_and_a_crude_oil_price_index_monthly[[#This Row],[Year]])*1</f>
        <v>43040</v>
      </c>
    </row>
    <row r="358" customFormat="false" ht="14.25" hidden="false" customHeight="true" outlineLevel="0" collapsed="false">
      <c r="A358" s="32" t="n">
        <v>2017</v>
      </c>
      <c r="B358" s="33" t="s">
        <v>70</v>
      </c>
      <c r="C358" s="35"/>
      <c r="D358" s="35" t="n">
        <v>129.527452</v>
      </c>
      <c r="E358" s="35" t="n">
        <v>119.993958481641</v>
      </c>
      <c r="F358" s="35" t="n">
        <v>123.513769</v>
      </c>
      <c r="G358" s="35" t="n">
        <v>43.588</v>
      </c>
      <c r="H358" s="35" t="n">
        <v>53.110375</v>
      </c>
      <c r="I358" s="35" t="n">
        <v>93.0974346186197</v>
      </c>
      <c r="J358" s="36" t="n">
        <f aca="false">F358-E358</f>
        <v>3.51981051835924</v>
      </c>
      <c r="K358" s="49"/>
      <c r="L358" s="49"/>
      <c r="M358" s="49"/>
      <c r="N358" s="39" t="n">
        <f aca="false">(Typical_retail_prices_of_petroleum_products_and_a_crude_oil_price_index_monthly[[#This Row],[Month]]&amp;" "&amp;Typical_retail_prices_of_petroleum_products_and_a_crude_oil_price_index_monthly[[#This Row],[Year]])*1</f>
        <v>43070</v>
      </c>
    </row>
    <row r="359" customFormat="false" ht="14.25" hidden="false" customHeight="true" outlineLevel="0" collapsed="false">
      <c r="A359" s="32" t="n">
        <v>2018</v>
      </c>
      <c r="B359" s="33" t="s">
        <v>59</v>
      </c>
      <c r="C359" s="35"/>
      <c r="D359" s="35" t="n">
        <v>130.512359</v>
      </c>
      <c r="E359" s="35" t="n">
        <v>121.161150175854</v>
      </c>
      <c r="F359" s="35" t="n">
        <v>124.553892</v>
      </c>
      <c r="G359" s="35" t="n">
        <v>45.919</v>
      </c>
      <c r="H359" s="35" t="n">
        <v>55.511189</v>
      </c>
      <c r="I359" s="35" t="n">
        <v>96.9724049271618</v>
      </c>
      <c r="J359" s="36" t="n">
        <f aca="false">F359-E359</f>
        <v>3.392741824146</v>
      </c>
      <c r="K359" s="49"/>
      <c r="L359" s="49"/>
      <c r="M359" s="49"/>
      <c r="N359" s="39" t="n">
        <f aca="false">(Typical_retail_prices_of_petroleum_products_and_a_crude_oil_price_index_monthly[[#This Row],[Month]]&amp;" "&amp;Typical_retail_prices_of_petroleum_products_and_a_crude_oil_price_index_monthly[[#This Row],[Year]])*1</f>
        <v>43101</v>
      </c>
    </row>
    <row r="360" customFormat="false" ht="14.25" hidden="false" customHeight="true" outlineLevel="0" collapsed="false">
      <c r="A360" s="32" t="n">
        <v>2018</v>
      </c>
      <c r="B360" s="33" t="s">
        <v>60</v>
      </c>
      <c r="C360" s="35"/>
      <c r="D360" s="35" t="n">
        <v>131.135352</v>
      </c>
      <c r="E360" s="35" t="n">
        <v>121.441740878315</v>
      </c>
      <c r="F360" s="35" t="n">
        <v>124.662084</v>
      </c>
      <c r="G360" s="35" t="n">
        <v>42.871</v>
      </c>
      <c r="H360" s="35" t="n">
        <v>51.935263</v>
      </c>
      <c r="I360" s="35" t="n">
        <v>93.1340972734531</v>
      </c>
      <c r="J360" s="36" t="n">
        <f aca="false">F360-E360</f>
        <v>3.22034312168503</v>
      </c>
      <c r="K360" s="49"/>
      <c r="L360" s="49"/>
      <c r="M360" s="49"/>
      <c r="N360" s="39" t="n">
        <f aca="false">(Typical_retail_prices_of_petroleum_products_and_a_crude_oil_price_index_monthly[[#This Row],[Month]]&amp;" "&amp;Typical_retail_prices_of_petroleum_products_and_a_crude_oil_price_index_monthly[[#This Row],[Year]])*1</f>
        <v>43132</v>
      </c>
    </row>
    <row r="361" customFormat="false" ht="14.25" hidden="false" customHeight="true" outlineLevel="0" collapsed="false">
      <c r="A361" s="32" t="n">
        <v>2018</v>
      </c>
      <c r="B361" s="33" t="s">
        <v>61</v>
      </c>
      <c r="C361" s="35"/>
      <c r="D361" s="35" t="n">
        <v>128.961472</v>
      </c>
      <c r="E361" s="35" t="n">
        <v>119.10934065825</v>
      </c>
      <c r="F361" s="35" t="n">
        <v>122.794673</v>
      </c>
      <c r="G361" s="35" t="n">
        <v>44.197</v>
      </c>
      <c r="H361" s="35" t="n">
        <v>52.507655</v>
      </c>
      <c r="I361" s="35" t="n">
        <v>92.3950980893746</v>
      </c>
      <c r="J361" s="36" t="n">
        <f aca="false">F361-E361</f>
        <v>3.68533234174953</v>
      </c>
      <c r="K361" s="49"/>
      <c r="L361" s="49"/>
      <c r="M361" s="49"/>
      <c r="N361" s="39" t="n">
        <f aca="false">(Typical_retail_prices_of_petroleum_products_and_a_crude_oil_price_index_monthly[[#This Row],[Month]]&amp;" "&amp;Typical_retail_prices_of_petroleum_products_and_a_crude_oil_price_index_monthly[[#This Row],[Year]])*1</f>
        <v>43160</v>
      </c>
    </row>
    <row r="362" customFormat="false" ht="14.25" hidden="false" customHeight="true" outlineLevel="0" collapsed="false">
      <c r="A362" s="32" t="n">
        <v>2018</v>
      </c>
      <c r="B362" s="33" t="s">
        <v>62</v>
      </c>
      <c r="C362" s="35"/>
      <c r="D362" s="35" t="n">
        <v>130.0443</v>
      </c>
      <c r="E362" s="35" t="n">
        <v>120.574023209783</v>
      </c>
      <c r="F362" s="35" t="n">
        <v>124.158995</v>
      </c>
      <c r="G362" s="35" t="n">
        <v>45.933</v>
      </c>
      <c r="H362" s="35" t="n">
        <v>55.431076</v>
      </c>
      <c r="I362" s="35" t="n">
        <v>97.6538659407616</v>
      </c>
      <c r="J362" s="36" t="n">
        <f aca="false">F362-E362</f>
        <v>3.58497179021701</v>
      </c>
      <c r="K362" s="49"/>
      <c r="L362" s="49"/>
      <c r="M362" s="49"/>
      <c r="N362" s="39" t="n">
        <f aca="false">(Typical_retail_prices_of_petroleum_products_and_a_crude_oil_price_index_monthly[[#This Row],[Month]]&amp;" "&amp;Typical_retail_prices_of_petroleum_products_and_a_crude_oil_price_index_monthly[[#This Row],[Year]])*1</f>
        <v>43191</v>
      </c>
    </row>
    <row r="363" customFormat="false" ht="14.25" hidden="false" customHeight="true" outlineLevel="0" collapsed="false">
      <c r="A363" s="32" t="n">
        <v>2018</v>
      </c>
      <c r="B363" s="33" t="s">
        <v>63</v>
      </c>
      <c r="C363" s="35"/>
      <c r="D363" s="35" t="n">
        <v>134.331914</v>
      </c>
      <c r="E363" s="35" t="n">
        <v>124.669525962045</v>
      </c>
      <c r="F363" s="35" t="n">
        <v>128.290196</v>
      </c>
      <c r="G363" s="35" t="n">
        <v>49.49</v>
      </c>
      <c r="H363" s="35" t="n">
        <v>60.610683</v>
      </c>
      <c r="I363" s="35" t="n">
        <v>110.639497601403</v>
      </c>
      <c r="J363" s="36" t="n">
        <f aca="false">F363-E363</f>
        <v>3.62067003795492</v>
      </c>
      <c r="K363" s="49"/>
      <c r="L363" s="49"/>
      <c r="M363" s="49"/>
      <c r="N363" s="39" t="n">
        <f aca="false">(Typical_retail_prices_of_petroleum_products_and_a_crude_oil_price_index_monthly[[#This Row],[Month]]&amp;" "&amp;Typical_retail_prices_of_petroleum_products_and_a_crude_oil_price_index_monthly[[#This Row],[Year]])*1</f>
        <v>43221</v>
      </c>
    </row>
    <row r="364" customFormat="false" ht="14.25" hidden="false" customHeight="true" outlineLevel="0" collapsed="false">
      <c r="A364" s="32" t="n">
        <v>2018</v>
      </c>
      <c r="B364" s="33" t="s">
        <v>64</v>
      </c>
      <c r="C364" s="35"/>
      <c r="D364" s="35" t="n">
        <v>138.252613</v>
      </c>
      <c r="E364" s="35" t="n">
        <v>127.944978939909</v>
      </c>
      <c r="F364" s="35" t="n">
        <v>131.876316</v>
      </c>
      <c r="G364" s="35" t="n">
        <v>48.934</v>
      </c>
      <c r="H364" s="35" t="n">
        <v>60.878897</v>
      </c>
      <c r="I364" s="35" t="n">
        <v>109.456368224822</v>
      </c>
      <c r="J364" s="36" t="n">
        <f aca="false">F364-E364</f>
        <v>3.93133706009077</v>
      </c>
      <c r="K364" s="49"/>
      <c r="L364" s="49"/>
      <c r="M364" s="49"/>
      <c r="N364" s="39" t="n">
        <f aca="false">(Typical_retail_prices_of_petroleum_products_and_a_crude_oil_price_index_monthly[[#This Row],[Month]]&amp;" "&amp;Typical_retail_prices_of_petroleum_products_and_a_crude_oil_price_index_monthly[[#This Row],[Year]])*1</f>
        <v>43252</v>
      </c>
    </row>
    <row r="365" customFormat="false" ht="14.25" hidden="false" customHeight="true" outlineLevel="0" collapsed="false">
      <c r="A365" s="32" t="n">
        <v>2018</v>
      </c>
      <c r="B365" s="33" t="s">
        <v>65</v>
      </c>
      <c r="C365" s="35"/>
      <c r="D365" s="35" t="n">
        <v>137.727928</v>
      </c>
      <c r="E365" s="35" t="n">
        <v>127.617834946552</v>
      </c>
      <c r="F365" s="35" t="n">
        <v>131.79739</v>
      </c>
      <c r="G365" s="35" t="n">
        <v>48.464</v>
      </c>
      <c r="H365" s="35" t="n">
        <v>60.911133</v>
      </c>
      <c r="I365" s="35" t="n">
        <v>109.725303751157</v>
      </c>
      <c r="J365" s="36" t="n">
        <f aca="false">F365-E365</f>
        <v>4.17955505344783</v>
      </c>
      <c r="K365" s="49"/>
      <c r="L365" s="49"/>
      <c r="M365" s="49"/>
      <c r="N365" s="39" t="n">
        <f aca="false">(Typical_retail_prices_of_petroleum_products_and_a_crude_oil_price_index_monthly[[#This Row],[Month]]&amp;" "&amp;Typical_retail_prices_of_petroleum_products_and_a_crude_oil_price_index_monthly[[#This Row],[Year]])*1</f>
        <v>43282</v>
      </c>
    </row>
    <row r="366" customFormat="false" ht="14.25" hidden="false" customHeight="true" outlineLevel="0" collapsed="false">
      <c r="A366" s="32" t="n">
        <v>2018</v>
      </c>
      <c r="B366" s="33" t="s">
        <v>66</v>
      </c>
      <c r="C366" s="35"/>
      <c r="D366" s="35" t="n">
        <v>138.687571</v>
      </c>
      <c r="E366" s="35" t="n">
        <v>128.616075564462</v>
      </c>
      <c r="F366" s="35" t="n">
        <v>132.490182</v>
      </c>
      <c r="G366" s="35" t="n">
        <v>49.099</v>
      </c>
      <c r="H366" s="35" t="n">
        <v>61.818066</v>
      </c>
      <c r="I366" s="35" t="n">
        <v>110.47720625334</v>
      </c>
      <c r="J366" s="36" t="n">
        <f aca="false">F366-E366</f>
        <v>3.87410643553829</v>
      </c>
      <c r="K366" s="49"/>
      <c r="L366" s="49"/>
      <c r="M366" s="49"/>
      <c r="N366" s="39" t="n">
        <f aca="false">(Typical_retail_prices_of_petroleum_products_and_a_crude_oil_price_index_monthly[[#This Row],[Month]]&amp;" "&amp;Typical_retail_prices_of_petroleum_products_and_a_crude_oil_price_index_monthly[[#This Row],[Year]])*1</f>
        <v>43313</v>
      </c>
    </row>
    <row r="367" customFormat="false" ht="14.25" hidden="false" customHeight="true" outlineLevel="0" collapsed="false">
      <c r="A367" s="32" t="n">
        <v>2018</v>
      </c>
      <c r="B367" s="33" t="s">
        <v>67</v>
      </c>
      <c r="C367" s="35"/>
      <c r="D367" s="35" t="n">
        <v>140.893879</v>
      </c>
      <c r="E367" s="35" t="n">
        <v>130.751244391759</v>
      </c>
      <c r="F367" s="35" t="n">
        <v>134.48279</v>
      </c>
      <c r="G367" s="35" t="n">
        <v>51.298</v>
      </c>
      <c r="H367" s="35" t="n">
        <v>63.797068</v>
      </c>
      <c r="I367" s="35" t="n">
        <v>115.036885353992</v>
      </c>
      <c r="J367" s="36" t="n">
        <f aca="false">F367-E367</f>
        <v>3.73154560824099</v>
      </c>
      <c r="K367" s="49"/>
      <c r="L367" s="49"/>
      <c r="M367" s="49"/>
      <c r="N367" s="39" t="n">
        <f aca="false">(Typical_retail_prices_of_petroleum_products_and_a_crude_oil_price_index_monthly[[#This Row],[Month]]&amp;" "&amp;Typical_retail_prices_of_petroleum_products_and_a_crude_oil_price_index_monthly[[#This Row],[Year]])*1</f>
        <v>43344</v>
      </c>
    </row>
    <row r="368" customFormat="false" ht="14.25" hidden="false" customHeight="true" outlineLevel="0" collapsed="false">
      <c r="A368" s="32" t="n">
        <v>2018</v>
      </c>
      <c r="B368" s="33" t="s">
        <v>68</v>
      </c>
      <c r="C368" s="35"/>
      <c r="D368" s="35" t="n">
        <v>141.371228</v>
      </c>
      <c r="E368" s="35" t="n">
        <v>130.881560367331</v>
      </c>
      <c r="F368" s="35" t="n">
        <v>136.616613</v>
      </c>
      <c r="G368" s="35" t="n">
        <v>53.597</v>
      </c>
      <c r="H368" s="35" t="n">
        <v>66.463596</v>
      </c>
      <c r="I368" s="35" t="n">
        <v>121.151197909538</v>
      </c>
      <c r="J368" s="36" t="n">
        <f aca="false">F368-E368</f>
        <v>5.73505263266884</v>
      </c>
      <c r="K368" s="49"/>
      <c r="L368" s="49"/>
      <c r="M368" s="49"/>
      <c r="N368" s="39" t="n">
        <f aca="false">(Typical_retail_prices_of_petroleum_products_and_a_crude_oil_price_index_monthly[[#This Row],[Month]]&amp;" "&amp;Typical_retail_prices_of_petroleum_products_and_a_crude_oil_price_index_monthly[[#This Row],[Year]])*1</f>
        <v>43374</v>
      </c>
    </row>
    <row r="369" customFormat="false" ht="14.25" hidden="false" customHeight="true" outlineLevel="0" collapsed="false">
      <c r="A369" s="32" t="n">
        <v>2018</v>
      </c>
      <c r="B369" s="33" t="s">
        <v>69</v>
      </c>
      <c r="C369" s="35"/>
      <c r="D369" s="35" t="n">
        <v>138.934761</v>
      </c>
      <c r="E369" s="35" t="n">
        <v>128.611092689589</v>
      </c>
      <c r="F369" s="35" t="n">
        <v>137.058654</v>
      </c>
      <c r="G369" s="35" t="n">
        <v>51.558</v>
      </c>
      <c r="H369" s="35" t="n">
        <v>63.818389</v>
      </c>
      <c r="I369" s="35" t="n">
        <v>104.897462404201</v>
      </c>
      <c r="J369" s="36" t="n">
        <f aca="false">F369-E369</f>
        <v>8.44756131041129</v>
      </c>
      <c r="K369" s="49"/>
      <c r="L369" s="49"/>
      <c r="M369" s="49"/>
      <c r="N369" s="39" t="n">
        <f aca="false">(Typical_retail_prices_of_petroleum_products_and_a_crude_oil_price_index_monthly[[#This Row],[Month]]&amp;" "&amp;Typical_retail_prices_of_petroleum_products_and_a_crude_oil_price_index_monthly[[#This Row],[Year]])*1</f>
        <v>43405</v>
      </c>
    </row>
    <row r="370" customFormat="false" ht="14.25" hidden="false" customHeight="true" outlineLevel="0" collapsed="false">
      <c r="A370" s="32" t="n">
        <v>2018</v>
      </c>
      <c r="B370" s="33" t="s">
        <v>70</v>
      </c>
      <c r="C370" s="35"/>
      <c r="D370" s="35" t="n">
        <v>131.381004</v>
      </c>
      <c r="E370" s="51" t="n">
        <v>120.973086608496</v>
      </c>
      <c r="F370" s="51" t="n">
        <v>131.004212</v>
      </c>
      <c r="G370" s="35" t="n">
        <v>46.967</v>
      </c>
      <c r="H370" s="35" t="n">
        <v>58.9787</v>
      </c>
      <c r="I370" s="35" t="n">
        <v>89.057669324826</v>
      </c>
      <c r="J370" s="36" t="n">
        <f aca="false">F370-E370</f>
        <v>10.0311253915038</v>
      </c>
      <c r="K370" s="48"/>
      <c r="L370" s="49"/>
      <c r="M370" s="49"/>
      <c r="N370" s="39" t="n">
        <f aca="false">(Typical_retail_prices_of_petroleum_products_and_a_crude_oil_price_index_monthly[[#This Row],[Month]]&amp;" "&amp;Typical_retail_prices_of_petroleum_products_and_a_crude_oil_price_index_monthly[[#This Row],[Year]])*1</f>
        <v>43435</v>
      </c>
    </row>
    <row r="371" customFormat="false" ht="14.25" hidden="false" customHeight="true" outlineLevel="0" collapsed="false">
      <c r="A371" s="32" t="n">
        <v>2019</v>
      </c>
      <c r="B371" s="33" t="s">
        <v>59</v>
      </c>
      <c r="C371" s="35"/>
      <c r="D371" s="35" t="n">
        <v>129.554945</v>
      </c>
      <c r="E371" s="51" t="n">
        <v>119.456544016876</v>
      </c>
      <c r="F371" s="51" t="n">
        <v>129.268337</v>
      </c>
      <c r="G371" s="35" t="n">
        <v>46.587</v>
      </c>
      <c r="H371" s="35" t="n">
        <v>56.722092</v>
      </c>
      <c r="I371" s="35" t="n">
        <v>89.4376226445031</v>
      </c>
      <c r="J371" s="36" t="n">
        <f aca="false">F371-E371</f>
        <v>9.81179298312415</v>
      </c>
      <c r="K371" s="48"/>
      <c r="L371" s="49"/>
      <c r="M371" s="49"/>
      <c r="N371" s="39" t="n">
        <f aca="false">(Typical_retail_prices_of_petroleum_products_and_a_crude_oil_price_index_monthly[[#This Row],[Month]]&amp;" "&amp;Typical_retail_prices_of_petroleum_products_and_a_crude_oil_price_index_monthly[[#This Row],[Year]])*1</f>
        <v>43466</v>
      </c>
    </row>
    <row r="372" customFormat="false" ht="14.25" hidden="false" customHeight="true" outlineLevel="0" collapsed="false">
      <c r="A372" s="32" t="n">
        <v>2019</v>
      </c>
      <c r="B372" s="33" t="s">
        <v>60</v>
      </c>
      <c r="C372" s="35"/>
      <c r="D372" s="35" t="n">
        <v>129.294465</v>
      </c>
      <c r="E372" s="51" t="n">
        <v>118.854976287141</v>
      </c>
      <c r="F372" s="51" t="n">
        <v>128.933731</v>
      </c>
      <c r="G372" s="35" t="n">
        <v>47.217</v>
      </c>
      <c r="H372" s="35" t="n">
        <v>59.333862</v>
      </c>
      <c r="I372" s="35" t="n">
        <v>95.7031472707349</v>
      </c>
      <c r="J372" s="36" t="n">
        <f aca="false">F372-E372</f>
        <v>10.0787547128594</v>
      </c>
      <c r="K372" s="48"/>
      <c r="L372" s="49"/>
      <c r="M372" s="49"/>
      <c r="N372" s="39" t="n">
        <f aca="false">(Typical_retail_prices_of_petroleum_products_and_a_crude_oil_price_index_monthly[[#This Row],[Month]]&amp;" "&amp;Typical_retail_prices_of_petroleum_products_and_a_crude_oil_price_index_monthly[[#This Row],[Year]])*1</f>
        <v>43497</v>
      </c>
    </row>
    <row r="373" customFormat="false" ht="14.25" hidden="false" customHeight="true" outlineLevel="0" collapsed="false">
      <c r="A373" s="32" t="n">
        <v>2019</v>
      </c>
      <c r="B373" s="33" t="s">
        <v>61</v>
      </c>
      <c r="C373" s="35"/>
      <c r="D373" s="35" t="n">
        <v>131.811255</v>
      </c>
      <c r="E373" s="51" t="n">
        <v>120.411893804137</v>
      </c>
      <c r="F373" s="51" t="n">
        <v>130.717262</v>
      </c>
      <c r="G373" s="35" t="n">
        <v>46.593</v>
      </c>
      <c r="H373" s="35" t="n">
        <v>58.145568</v>
      </c>
      <c r="I373" s="35" t="n">
        <v>98.1070607669395</v>
      </c>
      <c r="J373" s="36" t="n">
        <f aca="false">F373-E373</f>
        <v>10.305368195863</v>
      </c>
      <c r="K373" s="48"/>
      <c r="L373" s="49"/>
      <c r="M373" s="49"/>
      <c r="N373" s="39" t="n">
        <f aca="false">(Typical_retail_prices_of_petroleum_products_and_a_crude_oil_price_index_monthly[[#This Row],[Month]]&amp;" "&amp;Typical_retail_prices_of_petroleum_products_and_a_crude_oil_price_index_monthly[[#This Row],[Year]])*1</f>
        <v>43525</v>
      </c>
    </row>
    <row r="374" customFormat="false" ht="14.25" hidden="false" customHeight="true" outlineLevel="0" collapsed="false">
      <c r="A374" s="32" t="n">
        <v>2019</v>
      </c>
      <c r="B374" s="33" t="s">
        <v>62</v>
      </c>
      <c r="C374" s="35"/>
      <c r="D374" s="35" t="n">
        <v>135.484275</v>
      </c>
      <c r="E374" s="51" t="n">
        <v>124.095546017391</v>
      </c>
      <c r="F374" s="51" t="n">
        <v>132.8527</v>
      </c>
      <c r="G374" s="35" t="n">
        <v>47.867</v>
      </c>
      <c r="H374" s="35" t="n">
        <v>60.179288</v>
      </c>
      <c r="I374" s="35" t="n">
        <v>106.141606286916</v>
      </c>
      <c r="J374" s="36" t="n">
        <f aca="false">F374-E374</f>
        <v>8.75715398260866</v>
      </c>
      <c r="K374" s="48"/>
      <c r="L374" s="49"/>
      <c r="M374" s="49"/>
      <c r="N374" s="39" t="n">
        <f aca="false">(Typical_retail_prices_of_petroleum_products_and_a_crude_oil_price_index_monthly[[#This Row],[Month]]&amp;" "&amp;Typical_retail_prices_of_petroleum_products_and_a_crude_oil_price_index_monthly[[#This Row],[Year]])*1</f>
        <v>43556</v>
      </c>
    </row>
    <row r="375" customFormat="false" ht="14.25" hidden="false" customHeight="true" outlineLevel="0" collapsed="false">
      <c r="A375" s="32" t="n">
        <v>2019</v>
      </c>
      <c r="B375" s="33" t="s">
        <v>63</v>
      </c>
      <c r="C375" s="35"/>
      <c r="D375" s="35" t="n">
        <v>139.082594</v>
      </c>
      <c r="E375" s="35" t="n">
        <v>128.069368051553</v>
      </c>
      <c r="F375" s="35" t="n">
        <v>135.328452</v>
      </c>
      <c r="G375" s="35" t="n">
        <v>47.835</v>
      </c>
      <c r="H375" s="35" t="n">
        <v>60.810038</v>
      </c>
      <c r="I375" s="35" t="n">
        <v>108.703063412878</v>
      </c>
      <c r="J375" s="36" t="n">
        <f aca="false">F375-E375</f>
        <v>7.25908394844694</v>
      </c>
      <c r="K375" s="48"/>
      <c r="L375" s="49"/>
      <c r="M375" s="49"/>
      <c r="N375" s="39" t="n">
        <f aca="false">(Typical_retail_prices_of_petroleum_products_and_a_crude_oil_price_index_monthly[[#This Row],[Month]]&amp;" "&amp;Typical_retail_prices_of_petroleum_products_and_a_crude_oil_price_index_monthly[[#This Row],[Year]])*1</f>
        <v>43586</v>
      </c>
    </row>
    <row r="376" customFormat="false" ht="14.25" hidden="false" customHeight="true" outlineLevel="0" collapsed="false">
      <c r="A376" s="32" t="n">
        <v>2019</v>
      </c>
      <c r="B376" s="33" t="s">
        <v>64</v>
      </c>
      <c r="C376" s="35"/>
      <c r="D376" s="35" t="n">
        <v>139.090613</v>
      </c>
      <c r="E376" s="35" t="n">
        <v>127.630255464309</v>
      </c>
      <c r="F376" s="35" t="n">
        <v>133.390478</v>
      </c>
      <c r="G376" s="35" t="n">
        <v>44.271</v>
      </c>
      <c r="H376" s="35" t="n">
        <v>57.259907</v>
      </c>
      <c r="I376" s="35" t="n">
        <v>100.853737602671</v>
      </c>
      <c r="J376" s="36" t="n">
        <f aca="false">F376-E376</f>
        <v>5.76022253569091</v>
      </c>
      <c r="K376" s="48"/>
      <c r="L376" s="49"/>
      <c r="M376" s="49"/>
      <c r="N376" s="39" t="n">
        <f aca="false">(Typical_retail_prices_of_petroleum_products_and_a_crude_oil_price_index_monthly[[#This Row],[Month]]&amp;" "&amp;Typical_retail_prices_of_petroleum_products_and_a_crude_oil_price_index_monthly[[#This Row],[Year]])*1</f>
        <v>43617</v>
      </c>
    </row>
    <row r="377" customFormat="false" ht="14.25" hidden="false" customHeight="true" outlineLevel="0" collapsed="false">
      <c r="A377" s="32" t="n">
        <v>2019</v>
      </c>
      <c r="B377" s="33" t="s">
        <v>65</v>
      </c>
      <c r="C377" s="35"/>
      <c r="D377" s="35" t="n">
        <v>138.290772</v>
      </c>
      <c r="E377" s="35" t="n">
        <v>127.384441239488</v>
      </c>
      <c r="F377" s="35" t="n">
        <v>131.760719</v>
      </c>
      <c r="G377" s="35" t="n">
        <v>47.427</v>
      </c>
      <c r="H377" s="35" t="n">
        <v>59.763061</v>
      </c>
      <c r="I377" s="35" t="n">
        <v>101.48517005435</v>
      </c>
      <c r="J377" s="36" t="n">
        <f aca="false">F377-E377</f>
        <v>4.37627776051181</v>
      </c>
      <c r="K377" s="52"/>
      <c r="L377" s="53"/>
      <c r="M377" s="53"/>
      <c r="N377" s="54" t="n">
        <f aca="false">(Typical_retail_prices_of_petroleum_products_and_a_crude_oil_price_index_monthly[[#This Row],[Month]]&amp;" "&amp;Typical_retail_prices_of_petroleum_products_and_a_crude_oil_price_index_monthly[[#This Row],[Year]])*1</f>
        <v>43647</v>
      </c>
    </row>
    <row r="378" customFormat="false" ht="14.25" hidden="false" customHeight="true" outlineLevel="0" collapsed="false">
      <c r="A378" s="32" t="n">
        <v>2019</v>
      </c>
      <c r="B378" s="33" t="s">
        <v>66</v>
      </c>
      <c r="C378" s="35"/>
      <c r="D378" s="35" t="n">
        <v>139.810917</v>
      </c>
      <c r="E378" s="35" t="n">
        <v>128.509652508507</v>
      </c>
      <c r="F378" s="35" t="n">
        <v>132.576672</v>
      </c>
      <c r="G378" s="35" t="n">
        <v>47.499</v>
      </c>
      <c r="H378" s="35" t="n">
        <v>58.79684</v>
      </c>
      <c r="I378" s="35" t="n">
        <v>97.5498422360993</v>
      </c>
      <c r="J378" s="36" t="n">
        <f aca="false">F378-E378</f>
        <v>4.06701949149277</v>
      </c>
      <c r="K378" s="52"/>
      <c r="L378" s="53"/>
      <c r="M378" s="53"/>
      <c r="N378" s="54" t="n">
        <f aca="false">(Typical_retail_prices_of_petroleum_products_and_a_crude_oil_price_index_monthly[[#This Row],[Month]]&amp;" "&amp;Typical_retail_prices_of_petroleum_products_and_a_crude_oil_price_index_monthly[[#This Row],[Year]])*1</f>
        <v>43678</v>
      </c>
    </row>
    <row r="379" customFormat="false" ht="14.25" hidden="false" customHeight="true" outlineLevel="0" collapsed="false">
      <c r="A379" s="32" t="n">
        <v>2019</v>
      </c>
      <c r="B379" s="33" t="s">
        <v>67</v>
      </c>
      <c r="C379" s="35"/>
      <c r="D379" s="35" t="n">
        <v>138.831011</v>
      </c>
      <c r="E379" s="35" t="n">
        <v>126.994543063142</v>
      </c>
      <c r="F379" s="35" t="n">
        <v>131.270388</v>
      </c>
      <c r="G379" s="35" t="n">
        <v>46.69</v>
      </c>
      <c r="H379" s="35" t="n">
        <v>60.001689</v>
      </c>
      <c r="I379" s="35" t="n">
        <v>98.4482901757261</v>
      </c>
      <c r="J379" s="36" t="n">
        <f aca="false">F379-E379</f>
        <v>4.27584493685754</v>
      </c>
      <c r="K379" s="52"/>
      <c r="L379" s="53"/>
      <c r="M379" s="53"/>
      <c r="N379" s="54" t="n">
        <f aca="false">(Typical_retail_prices_of_petroleum_products_and_a_crude_oil_price_index_monthly[[#This Row],[Month]]&amp;" "&amp;Typical_retail_prices_of_petroleum_products_and_a_crude_oil_price_index_monthly[[#This Row],[Year]])*1</f>
        <v>43709</v>
      </c>
    </row>
    <row r="380" customFormat="false" ht="14.25" hidden="false" customHeight="true" outlineLevel="0" collapsed="false">
      <c r="A380" s="32" t="n">
        <v>2019</v>
      </c>
      <c r="B380" s="33" t="s">
        <v>68</v>
      </c>
      <c r="C380" s="35"/>
      <c r="D380" s="35" t="n">
        <v>138.740266</v>
      </c>
      <c r="E380" s="35" t="n">
        <v>127.068624380074</v>
      </c>
      <c r="F380" s="35" t="n">
        <v>131.892802</v>
      </c>
      <c r="G380" s="35" t="n">
        <v>48.338</v>
      </c>
      <c r="H380" s="35" t="n">
        <v>59.274475</v>
      </c>
      <c r="I380" s="35" t="n">
        <v>94.3298055876869</v>
      </c>
      <c r="J380" s="36" t="n">
        <f aca="false">F380-E380</f>
        <v>4.82417761992599</v>
      </c>
      <c r="K380" s="52"/>
      <c r="L380" s="53"/>
      <c r="M380" s="53"/>
      <c r="N380" s="54" t="n">
        <f aca="false">(Typical_retail_prices_of_petroleum_products_and_a_crude_oil_price_index_monthly[[#This Row],[Month]]&amp;" "&amp;Typical_retail_prices_of_petroleum_products_and_a_crude_oil_price_index_monthly[[#This Row],[Year]])*1</f>
        <v>43739</v>
      </c>
    </row>
    <row r="381" customFormat="false" ht="14.25" hidden="false" customHeight="true" outlineLevel="0" collapsed="false">
      <c r="A381" s="32" t="n">
        <v>2019</v>
      </c>
      <c r="B381" s="33" t="s">
        <v>69</v>
      </c>
      <c r="C381" s="35"/>
      <c r="D381" s="35" t="n">
        <v>137.59993</v>
      </c>
      <c r="E381" s="35" t="n">
        <v>125.645311061702</v>
      </c>
      <c r="F381" s="35" t="n">
        <v>130.283996</v>
      </c>
      <c r="G381" s="35" t="n">
        <v>46.49</v>
      </c>
      <c r="H381" s="35" t="n">
        <v>58.377035</v>
      </c>
      <c r="I381" s="35" t="n">
        <v>96.4835176116236</v>
      </c>
      <c r="J381" s="36" t="n">
        <f aca="false">F381-E381</f>
        <v>4.63868493829834</v>
      </c>
      <c r="K381" s="52"/>
      <c r="L381" s="53"/>
      <c r="M381" s="53"/>
      <c r="N381" s="54" t="n">
        <f aca="false">(Typical_retail_prices_of_petroleum_products_and_a_crude_oil_price_index_monthly[[#This Row],[Month]]&amp;" "&amp;Typical_retail_prices_of_petroleum_products_and_a_crude_oil_price_index_monthly[[#This Row],[Year]])*1</f>
        <v>43770</v>
      </c>
    </row>
    <row r="382" customFormat="false" ht="14.25" hidden="false" customHeight="true" outlineLevel="0" collapsed="false">
      <c r="A382" s="32" t="n">
        <v>2019</v>
      </c>
      <c r="B382" s="33" t="s">
        <v>70</v>
      </c>
      <c r="C382" s="35"/>
      <c r="D382" s="35" t="n">
        <v>136.57962</v>
      </c>
      <c r="E382" s="35" t="n">
        <v>124.414826055627</v>
      </c>
      <c r="F382" s="35" t="n">
        <v>129.430018</v>
      </c>
      <c r="G382" s="35" t="n">
        <v>46.302</v>
      </c>
      <c r="H382" s="35" t="n">
        <v>57.518974</v>
      </c>
      <c r="I382" s="55" t="n">
        <v>101.041123285369</v>
      </c>
      <c r="J382" s="36" t="n">
        <f aca="false">F382-E382</f>
        <v>5.01519194437297</v>
      </c>
      <c r="K382" s="52"/>
      <c r="L382" s="53"/>
      <c r="M382" s="53"/>
      <c r="N382" s="54" t="n">
        <f aca="false">(Typical_retail_prices_of_petroleum_products_and_a_crude_oil_price_index_monthly[[#This Row],[Month]]&amp;" "&amp;Typical_retail_prices_of_petroleum_products_and_a_crude_oil_price_index_monthly[[#This Row],[Year]])*1</f>
        <v>43800</v>
      </c>
    </row>
    <row r="383" customFormat="false" ht="14.25" hidden="false" customHeight="true" outlineLevel="0" collapsed="false">
      <c r="A383" s="32" t="n">
        <v>2020</v>
      </c>
      <c r="B383" s="33" t="s">
        <v>59</v>
      </c>
      <c r="C383" s="35"/>
      <c r="D383" s="35" t="n">
        <v>139.211631</v>
      </c>
      <c r="E383" s="35" t="n">
        <v>127.140534997831</v>
      </c>
      <c r="F383" s="35" t="n">
        <v>132.634347</v>
      </c>
      <c r="G383" s="35" t="n">
        <v>48.197</v>
      </c>
      <c r="H383" s="35" t="n">
        <v>59.820065</v>
      </c>
      <c r="I383" s="55" t="n">
        <v>98.4956943862579</v>
      </c>
      <c r="J383" s="36" t="n">
        <f aca="false">F383-E383</f>
        <v>5.49381200216952</v>
      </c>
      <c r="K383" s="56"/>
      <c r="L383" s="53"/>
      <c r="M383" s="53"/>
      <c r="N383" s="54" t="n">
        <f aca="false">(Typical_retail_prices_of_petroleum_products_and_a_crude_oil_price_index_monthly[[#This Row],[Month]]&amp;" "&amp;Typical_retail_prices_of_petroleum_products_and_a_crude_oil_price_index_monthly[[#This Row],[Year]])*1</f>
        <v>43831</v>
      </c>
    </row>
    <row r="384" customFormat="false" ht="14.25" hidden="false" customHeight="true" outlineLevel="0" collapsed="false">
      <c r="A384" s="32" t="n">
        <v>2020</v>
      </c>
      <c r="B384" s="33" t="s">
        <v>60</v>
      </c>
      <c r="C384" s="35"/>
      <c r="D384" s="35" t="n">
        <v>136.100981</v>
      </c>
      <c r="E384" s="35" t="n">
        <v>123.5770719586</v>
      </c>
      <c r="F384" s="35" t="n">
        <v>127.789029</v>
      </c>
      <c r="G384" s="35" t="n">
        <v>41.062</v>
      </c>
      <c r="H384" s="35" t="n">
        <v>54.200303</v>
      </c>
      <c r="I384" s="55" t="n">
        <v>89.1263996490469</v>
      </c>
      <c r="J384" s="36" t="n">
        <f aca="false">F384-E384</f>
        <v>4.21195704139954</v>
      </c>
      <c r="K384" s="56"/>
      <c r="L384" s="53"/>
      <c r="M384" s="53"/>
      <c r="N384" s="54" t="n">
        <f aca="false">(Typical_retail_prices_of_petroleum_products_and_a_crude_oil_price_index_monthly[[#This Row],[Month]]&amp;" "&amp;Typical_retail_prices_of_petroleum_products_and_a_crude_oil_price_index_monthly[[#This Row],[Year]])*1</f>
        <v>43862</v>
      </c>
    </row>
    <row r="385" customFormat="false" ht="14.25" hidden="false" customHeight="true" outlineLevel="0" collapsed="false">
      <c r="A385" s="32" t="n">
        <v>2020</v>
      </c>
      <c r="B385" s="33" t="s">
        <v>61</v>
      </c>
      <c r="C385" s="35"/>
      <c r="D385" s="35" t="n">
        <v>132.738015</v>
      </c>
      <c r="E385" s="35" t="n">
        <v>120.23922409101</v>
      </c>
      <c r="F385" s="35" t="n">
        <v>124.088271</v>
      </c>
      <c r="G385" s="35" t="n">
        <v>31.941</v>
      </c>
      <c r="H385" s="35" t="n">
        <v>46.225133</v>
      </c>
      <c r="I385" s="55" t="n">
        <v>61.6835207720992</v>
      </c>
      <c r="J385" s="36" t="n">
        <f aca="false">F385-E385</f>
        <v>3.84904690898958</v>
      </c>
      <c r="K385" s="56"/>
      <c r="L385" s="53"/>
      <c r="M385" s="53"/>
      <c r="N385" s="54" t="n">
        <f aca="false">(Typical_retail_prices_of_petroleum_products_and_a_crude_oil_price_index_monthly[[#This Row],[Month]]&amp;" "&amp;Typical_retail_prices_of_petroleum_products_and_a_crude_oil_price_index_monthly[[#This Row],[Year]])*1</f>
        <v>43891</v>
      </c>
    </row>
    <row r="386" customFormat="false" ht="14.25" hidden="false" customHeight="true" outlineLevel="0" collapsed="false">
      <c r="A386" s="32" t="n">
        <v>2020</v>
      </c>
      <c r="B386" s="33" t="s">
        <v>62</v>
      </c>
      <c r="C386" s="35"/>
      <c r="D386" s="35" t="n">
        <v>123.127722</v>
      </c>
      <c r="E386" s="57" t="n">
        <v>108.9702489401</v>
      </c>
      <c r="F386" s="57" t="n">
        <v>115.813428</v>
      </c>
      <c r="G386" s="35" t="n">
        <v>22.42</v>
      </c>
      <c r="H386" s="35" t="n">
        <v>41.22668</v>
      </c>
      <c r="I386" s="55" t="n">
        <v>37.7338937970745</v>
      </c>
      <c r="J386" s="36" t="n">
        <f aca="false">F386-E386</f>
        <v>6.84317905989998</v>
      </c>
      <c r="K386" s="56"/>
      <c r="L386" s="53"/>
      <c r="M386" s="53"/>
      <c r="N386" s="54" t="n">
        <f aca="false">(Typical_retail_prices_of_petroleum_products_and_a_crude_oil_price_index_monthly[[#This Row],[Month]]&amp;" "&amp;Typical_retail_prices_of_petroleum_products_and_a_crude_oil_price_index_monthly[[#This Row],[Year]])*1</f>
        <v>43922</v>
      </c>
    </row>
    <row r="387" customFormat="false" ht="14.25" hidden="false" customHeight="true" outlineLevel="0" collapsed="false">
      <c r="A387" s="32" t="n">
        <v>2020</v>
      </c>
      <c r="B387" s="33" t="s">
        <v>63</v>
      </c>
      <c r="C387" s="35"/>
      <c r="D387" s="35" t="n">
        <v>118.845713</v>
      </c>
      <c r="E387" s="57" t="n">
        <v>104.779559784489</v>
      </c>
      <c r="F387" s="57" t="n">
        <v>111.615755</v>
      </c>
      <c r="G387" s="35" t="n">
        <v>20.264</v>
      </c>
      <c r="H387" s="35" t="n">
        <v>38.399378</v>
      </c>
      <c r="I387" s="55" t="n">
        <v>42.966051444769</v>
      </c>
      <c r="J387" s="36" t="n">
        <f aca="false">F387-E387</f>
        <v>6.83619521551127</v>
      </c>
      <c r="K387" s="58"/>
      <c r="L387" s="53"/>
      <c r="M387" s="53"/>
      <c r="N387" s="54" t="n">
        <f aca="false">(Typical_retail_prices_of_petroleum_products_and_a_crude_oil_price_index_monthly[[#This Row],[Month]]&amp;" "&amp;Typical_retail_prices_of_petroleum_products_and_a_crude_oil_price_index_monthly[[#This Row],[Year]])*1</f>
        <v>43952</v>
      </c>
    </row>
    <row r="388" customFormat="false" ht="14.25" hidden="false" customHeight="true" outlineLevel="0" collapsed="false">
      <c r="A388" s="32" t="n">
        <v>2020</v>
      </c>
      <c r="B388" s="33" t="s">
        <v>64</v>
      </c>
      <c r="C388" s="35"/>
      <c r="D388" s="35" t="n">
        <v>120.091045</v>
      </c>
      <c r="E388" s="57" t="n">
        <v>105.834731232342</v>
      </c>
      <c r="F388" s="57" t="n">
        <v>111.901504</v>
      </c>
      <c r="G388" s="35" t="n">
        <v>26.212</v>
      </c>
      <c r="H388" s="35" t="n">
        <v>43.236079</v>
      </c>
      <c r="I388" s="55" t="n">
        <v>58.8778171228676</v>
      </c>
      <c r="J388" s="36" t="n">
        <f aca="false">F388-E388</f>
        <v>6.06677276765842</v>
      </c>
      <c r="K388" s="56"/>
      <c r="L388" s="53"/>
      <c r="M388" s="53"/>
      <c r="N388" s="54" t="n">
        <f aca="false">(Typical_retail_prices_of_petroleum_products_and_a_crude_oil_price_index_monthly[[#This Row],[Month]]&amp;" "&amp;Typical_retail_prices_of_petroleum_products_and_a_crude_oil_price_index_monthly[[#This Row],[Year]])*1</f>
        <v>43983</v>
      </c>
    </row>
    <row r="389" customFormat="false" ht="14.25" hidden="false" customHeight="true" outlineLevel="0" collapsed="false">
      <c r="A389" s="32" t="n">
        <v>2020</v>
      </c>
      <c r="B389" s="33" t="s">
        <v>65</v>
      </c>
      <c r="C389" s="35"/>
      <c r="D389" s="35" t="n">
        <v>124.593939</v>
      </c>
      <c r="E389" s="57" t="n">
        <v>111.147340005531</v>
      </c>
      <c r="F389" s="57" t="n">
        <v>116.547634</v>
      </c>
      <c r="G389" s="35" t="n">
        <v>27.308</v>
      </c>
      <c r="H389" s="35" t="n">
        <v>46.035931</v>
      </c>
      <c r="I389" s="55" t="n">
        <v>67.2244767515937</v>
      </c>
      <c r="J389" s="36" t="n">
        <f aca="false">F389-E389</f>
        <v>5.40029399446911</v>
      </c>
      <c r="K389" s="56"/>
      <c r="L389" s="53"/>
      <c r="M389" s="53"/>
      <c r="N389" s="54" t="n">
        <f aca="false">(Typical_retail_prices_of_petroleum_products_and_a_crude_oil_price_index_monthly[[#This Row],[Month]]&amp;" "&amp;Typical_retail_prices_of_petroleum_products_and_a_crude_oil_price_index_monthly[[#This Row],[Year]])*1</f>
        <v>44013</v>
      </c>
    </row>
    <row r="390" customFormat="false" ht="14.25" hidden="false" customHeight="true" outlineLevel="0" collapsed="false">
      <c r="A390" s="32" t="n">
        <v>2020</v>
      </c>
      <c r="B390" s="33" t="s">
        <v>66</v>
      </c>
      <c r="C390" s="35"/>
      <c r="D390" s="35" t="n">
        <v>126.336862</v>
      </c>
      <c r="E390" s="57" t="n">
        <v>112.765317806485</v>
      </c>
      <c r="F390" s="57" t="n">
        <v>117.674156</v>
      </c>
      <c r="G390" s="35" t="n">
        <v>27.206</v>
      </c>
      <c r="H390" s="35" t="n">
        <v>46.129862</v>
      </c>
      <c r="I390" s="35" t="n">
        <v>67.3432028262698</v>
      </c>
      <c r="J390" s="36" t="n">
        <f aca="false">F390-E390</f>
        <v>4.90883819351454</v>
      </c>
      <c r="K390" s="56"/>
      <c r="L390" s="53"/>
      <c r="M390" s="53"/>
      <c r="N390" s="54" t="n">
        <f aca="false">(Typical_retail_prices_of_petroleum_products_and_a_crude_oil_price_index_monthly[[#This Row],[Month]]&amp;" "&amp;Typical_retail_prices_of_petroleum_products_and_a_crude_oil_price_index_monthly[[#This Row],[Year]])*1</f>
        <v>44044</v>
      </c>
    </row>
    <row r="391" customFormat="false" ht="14.25" hidden="false" customHeight="true" outlineLevel="0" collapsed="false">
      <c r="A391" s="32" t="n">
        <v>2020</v>
      </c>
      <c r="B391" s="33" t="s">
        <v>67</v>
      </c>
      <c r="C391" s="35"/>
      <c r="D391" s="35" t="n">
        <v>126.507756</v>
      </c>
      <c r="E391" s="57" t="n">
        <v>113.211914765948</v>
      </c>
      <c r="F391" s="57" t="n">
        <v>117.997367</v>
      </c>
      <c r="G391" s="35" t="n">
        <v>25.427</v>
      </c>
      <c r="H391" s="35" t="n">
        <v>42.372527</v>
      </c>
      <c r="I391" s="35" t="n">
        <v>63.6050734526646</v>
      </c>
      <c r="J391" s="36" t="n">
        <f aca="false">F391-E391</f>
        <v>4.78545223405193</v>
      </c>
      <c r="K391" s="56"/>
      <c r="L391" s="53"/>
      <c r="M391" s="53"/>
      <c r="N391" s="54" t="n">
        <f aca="false">(Typical_retail_prices_of_petroleum_products_and_a_crude_oil_price_index_monthly[[#This Row],[Month]]&amp;" "&amp;Typical_retail_prices_of_petroleum_products_and_a_crude_oil_price_index_monthly[[#This Row],[Year]])*1</f>
        <v>44075</v>
      </c>
    </row>
    <row r="392" customFormat="false" ht="14.25" hidden="false" customHeight="true" outlineLevel="0" collapsed="false">
      <c r="A392" s="32" t="n">
        <v>2020</v>
      </c>
      <c r="B392" s="33" t="s">
        <v>68</v>
      </c>
      <c r="C392" s="35"/>
      <c r="D392" s="35" t="n">
        <v>126.557069</v>
      </c>
      <c r="E392" s="57" t="n">
        <v>113.154441743302</v>
      </c>
      <c r="F392" s="57" t="n">
        <v>117.849854</v>
      </c>
      <c r="G392" s="35" t="n">
        <v>26.052</v>
      </c>
      <c r="H392" s="35" t="n">
        <v>44.345288</v>
      </c>
      <c r="I392" s="55" t="n">
        <v>60.8852792920585</v>
      </c>
      <c r="J392" s="36" t="n">
        <f aca="false">F392-E392</f>
        <v>4.69541225669757</v>
      </c>
      <c r="K392" s="56"/>
      <c r="L392" s="53"/>
      <c r="M392" s="53"/>
      <c r="N392" s="54" t="n">
        <f aca="false">(Typical_retail_prices_of_petroleum_products_and_a_crude_oil_price_index_monthly[[#This Row],[Month]]&amp;" "&amp;Typical_retail_prices_of_petroleum_products_and_a_crude_oil_price_index_monthly[[#This Row],[Year]])*1</f>
        <v>44105</v>
      </c>
    </row>
    <row r="393" customFormat="false" ht="14.25" hidden="false" customHeight="true" outlineLevel="0" collapsed="false">
      <c r="A393" s="32" t="n">
        <v>2020</v>
      </c>
      <c r="B393" s="33" t="s">
        <v>69</v>
      </c>
      <c r="C393" s="35"/>
      <c r="D393" s="35" t="n">
        <v>126.027774</v>
      </c>
      <c r="E393" s="57" t="n">
        <v>112.506387205318</v>
      </c>
      <c r="F393" s="57" t="n">
        <v>117.049675</v>
      </c>
      <c r="G393" s="35" t="n">
        <v>27.427</v>
      </c>
      <c r="H393" s="35" t="n">
        <v>43.061592</v>
      </c>
      <c r="I393" s="55" t="n">
        <v>61.9221876938885</v>
      </c>
      <c r="J393" s="36" t="n">
        <f aca="false">F393-E393</f>
        <v>4.54328779468244</v>
      </c>
      <c r="K393" s="56"/>
      <c r="L393" s="53"/>
      <c r="M393" s="53"/>
      <c r="N393" s="54" t="n">
        <f aca="false">(Typical_retail_prices_of_petroleum_products_and_a_crude_oil_price_index_monthly[[#This Row],[Month]]&amp;" "&amp;Typical_retail_prices_of_petroleum_products_and_a_crude_oil_price_index_monthly[[#This Row],[Year]])*1</f>
        <v>44136</v>
      </c>
    </row>
    <row r="394" customFormat="false" ht="14.25" hidden="false" customHeight="true" outlineLevel="0" collapsed="false">
      <c r="A394" s="32" t="n">
        <v>2020</v>
      </c>
      <c r="B394" s="33" t="s">
        <v>70</v>
      </c>
      <c r="C394" s="35"/>
      <c r="D394" s="35" t="n">
        <v>127.209759</v>
      </c>
      <c r="E394" s="57" t="n">
        <v>114.040740956044</v>
      </c>
      <c r="F394" s="57" t="n">
        <v>118.661659</v>
      </c>
      <c r="G394" s="35" t="n">
        <v>31.551</v>
      </c>
      <c r="H394" s="35" t="n">
        <v>48.146516</v>
      </c>
      <c r="I394" s="55" t="n">
        <v>70.930490424262</v>
      </c>
      <c r="J394" s="36" t="n">
        <f aca="false">F394-E394</f>
        <v>4.62091804395608</v>
      </c>
      <c r="K394" s="56"/>
      <c r="L394" s="53"/>
      <c r="M394" s="53"/>
      <c r="N394" s="54" t="n">
        <f aca="false">(Typical_retail_prices_of_petroleum_products_and_a_crude_oil_price_index_monthly[[#This Row],[Month]]&amp;" "&amp;Typical_retail_prices_of_petroleum_products_and_a_crude_oil_price_index_monthly[[#This Row],[Year]])*1</f>
        <v>44166</v>
      </c>
    </row>
    <row r="395" customFormat="false" ht="14.25" hidden="false" customHeight="true" outlineLevel="0" collapsed="false">
      <c r="A395" s="32" t="n">
        <v>2021</v>
      </c>
      <c r="B395" s="33" t="s">
        <v>59</v>
      </c>
      <c r="C395" s="35"/>
      <c r="D395" s="35" t="n">
        <v>130.174705</v>
      </c>
      <c r="E395" s="57" t="n">
        <v>117.251800974627</v>
      </c>
      <c r="F395" s="57" t="n">
        <v>121.734642</v>
      </c>
      <c r="G395" s="35" t="n">
        <v>34.624</v>
      </c>
      <c r="H395" s="35" t="n">
        <v>49.851804</v>
      </c>
      <c r="I395" s="55" t="n">
        <v>77.8270778976658</v>
      </c>
      <c r="J395" s="36" t="n">
        <f aca="false">F395-E395</f>
        <v>4.48284102537274</v>
      </c>
      <c r="K395" s="56"/>
      <c r="L395" s="53"/>
      <c r="M395" s="53"/>
      <c r="N395" s="54" t="n">
        <f aca="false">(Typical_retail_prices_of_petroleum_products_and_a_crude_oil_price_index_monthly[[#This Row],[Month]]&amp;" "&amp;Typical_retail_prices_of_petroleum_products_and_a_crude_oil_price_index_monthly[[#This Row],[Year]])*1</f>
        <v>44197</v>
      </c>
    </row>
    <row r="396" customFormat="false" ht="14.25" hidden="false" customHeight="true" outlineLevel="0" collapsed="false">
      <c r="A396" s="32" t="n">
        <v>2021</v>
      </c>
      <c r="B396" s="33" t="s">
        <v>60</v>
      </c>
      <c r="C396" s="35"/>
      <c r="D396" s="35" t="n">
        <v>133.636215</v>
      </c>
      <c r="E396" s="57" t="n">
        <v>120.687626542618</v>
      </c>
      <c r="F396" s="57" t="n">
        <v>124.912514</v>
      </c>
      <c r="G396" s="35" t="n">
        <v>36.858</v>
      </c>
      <c r="H396" s="35" t="n">
        <v>52.818608</v>
      </c>
      <c r="I396" s="55" t="n">
        <v>84.4551300502844</v>
      </c>
      <c r="J396" s="36" t="n">
        <f aca="false">F396-E396</f>
        <v>4.22488745738215</v>
      </c>
      <c r="K396" s="56"/>
      <c r="L396" s="53"/>
      <c r="M396" s="53"/>
      <c r="N396" s="54" t="n">
        <f aca="false">(Typical_retail_prices_of_petroleum_products_and_a_crude_oil_price_index_monthly[[#This Row],[Month]]&amp;" "&amp;Typical_retail_prices_of_petroleum_products_and_a_crude_oil_price_index_monthly[[#This Row],[Year]])*1</f>
        <v>44228</v>
      </c>
    </row>
    <row r="397" customFormat="false" ht="14.25" hidden="false" customHeight="true" outlineLevel="0" collapsed="false">
      <c r="A397" s="32" t="n">
        <v>2021</v>
      </c>
      <c r="B397" s="33" t="s">
        <v>61</v>
      </c>
      <c r="C397" s="35"/>
      <c r="D397" s="35" t="n">
        <v>137.09541</v>
      </c>
      <c r="E397" s="57" t="n">
        <v>124.042627098907</v>
      </c>
      <c r="F397" s="57" t="n">
        <v>128.108541</v>
      </c>
      <c r="G397" s="35" t="n">
        <v>39.006</v>
      </c>
      <c r="H397" s="35" t="n">
        <v>55.739205</v>
      </c>
      <c r="I397" s="55" t="n">
        <v>90.6820154172908</v>
      </c>
      <c r="J397" s="36" t="n">
        <f aca="false">F397-E397</f>
        <v>4.06591390109296</v>
      </c>
      <c r="K397" s="56"/>
      <c r="L397" s="53"/>
      <c r="M397" s="53"/>
      <c r="N397" s="54" t="n">
        <f aca="false">(Typical_retail_prices_of_petroleum_products_and_a_crude_oil_price_index_monthly[[#This Row],[Month]]&amp;" "&amp;Typical_retail_prices_of_petroleum_products_and_a_crude_oil_price_index_monthly[[#This Row],[Year]])*1</f>
        <v>44256</v>
      </c>
    </row>
    <row r="398" customFormat="false" ht="14.25" hidden="false" customHeight="true" outlineLevel="0" collapsed="false">
      <c r="A398" s="32" t="n">
        <v>2021</v>
      </c>
      <c r="B398" s="33" t="s">
        <v>62</v>
      </c>
      <c r="C398" s="35"/>
      <c r="D398" s="35" t="n">
        <v>138.415157</v>
      </c>
      <c r="E398" s="57" t="n">
        <v>125.472934167432</v>
      </c>
      <c r="F398" s="57" t="n">
        <v>129.224259</v>
      </c>
      <c r="G398" s="35" t="n">
        <v>41.247</v>
      </c>
      <c r="H398" s="35" t="n">
        <v>54.181309</v>
      </c>
      <c r="I398" s="55" t="n">
        <v>91.0610154487598</v>
      </c>
      <c r="J398" s="36" t="n">
        <f aca="false">F398-E398</f>
        <v>3.7513248325682</v>
      </c>
      <c r="K398" s="56"/>
      <c r="L398" s="53"/>
      <c r="M398" s="53"/>
      <c r="N398" s="54" t="n">
        <f aca="false">(Typical_retail_prices_of_petroleum_products_and_a_crude_oil_price_index_monthly[[#This Row],[Month]]&amp;" "&amp;Typical_retail_prices_of_petroleum_products_and_a_crude_oil_price_index_monthly[[#This Row],[Year]])*1</f>
        <v>44287</v>
      </c>
    </row>
    <row r="399" customFormat="false" ht="14.25" hidden="false" customHeight="true" outlineLevel="0" collapsed="false">
      <c r="A399" s="32" t="n">
        <v>2021</v>
      </c>
      <c r="B399" s="33" t="s">
        <v>63</v>
      </c>
      <c r="C399" s="35"/>
      <c r="D399" s="35" t="n">
        <v>140.538731</v>
      </c>
      <c r="E399" s="57" t="n">
        <v>127.307223713343</v>
      </c>
      <c r="F399" s="57" t="n">
        <v>130.931119</v>
      </c>
      <c r="G399" s="35" t="n">
        <v>39.534</v>
      </c>
      <c r="H399" s="35" t="n">
        <v>56.469793</v>
      </c>
      <c r="I399" s="55" t="n">
        <v>93.0168494630398</v>
      </c>
      <c r="J399" s="36" t="n">
        <f aca="false">F399-E399</f>
        <v>3.62389528665665</v>
      </c>
      <c r="K399" s="56"/>
      <c r="L399" s="53"/>
      <c r="M399" s="53"/>
      <c r="N399" s="54" t="n">
        <f aca="false">(Typical_retail_prices_of_petroleum_products_and_a_crude_oil_price_index_monthly[[#This Row],[Month]]&amp;" "&amp;Typical_retail_prices_of_petroleum_products_and_a_crude_oil_price_index_monthly[[#This Row],[Year]])*1</f>
        <v>44317</v>
      </c>
    </row>
    <row r="400" customFormat="false" ht="14.25" hidden="false" customHeight="true" outlineLevel="0" collapsed="false">
      <c r="A400" s="32" t="n">
        <v>2021</v>
      </c>
      <c r="B400" s="33" t="s">
        <v>64</v>
      </c>
      <c r="C400" s="35"/>
      <c r="D400" s="35" t="n">
        <v>142.554143149</v>
      </c>
      <c r="E400" s="57" t="n">
        <v>129.318973927591</v>
      </c>
      <c r="F400" s="57" t="n">
        <v>132.9087992</v>
      </c>
      <c r="G400" s="35" t="n">
        <v>39.905</v>
      </c>
      <c r="H400" s="35" t="n">
        <v>56.754743</v>
      </c>
      <c r="I400" s="35" t="n">
        <v>98.7159276065051</v>
      </c>
      <c r="J400" s="36" t="n">
        <f aca="false">F400-E400</f>
        <v>3.58982527240906</v>
      </c>
      <c r="K400" s="56"/>
      <c r="L400" s="53"/>
      <c r="M400" s="53"/>
      <c r="N400" s="54" t="n">
        <f aca="false">(Typical_retail_prices_of_petroleum_products_and_a_crude_oil_price_index_monthly[[#This Row],[Month]]&amp;" "&amp;Typical_retail_prices_of_petroleum_products_and_a_crude_oil_price_index_monthly[[#This Row],[Year]])*1</f>
        <v>44348</v>
      </c>
    </row>
    <row r="401" customFormat="false" ht="14.25" hidden="false" customHeight="true" outlineLevel="0" collapsed="false">
      <c r="A401" s="32" t="n">
        <v>2021</v>
      </c>
      <c r="B401" s="33" t="s">
        <v>65</v>
      </c>
      <c r="C401" s="35"/>
      <c r="D401" s="35" t="n">
        <v>146.87655023</v>
      </c>
      <c r="E401" s="57" t="n">
        <v>132.743216429512</v>
      </c>
      <c r="F401" s="57" t="n">
        <v>135.365912064</v>
      </c>
      <c r="G401" s="35" t="n">
        <v>41.717</v>
      </c>
      <c r="H401" s="35" t="n">
        <v>58.049391</v>
      </c>
      <c r="I401" s="35" t="n">
        <v>104.553542805261</v>
      </c>
      <c r="J401" s="36" t="n">
        <f aca="false">F401-E401</f>
        <v>2.6226956344882</v>
      </c>
      <c r="K401" s="56"/>
      <c r="L401" s="53"/>
      <c r="M401" s="53"/>
      <c r="N401" s="54" t="n">
        <f aca="false">(Typical_retail_prices_of_petroleum_products_and_a_crude_oil_price_index_monthly[[#This Row],[Month]]&amp;" "&amp;Typical_retail_prices_of_petroleum_products_and_a_crude_oil_price_index_monthly[[#This Row],[Year]])*1</f>
        <v>44378</v>
      </c>
    </row>
    <row r="402" customFormat="false" ht="14.25" hidden="false" customHeight="true" outlineLevel="0" collapsed="false">
      <c r="A402" s="32" t="n">
        <v>2021</v>
      </c>
      <c r="B402" s="33" t="s">
        <v>66</v>
      </c>
      <c r="C402" s="35"/>
      <c r="D402" s="35" t="n">
        <v>147.99973723</v>
      </c>
      <c r="E402" s="57" t="n">
        <v>134.524504996314</v>
      </c>
      <c r="F402" s="57" t="n">
        <v>136.923156</v>
      </c>
      <c r="G402" s="35" t="n">
        <v>39.771</v>
      </c>
      <c r="H402" s="35" t="n">
        <v>57.425378</v>
      </c>
      <c r="I402" s="35" t="n">
        <v>100.058709945279</v>
      </c>
      <c r="J402" s="36" t="n">
        <f aca="false">F402-E402</f>
        <v>2.39865100368581</v>
      </c>
      <c r="K402" s="56"/>
      <c r="L402" s="53"/>
      <c r="M402" s="53"/>
      <c r="N402" s="54" t="n">
        <f aca="false">(Typical_retail_prices_of_petroleum_products_and_a_crude_oil_price_index_monthly[[#This Row],[Month]]&amp;" "&amp;Typical_retail_prices_of_petroleum_products_and_a_crude_oil_price_index_monthly[[#This Row],[Year]])*1</f>
        <v>44409</v>
      </c>
    </row>
    <row r="403" customFormat="false" ht="14.25" hidden="false" customHeight="true" outlineLevel="0" collapsed="false">
      <c r="A403" s="32" t="n">
        <v>2021</v>
      </c>
      <c r="B403" s="33" t="s">
        <v>67</v>
      </c>
      <c r="C403" s="35"/>
      <c r="D403" s="35" t="n">
        <v>147.85043623</v>
      </c>
      <c r="E403" s="57" t="n">
        <v>134.587796629751</v>
      </c>
      <c r="F403" s="57" t="n">
        <v>136.843815</v>
      </c>
      <c r="G403" s="35" t="n">
        <v>41.479</v>
      </c>
      <c r="H403" s="35" t="n">
        <v>59.647313</v>
      </c>
      <c r="I403" s="35" t="n">
        <v>102.821479565154</v>
      </c>
      <c r="J403" s="36" t="n">
        <f aca="false">F403-E403</f>
        <v>2.25601837024868</v>
      </c>
      <c r="K403" s="56"/>
      <c r="L403" s="53"/>
      <c r="M403" s="53"/>
      <c r="N403" s="54" t="n">
        <f aca="false">(Typical_retail_prices_of_petroleum_products_and_a_crude_oil_price_index_monthly[[#This Row],[Month]]&amp;" "&amp;Typical_retail_prices_of_petroleum_products_and_a_crude_oil_price_index_monthly[[#This Row],[Year]])*1</f>
        <v>44440</v>
      </c>
    </row>
    <row r="404" customFormat="false" ht="14.25" hidden="false" customHeight="true" outlineLevel="0" collapsed="false">
      <c r="A404" s="32" t="n">
        <v>2021</v>
      </c>
      <c r="B404" s="33" t="s">
        <v>68</v>
      </c>
      <c r="C404" s="35"/>
      <c r="D404" s="35" t="n">
        <v>152.50692323</v>
      </c>
      <c r="E404" s="57" t="n">
        <v>137.657835398589</v>
      </c>
      <c r="F404" s="57" t="n">
        <v>143.2812</v>
      </c>
      <c r="G404" s="35" t="n">
        <v>59.822</v>
      </c>
      <c r="H404" s="35" t="n">
        <v>73.270448</v>
      </c>
      <c r="I404" s="35" t="n">
        <v>115.142093520798</v>
      </c>
      <c r="J404" s="36" t="n">
        <f aca="false">F404-E404</f>
        <v>5.62336460141077</v>
      </c>
      <c r="K404" s="56"/>
      <c r="L404" s="53"/>
      <c r="M404" s="53"/>
      <c r="N404" s="54" t="n">
        <f aca="false">(Typical_retail_prices_of_petroleum_products_and_a_crude_oil_price_index_monthly[[#This Row],[Month]]&amp;" "&amp;Typical_retail_prices_of_petroleum_products_and_a_crude_oil_price_index_monthly[[#This Row],[Year]])*1</f>
        <v>44470</v>
      </c>
    </row>
    <row r="405" customFormat="false" ht="14.25" hidden="false" customHeight="true" outlineLevel="0" collapsed="false">
      <c r="A405" s="32" t="n">
        <v>2021</v>
      </c>
      <c r="B405" s="33" t="s">
        <v>69</v>
      </c>
      <c r="C405" s="35"/>
      <c r="D405" s="35" t="n">
        <v>160.485274126156</v>
      </c>
      <c r="E405" s="57" t="n">
        <v>145.94636215755</v>
      </c>
      <c r="F405" s="57" t="n">
        <v>149.814849</v>
      </c>
      <c r="G405" s="35" t="n">
        <v>50.864</v>
      </c>
      <c r="H405" s="35" t="n">
        <v>73.11826</v>
      </c>
      <c r="I405" s="35" t="n">
        <v>118.782155939203</v>
      </c>
      <c r="J405" s="36" t="n">
        <f aca="false">F405-E405</f>
        <v>3.86848684244987</v>
      </c>
      <c r="K405" s="56"/>
      <c r="L405" s="53"/>
      <c r="M405" s="53"/>
      <c r="N405" s="59" t="n">
        <f aca="false">(Typical_retail_prices_of_petroleum_products_and_a_crude_oil_price_index_monthly[[#This Row],[Month]]&amp;" "&amp;Typical_retail_prices_of_petroleum_products_and_a_crude_oil_price_index_monthly[[#This Row],[Year]])*1</f>
        <v>44501</v>
      </c>
    </row>
    <row r="406" customFormat="false" ht="14.25" hidden="false" customHeight="true" outlineLevel="0" collapsed="false">
      <c r="A406" s="32" t="n">
        <v>2021</v>
      </c>
      <c r="B406" s="33" t="s">
        <v>70</v>
      </c>
      <c r="C406" s="35"/>
      <c r="D406" s="35" t="n">
        <v>160.271684000475</v>
      </c>
      <c r="E406" s="57" t="n">
        <v>145.694044961267</v>
      </c>
      <c r="F406" s="57" t="n">
        <v>149.195282</v>
      </c>
      <c r="G406" s="35" t="n">
        <v>48.469</v>
      </c>
      <c r="H406" s="35" t="n">
        <v>71.5265</v>
      </c>
      <c r="I406" s="35" t="n">
        <v>110.749314064679</v>
      </c>
      <c r="J406" s="36" t="n">
        <f aca="false">F406-E406</f>
        <v>3.50123703873251</v>
      </c>
      <c r="K406" s="56"/>
      <c r="L406" s="53"/>
      <c r="M406" s="53"/>
      <c r="N406" s="59" t="n">
        <f aca="false">(Typical_retail_prices_of_petroleum_products_and_a_crude_oil_price_index_monthly[[#This Row],[Month]]&amp;" "&amp;Typical_retail_prices_of_petroleum_products_and_a_crude_oil_price_index_monthly[[#This Row],[Year]])*1</f>
        <v>44531</v>
      </c>
    </row>
    <row r="407" customFormat="false" ht="14.25" hidden="false" customHeight="true" outlineLevel="0" collapsed="false">
      <c r="A407" s="32" t="n">
        <v>2022</v>
      </c>
      <c r="B407" s="33" t="s">
        <v>59</v>
      </c>
      <c r="C407" s="35"/>
      <c r="D407" s="35" t="n">
        <v>156.9926</v>
      </c>
      <c r="E407" s="57" t="n">
        <v>144.9245</v>
      </c>
      <c r="F407" s="57" t="n">
        <v>148.7429</v>
      </c>
      <c r="G407" s="35" t="n">
        <v>53.925</v>
      </c>
      <c r="H407" s="35" t="n">
        <v>71.8762</v>
      </c>
      <c r="I407" s="35" t="n">
        <v>121.152505767637</v>
      </c>
      <c r="J407" s="36" t="n">
        <f aca="false">F407-E407</f>
        <v>3.8184</v>
      </c>
      <c r="K407" s="56"/>
      <c r="L407" s="53"/>
      <c r="M407" s="53"/>
      <c r="N407" s="59" t="n">
        <f aca="false">(Typical_retail_prices_of_petroleum_products_and_a_crude_oil_price_index_monthly[[#This Row],[Month]]&amp;" "&amp;Typical_retail_prices_of_petroleum_products_and_a_crude_oil_price_index_monthly[[#This Row],[Year]])*1</f>
        <v>44562</v>
      </c>
    </row>
    <row r="408" customFormat="false" ht="14.25" hidden="false" customHeight="true" outlineLevel="0" collapsed="false">
      <c r="A408" s="32" t="n">
        <v>2022</v>
      </c>
      <c r="B408" s="33" t="s">
        <v>60</v>
      </c>
      <c r="C408" s="35"/>
      <c r="D408" s="35" t="n">
        <v>159.056791</v>
      </c>
      <c r="E408" s="57" t="n">
        <v>147.004610553948</v>
      </c>
      <c r="F408" s="57" t="n">
        <v>151.076496</v>
      </c>
      <c r="G408" s="35" t="n">
        <v>59.115</v>
      </c>
      <c r="H408" s="35" t="n">
        <v>77.304022</v>
      </c>
      <c r="I408" s="35" t="n">
        <v>139.608953714427</v>
      </c>
      <c r="J408" s="36" t="n">
        <f aca="false">F408-E408</f>
        <v>4.07188544605251</v>
      </c>
      <c r="K408" s="56"/>
      <c r="L408" s="53"/>
      <c r="M408" s="53"/>
      <c r="N408" s="59" t="n">
        <f aca="false">(Typical_retail_prices_of_petroleum_products_and_a_crude_oil_price_index_monthly[[#This Row],[Month]]&amp;" "&amp;Typical_retail_prices_of_petroleum_products_and_a_crude_oil_price_index_monthly[[#This Row],[Year]])*1</f>
        <v>44593</v>
      </c>
    </row>
    <row r="409" customFormat="false" ht="14.25" hidden="false" customHeight="true" outlineLevel="0" collapsed="false">
      <c r="A409" s="32" t="n">
        <v>2022</v>
      </c>
      <c r="B409" s="33" t="s">
        <v>61</v>
      </c>
      <c r="C409" s="35"/>
      <c r="D409" s="35" t="n">
        <v>173.887328</v>
      </c>
      <c r="E409" s="57" t="n">
        <v>161.857640837614</v>
      </c>
      <c r="F409" s="57" t="n">
        <v>171.390692</v>
      </c>
      <c r="G409" s="35" t="n">
        <v>84.861</v>
      </c>
      <c r="H409" s="35" t="n">
        <v>121.690985</v>
      </c>
      <c r="I409" s="35" t="n">
        <v>176.239748252714</v>
      </c>
      <c r="J409" s="36" t="n">
        <f aca="false">F409-E409</f>
        <v>9.53305116238602</v>
      </c>
      <c r="K409" s="56"/>
      <c r="L409" s="53"/>
      <c r="M409" s="53"/>
      <c r="N409" s="59" t="n">
        <f aca="false">(Typical_retail_prices_of_petroleum_products_and_a_crude_oil_price_index_monthly[[#This Row],[Month]]&amp;" "&amp;Typical_retail_prices_of_petroleum_products_and_a_crude_oil_price_index_monthly[[#This Row],[Year]])*1</f>
        <v>44621</v>
      </c>
    </row>
    <row r="410" customFormat="false" ht="14.25" hidden="false" customHeight="true" outlineLevel="0" collapsed="false">
      <c r="A410" s="32" t="n">
        <v>2022</v>
      </c>
      <c r="B410" s="33" t="s">
        <v>62</v>
      </c>
      <c r="C410" s="35"/>
      <c r="D410" s="35" t="n">
        <v>174.08121</v>
      </c>
      <c r="E410" s="57" t="n">
        <v>161.670493392893</v>
      </c>
      <c r="F410" s="57" t="n">
        <v>175.723147</v>
      </c>
      <c r="G410" s="35" t="n">
        <v>85.335</v>
      </c>
      <c r="H410" s="35" t="n">
        <v>108.541893</v>
      </c>
      <c r="I410" s="35" t="n">
        <v>163.908626908677</v>
      </c>
      <c r="J410" s="36" t="n">
        <f aca="false">F410-E410</f>
        <v>14.0526536071069</v>
      </c>
      <c r="K410" s="56"/>
      <c r="L410" s="53"/>
      <c r="M410" s="53"/>
      <c r="N410" s="59" t="n">
        <f aca="false">(Typical_retail_prices_of_petroleum_products_and_a_crude_oil_price_index_monthly[[#This Row],[Month]]&amp;" "&amp;Typical_retail_prices_of_petroleum_products_and_a_crude_oil_price_index_monthly[[#This Row],[Year]])*1</f>
        <v>44652</v>
      </c>
    </row>
    <row r="411" customFormat="false" ht="14.25" hidden="false" customHeight="true" outlineLevel="0" collapsed="false">
      <c r="A411" s="32" t="n">
        <v>2022</v>
      </c>
      <c r="B411" s="33" t="s">
        <v>63</v>
      </c>
      <c r="C411" s="35"/>
      <c r="D411" s="35" t="n">
        <v>176.986093</v>
      </c>
      <c r="E411" s="57" t="n">
        <v>165.166036904929</v>
      </c>
      <c r="F411" s="57" t="n">
        <v>179.582463</v>
      </c>
      <c r="G411" s="35" t="n">
        <v>90.536</v>
      </c>
      <c r="H411" s="35" t="n">
        <v>104.39724</v>
      </c>
      <c r="I411" s="35" t="n">
        <v>180.798182734166</v>
      </c>
      <c r="J411" s="36" t="n">
        <f aca="false">F411-E411</f>
        <v>14.4164260950707</v>
      </c>
      <c r="K411" s="56"/>
      <c r="L411" s="53"/>
      <c r="M411" s="53"/>
      <c r="N411" s="59" t="n">
        <f aca="false">(Typical_retail_prices_of_petroleum_products_and_a_crude_oil_price_index_monthly[[#This Row],[Month]]&amp;" "&amp;Typical_retail_prices_of_petroleum_products_and_a_crude_oil_price_index_monthly[[#This Row],[Year]])*1</f>
        <v>44682</v>
      </c>
    </row>
    <row r="412" customFormat="false" ht="14.25" hidden="false" customHeight="true" outlineLevel="0" collapsed="false">
      <c r="A412" s="32" t="n">
        <v>2022</v>
      </c>
      <c r="B412" s="33" t="s">
        <v>64</v>
      </c>
      <c r="C412" s="35"/>
      <c r="D412" s="35" t="n">
        <v>192.719984529169</v>
      </c>
      <c r="E412" s="57" t="n">
        <v>183.095834189997</v>
      </c>
      <c r="F412" s="57" t="n">
        <v>190.150174</v>
      </c>
      <c r="G412" s="35" t="n">
        <v>99.303</v>
      </c>
      <c r="H412" s="35" t="n">
        <v>118.920852</v>
      </c>
      <c r="I412" s="35" t="n">
        <v>196.651038176131</v>
      </c>
      <c r="J412" s="36" t="n">
        <f aca="false">F412-E412</f>
        <v>7.05433981000346</v>
      </c>
      <c r="K412" s="56"/>
      <c r="L412" s="53"/>
      <c r="M412" s="53"/>
      <c r="N412" s="59" t="n">
        <f aca="false">(Typical_retail_prices_of_petroleum_products_and_a_crude_oil_price_index_monthly[[#This Row],[Month]]&amp;" "&amp;Typical_retail_prices_of_petroleum_products_and_a_crude_oil_price_index_monthly[[#This Row],[Year]])*1</f>
        <v>44713</v>
      </c>
    </row>
    <row r="413" customFormat="false" ht="14.25" hidden="false" customHeight="true" outlineLevel="0" collapsed="false">
      <c r="A413" s="32" t="n">
        <v>2022</v>
      </c>
      <c r="B413" s="33" t="s">
        <v>65</v>
      </c>
      <c r="C413" s="35"/>
      <c r="D413" s="35" t="n">
        <v>199.401023758761</v>
      </c>
      <c r="E413" s="57" t="n">
        <v>188.790773019883</v>
      </c>
      <c r="F413" s="57" t="n">
        <v>197.377686</v>
      </c>
      <c r="G413" s="35" t="n">
        <v>84.721</v>
      </c>
      <c r="H413" s="35" t="n">
        <v>111.095581</v>
      </c>
      <c r="I413" s="35" t="n">
        <v>194.078855822237</v>
      </c>
      <c r="J413" s="36" t="n">
        <f aca="false">F413-E413</f>
        <v>8.58691298011701</v>
      </c>
      <c r="K413" s="56"/>
      <c r="L413" s="53"/>
      <c r="M413" s="53"/>
      <c r="N413" s="59" t="n">
        <f aca="false">(Typical_retail_prices_of_petroleum_products_and_a_crude_oil_price_index_monthly[[#This Row],[Month]]&amp;" "&amp;Typical_retail_prices_of_petroleum_products_and_a_crude_oil_price_index_monthly[[#This Row],[Year]])*1</f>
        <v>44743</v>
      </c>
    </row>
    <row r="414" customFormat="false" ht="14.25" hidden="false" customHeight="true" outlineLevel="0" collapsed="false">
      <c r="A414" s="32" t="n">
        <v>2022</v>
      </c>
      <c r="B414" s="33" t="s">
        <v>66</v>
      </c>
      <c r="C414" s="35"/>
      <c r="D414" s="35" t="n">
        <v>184.718621658294</v>
      </c>
      <c r="E414" s="57" t="n">
        <v>173.869342842531</v>
      </c>
      <c r="F414" s="57" t="n">
        <v>184.950631</v>
      </c>
      <c r="G414" s="35" t="n">
        <v>79.154</v>
      </c>
      <c r="H414" s="35" t="n">
        <v>104.221043</v>
      </c>
      <c r="I414" s="35" t="n">
        <v>170.520151546813</v>
      </c>
      <c r="J414" s="36" t="n">
        <f aca="false">F414-E414</f>
        <v>11.0812881574687</v>
      </c>
      <c r="K414" s="56"/>
      <c r="L414" s="53"/>
      <c r="M414" s="53"/>
      <c r="N414" s="59" t="n">
        <f aca="false">(Typical_retail_prices_of_petroleum_products_and_a_crude_oil_price_index_monthly[[#This Row],[Month]]&amp;" "&amp;Typical_retail_prices_of_petroleum_products_and_a_crude_oil_price_index_monthly[[#This Row],[Year]])*1</f>
        <v>44774</v>
      </c>
    </row>
    <row r="415" customFormat="false" ht="14.25" hidden="false" customHeight="true" outlineLevel="0" collapsed="false">
      <c r="A415" s="32" t="n">
        <v>2022</v>
      </c>
      <c r="B415" s="33" t="s">
        <v>67</v>
      </c>
      <c r="C415" s="35"/>
      <c r="D415" s="35" t="n">
        <v>178.215310914223</v>
      </c>
      <c r="E415" s="57" t="n">
        <v>167.376304553005</v>
      </c>
      <c r="F415" s="57" t="n">
        <v>182.219234</v>
      </c>
      <c r="G415" s="35" t="n">
        <v>85.523</v>
      </c>
      <c r="H415" s="35" t="n">
        <v>103.873587</v>
      </c>
      <c r="I415" s="35" t="n">
        <v>162.639452532425</v>
      </c>
      <c r="J415" s="36" t="n">
        <f aca="false">F415-E415</f>
        <v>14.8429294469953</v>
      </c>
      <c r="K415" s="56"/>
      <c r="L415" s="53"/>
      <c r="M415" s="53"/>
      <c r="N415" s="59" t="n">
        <f aca="false">(Typical_retail_prices_of_petroleum_products_and_a_crude_oil_price_index_monthly[[#This Row],[Month]]&amp;" "&amp;Typical_retail_prices_of_petroleum_products_and_a_crude_oil_price_index_monthly[[#This Row],[Year]])*1</f>
        <v>44805</v>
      </c>
    </row>
    <row r="416" customFormat="false" ht="14.25" hidden="false" customHeight="true" outlineLevel="0" collapsed="false">
      <c r="A416" s="32" t="n">
        <v>2022</v>
      </c>
      <c r="B416" s="33" t="s">
        <v>68</v>
      </c>
      <c r="C416" s="35"/>
      <c r="D416" s="35" t="n">
        <v>175.141797539277</v>
      </c>
      <c r="E416" s="57" t="n">
        <v>163.121081521925</v>
      </c>
      <c r="F416" s="57" t="n">
        <v>182.560833</v>
      </c>
      <c r="G416" s="35" t="n">
        <v>87.55</v>
      </c>
      <c r="H416" s="35" t="n">
        <v>112.228308</v>
      </c>
      <c r="I416" s="35" t="n">
        <v>162.792023041966</v>
      </c>
      <c r="J416" s="36" t="n">
        <f aca="false">F416-E416</f>
        <v>19.4397514780752</v>
      </c>
      <c r="K416" s="56"/>
      <c r="L416" s="53"/>
      <c r="M416" s="53"/>
      <c r="N416" s="59" t="n">
        <f aca="false">(Typical_retail_prices_of_petroleum_products_and_a_crude_oil_price_index_monthly[[#This Row],[Month]]&amp;" "&amp;Typical_retail_prices_of_petroleum_products_and_a_crude_oil_price_index_monthly[[#This Row],[Year]])*1</f>
        <v>44835</v>
      </c>
    </row>
    <row r="417" customFormat="false" ht="14.25" hidden="false" customHeight="true" outlineLevel="0" collapsed="false">
      <c r="A417" s="32" t="n">
        <v>2022</v>
      </c>
      <c r="B417" s="33" t="s">
        <v>69</v>
      </c>
      <c r="C417" s="35"/>
      <c r="D417" s="35" t="n">
        <v>176.989902059635</v>
      </c>
      <c r="E417" s="57" t="n">
        <v>164.386849849609</v>
      </c>
      <c r="F417" s="57" t="n">
        <v>188.715119</v>
      </c>
      <c r="G417" s="35" t="n">
        <v>85.478</v>
      </c>
      <c r="H417" s="35" t="n">
        <v>128.06669</v>
      </c>
      <c r="I417" s="35" t="n">
        <v>152.957689096408</v>
      </c>
      <c r="J417" s="36" t="n">
        <f aca="false">F417-E417</f>
        <v>24.3282691503911</v>
      </c>
      <c r="K417" s="56"/>
      <c r="L417" s="53"/>
      <c r="M417" s="53"/>
      <c r="N417" s="59" t="n">
        <f aca="false">(Typical_retail_prices_of_petroleum_products_and_a_crude_oil_price_index_monthly[[#This Row],[Month]]&amp;" "&amp;Typical_retail_prices_of_petroleum_products_and_a_crude_oil_price_index_monthly[[#This Row],[Year]])*1</f>
        <v>44866</v>
      </c>
    </row>
    <row r="418" customFormat="false" ht="14.25" hidden="false" customHeight="true" outlineLevel="0" collapsed="false">
      <c r="A418" s="32" t="n">
        <v>2022</v>
      </c>
      <c r="B418" s="33" t="s">
        <v>70</v>
      </c>
      <c r="C418" s="35"/>
      <c r="D418" s="35" t="n">
        <v>168.484103452934</v>
      </c>
      <c r="E418" s="57" t="n">
        <v>155.523823225523</v>
      </c>
      <c r="F418" s="57" t="n">
        <v>179.408205</v>
      </c>
      <c r="G418" s="35" t="n">
        <v>70.48</v>
      </c>
      <c r="H418" s="35" t="n">
        <v>90.502306</v>
      </c>
      <c r="I418" s="35" t="n">
        <v>136.831840866575</v>
      </c>
      <c r="J418" s="36" t="n">
        <f aca="false">F418-E418</f>
        <v>23.8843817744771</v>
      </c>
      <c r="K418" s="56"/>
      <c r="L418" s="53"/>
      <c r="M418" s="53"/>
      <c r="N418" s="59" t="n">
        <f aca="false">(Typical_retail_prices_of_petroleum_products_and_a_crude_oil_price_index_monthly[[#This Row],[Month]]&amp;" "&amp;Typical_retail_prices_of_petroleum_products_and_a_crude_oil_price_index_monthly[[#This Row],[Year]])*1</f>
        <v>44896</v>
      </c>
    </row>
    <row r="419" customFormat="false" ht="14.25" hidden="false" customHeight="true" outlineLevel="0" collapsed="false">
      <c r="A419" s="32" t="n">
        <v>2023</v>
      </c>
      <c r="B419" s="33" t="s">
        <v>59</v>
      </c>
      <c r="C419" s="35"/>
      <c r="D419" s="35" t="n">
        <v>162.023529213638</v>
      </c>
      <c r="E419" s="57" t="n">
        <v>148.450712136216</v>
      </c>
      <c r="F419" s="57" t="n">
        <v>171.270937</v>
      </c>
      <c r="G419" s="35" t="n">
        <v>74.788</v>
      </c>
      <c r="H419" s="35" t="n">
        <v>92.105607</v>
      </c>
      <c r="I419" s="35" t="n">
        <v>131.673077461679</v>
      </c>
      <c r="J419" s="36" t="n">
        <f aca="false">F419-E419</f>
        <v>22.8202248637843</v>
      </c>
      <c r="K419" s="56"/>
      <c r="L419" s="53"/>
      <c r="M419" s="53"/>
      <c r="N419" s="59" t="n">
        <f aca="false">(Typical_retail_prices_of_petroleum_products_and_a_crude_oil_price_index_monthly[[#This Row],[Month]]&amp;" "&amp;Typical_retail_prices_of_petroleum_products_and_a_crude_oil_price_index_monthly[[#This Row],[Year]])*1</f>
        <v>44927</v>
      </c>
    </row>
    <row r="420" customFormat="false" ht="14.25" hidden="false" customHeight="true" outlineLevel="0" collapsed="false">
      <c r="A420" s="32" t="n">
        <v>2023</v>
      </c>
      <c r="B420" s="33" t="s">
        <v>60</v>
      </c>
      <c r="C420" s="35"/>
      <c r="D420" s="35" t="n">
        <v>160.400019308179</v>
      </c>
      <c r="E420" s="57" t="n">
        <v>148.01604441246</v>
      </c>
      <c r="F420" s="57" t="n">
        <v>169.497911</v>
      </c>
      <c r="G420" s="35" t="n">
        <v>69.869</v>
      </c>
      <c r="H420" s="35" t="n">
        <v>84.292713</v>
      </c>
      <c r="I420" s="35" t="n">
        <v>134.165534610468</v>
      </c>
      <c r="J420" s="36" t="n">
        <f aca="false">F420-E420</f>
        <v>21.4818665875397</v>
      </c>
      <c r="K420" s="56"/>
      <c r="L420" s="53"/>
      <c r="M420" s="53"/>
      <c r="N420" s="59" t="n">
        <f aca="false">(Typical_retail_prices_of_petroleum_products_and_a_crude_oil_price_index_monthly[[#This Row],[Month]]&amp;" "&amp;Typical_retail_prices_of_petroleum_products_and_a_crude_oil_price_index_monthly[[#This Row],[Year]])*1</f>
        <v>44958</v>
      </c>
    </row>
    <row r="421" customFormat="false" ht="14.25" hidden="false" customHeight="true" outlineLevel="0" collapsed="false">
      <c r="A421" s="32" t="n">
        <v>2023</v>
      </c>
      <c r="B421" s="33" t="s">
        <v>61</v>
      </c>
      <c r="C421" s="35"/>
      <c r="D421" s="35" t="n">
        <v>160.003376697981</v>
      </c>
      <c r="E421" s="57" t="n">
        <v>146.868360099454</v>
      </c>
      <c r="F421" s="57" t="n">
        <v>166.827823</v>
      </c>
      <c r="G421" s="35" t="n">
        <v>65.841</v>
      </c>
      <c r="H421" s="35" t="n">
        <v>80.977239</v>
      </c>
      <c r="I421" s="35" t="n">
        <v>131.182157752238</v>
      </c>
      <c r="J421" s="36" t="n">
        <f aca="false">F421-E421</f>
        <v>19.9594629005458</v>
      </c>
      <c r="K421" s="56"/>
      <c r="L421" s="53"/>
      <c r="M421" s="53"/>
      <c r="N421" s="59" t="n">
        <f aca="false">(Typical_retail_prices_of_petroleum_products_and_a_crude_oil_price_index_monthly[[#This Row],[Month]]&amp;" "&amp;Typical_retail_prices_of_petroleum_products_and_a_crude_oil_price_index_monthly[[#This Row],[Year]])*1</f>
        <v>44986</v>
      </c>
    </row>
    <row r="422" customFormat="false" ht="14.25" hidden="false" customHeight="true" outlineLevel="0" collapsed="false">
      <c r="A422" s="32" t="n">
        <v>2023</v>
      </c>
      <c r="B422" s="33" t="s">
        <v>62</v>
      </c>
      <c r="C422" s="35"/>
      <c r="D422" s="35" t="n">
        <v>158.459993565151</v>
      </c>
      <c r="E422" s="57" t="n">
        <v>146.12954955463</v>
      </c>
      <c r="F422" s="57" t="n">
        <v>162.087653</v>
      </c>
      <c r="G422" s="35" t="n">
        <v>61.622</v>
      </c>
      <c r="H422" s="35" t="n">
        <v>93.773383</v>
      </c>
      <c r="I422" s="35" t="n">
        <v>131.999410338578</v>
      </c>
      <c r="J422" s="36" t="n">
        <f aca="false">F422-E422</f>
        <v>15.9581034453702</v>
      </c>
      <c r="K422" s="56"/>
      <c r="L422" s="53"/>
      <c r="M422" s="53"/>
      <c r="N422" s="59" t="n">
        <f aca="false">(Typical_retail_prices_of_petroleum_products_and_a_crude_oil_price_index_monthly[[#This Row],[Month]]&amp;" "&amp;Typical_retail_prices_of_petroleum_products_and_a_crude_oil_price_index_monthly[[#This Row],[Year]])*1</f>
        <v>45017</v>
      </c>
    </row>
    <row r="423" customFormat="false" ht="14.25" hidden="false" customHeight="true" outlineLevel="0" collapsed="false">
      <c r="A423" s="32" t="n">
        <v>2023</v>
      </c>
      <c r="B423" s="33" t="s">
        <v>63</v>
      </c>
      <c r="C423" s="35"/>
      <c r="D423" s="35" t="n">
        <v>157.436926540767</v>
      </c>
      <c r="E423" s="57" t="n">
        <v>144.577713590442</v>
      </c>
      <c r="F423" s="57" t="n">
        <v>155.289139</v>
      </c>
      <c r="G423" s="35" t="n">
        <v>53.233</v>
      </c>
      <c r="H423" s="35" t="n">
        <v>83.253769</v>
      </c>
      <c r="I423" s="35" t="n">
        <v>121.183084728945</v>
      </c>
      <c r="J423" s="36" t="n">
        <f aca="false">F423-E423</f>
        <v>10.7114254095579</v>
      </c>
      <c r="K423" s="56"/>
      <c r="L423" s="53"/>
      <c r="M423" s="53"/>
      <c r="N423" s="59" t="n">
        <f aca="false">(Typical_retail_prices_of_petroleum_products_and_a_crude_oil_price_index_monthly[[#This Row],[Month]]&amp;" "&amp;Typical_retail_prices_of_petroleum_products_and_a_crude_oil_price_index_monthly[[#This Row],[Year]])*1</f>
        <v>45047</v>
      </c>
    </row>
    <row r="424" customFormat="false" ht="14.25" hidden="false" customHeight="true" outlineLevel="0" collapsed="false">
      <c r="A424" s="32" t="n">
        <v>2023</v>
      </c>
      <c r="B424" s="33" t="s">
        <v>64</v>
      </c>
      <c r="C424" s="35"/>
      <c r="D424" s="35" t="n">
        <v>156.355950736197</v>
      </c>
      <c r="E424" s="57" t="n">
        <v>142.705773070664</v>
      </c>
      <c r="F424" s="57" t="n">
        <v>145.467638</v>
      </c>
      <c r="G424" s="35" t="n">
        <v>54.186</v>
      </c>
      <c r="H424" s="35" t="n">
        <v>67.33322</v>
      </c>
      <c r="I424" s="35" t="n">
        <v>115.309734885385</v>
      </c>
      <c r="J424" s="36" t="n">
        <f aca="false">F424-E424</f>
        <v>2.76186492933556</v>
      </c>
      <c r="K424" s="56"/>
      <c r="L424" s="53"/>
      <c r="M424" s="53"/>
      <c r="N424" s="59" t="n">
        <f aca="false">(Typical_retail_prices_of_petroleum_products_and_a_crude_oil_price_index_monthly[[#This Row],[Month]]&amp;" "&amp;Typical_retail_prices_of_petroleum_products_and_a_crude_oil_price_index_monthly[[#This Row],[Year]])*1</f>
        <v>45078</v>
      </c>
    </row>
    <row r="425" customFormat="false" ht="14.25" hidden="false" customHeight="true" outlineLevel="0" collapsed="false">
      <c r="A425" s="32" t="n">
        <v>2023</v>
      </c>
      <c r="B425" s="33" t="s">
        <v>65</v>
      </c>
      <c r="C425" s="35"/>
      <c r="D425" s="35" t="n">
        <v>156.886741377722</v>
      </c>
      <c r="E425" s="57" t="n">
        <v>142.804450112162</v>
      </c>
      <c r="F425" s="57" t="n">
        <v>144.641991</v>
      </c>
      <c r="G425" s="35" t="n">
        <v>56.635</v>
      </c>
      <c r="H425" s="35" t="n">
        <v>87.184508</v>
      </c>
      <c r="I425" s="35" t="n">
        <v>119.020388569107</v>
      </c>
      <c r="J425" s="36" t="n">
        <f aca="false">F425-E425</f>
        <v>1.83754088783817</v>
      </c>
      <c r="K425" s="56"/>
      <c r="L425" s="53"/>
      <c r="M425" s="53"/>
      <c r="N425" s="59" t="n">
        <f aca="false">(Typical_retail_prices_of_petroleum_products_and_a_crude_oil_price_index_monthly[[#This Row],[Month]]&amp;" "&amp;Typical_retail_prices_of_petroleum_products_and_a_crude_oil_price_index_monthly[[#This Row],[Year]])*1</f>
        <v>45108</v>
      </c>
    </row>
    <row r="426" customFormat="false" ht="14.25" hidden="false" customHeight="true" outlineLevel="0" collapsed="false">
      <c r="A426" s="32" t="n">
        <v>2023</v>
      </c>
      <c r="B426" s="33" t="s">
        <v>66</v>
      </c>
      <c r="C426" s="35"/>
      <c r="D426" s="35" t="n">
        <v>160.504948189854</v>
      </c>
      <c r="E426" s="57" t="n">
        <v>147.910618991083</v>
      </c>
      <c r="F426" s="57" t="n">
        <v>150.456772</v>
      </c>
      <c r="G426" s="35" t="n">
        <v>68.976</v>
      </c>
      <c r="H426" s="35" t="n">
        <v>80.117318</v>
      </c>
      <c r="I426" s="35" t="n">
        <v>134.40412395279</v>
      </c>
      <c r="J426" s="36" t="n">
        <f aca="false">F426-E426</f>
        <v>2.54615300891689</v>
      </c>
      <c r="K426" s="56"/>
      <c r="L426" s="53"/>
      <c r="M426" s="53"/>
      <c r="N426" s="59" t="n">
        <f aca="false">(Typical_retail_prices_of_petroleum_products_and_a_crude_oil_price_index_monthly[[#This Row],[Month]]&amp;" "&amp;Typical_retail_prices_of_petroleum_products_and_a_crude_oil_price_index_monthly[[#This Row],[Year]])*1</f>
        <v>45139</v>
      </c>
    </row>
    <row r="427" customFormat="false" ht="14.25" hidden="false" customHeight="true" outlineLevel="0" collapsed="false">
      <c r="A427" s="32" t="n">
        <v>2023</v>
      </c>
      <c r="B427" s="33" t="s">
        <v>67</v>
      </c>
      <c r="C427" s="35"/>
      <c r="D427" s="35" t="n">
        <v>166.464499099681</v>
      </c>
      <c r="E427" s="57" t="n">
        <v>154.241067310774</v>
      </c>
      <c r="F427" s="57" t="n">
        <v>158.33991</v>
      </c>
      <c r="G427" s="35" t="n">
        <v>74.904</v>
      </c>
      <c r="H427" s="35" t="n">
        <v>89.172152</v>
      </c>
      <c r="I427" s="35" t="n">
        <v>147.276381824694</v>
      </c>
      <c r="J427" s="36" t="n">
        <f aca="false">F427-E427</f>
        <v>4.09884268922642</v>
      </c>
      <c r="K427" s="56"/>
      <c r="L427" s="53"/>
      <c r="M427" s="53"/>
      <c r="N427" s="59" t="n">
        <f aca="false">(Typical_retail_prices_of_petroleum_products_and_a_crude_oil_price_index_monthly[[#This Row],[Month]]&amp;" "&amp;Typical_retail_prices_of_petroleum_products_and_a_crude_oil_price_index_monthly[[#This Row],[Year]])*1</f>
        <v>45170</v>
      </c>
    </row>
    <row r="428" customFormat="false" ht="14.25" hidden="false" customHeight="true" outlineLevel="0" collapsed="false">
      <c r="A428" s="32" t="n">
        <v>2023</v>
      </c>
      <c r="B428" s="33" t="s">
        <v>68</v>
      </c>
      <c r="C428" s="35"/>
      <c r="D428" s="35" t="n">
        <v>168.079659699801</v>
      </c>
      <c r="E428" s="57" t="n">
        <v>155.352103325455</v>
      </c>
      <c r="F428" s="57" t="n">
        <v>162.293011</v>
      </c>
      <c r="G428" s="35" t="n">
        <v>73.737</v>
      </c>
      <c r="H428" s="35" t="n">
        <v>86.934542</v>
      </c>
      <c r="I428" s="35" t="n">
        <v>150.476076507417</v>
      </c>
      <c r="J428" s="36" t="n">
        <f aca="false">F428-E428</f>
        <v>6.9409076745454</v>
      </c>
      <c r="K428" s="56"/>
      <c r="L428" s="53"/>
      <c r="M428" s="53"/>
      <c r="N428" s="59" t="n">
        <f aca="false">(Typical_retail_prices_of_petroleum_products_and_a_crude_oil_price_index_monthly[[#This Row],[Month]]&amp;" "&amp;Typical_retail_prices_of_petroleum_products_and_a_crude_oil_price_index_monthly[[#This Row],[Year]])*1</f>
        <v>45200</v>
      </c>
    </row>
    <row r="429" customFormat="false" ht="14.25" hidden="false" customHeight="true" outlineLevel="0" collapsed="false">
      <c r="A429" s="32" t="n">
        <v>2023</v>
      </c>
      <c r="B429" s="33" t="s">
        <v>69</v>
      </c>
      <c r="C429" s="35"/>
      <c r="D429" s="35" t="n">
        <v>165.586430810426</v>
      </c>
      <c r="E429" s="57" t="n">
        <v>152.22409968628</v>
      </c>
      <c r="F429" s="57" t="n">
        <v>160.216952</v>
      </c>
      <c r="G429" s="35" t="n">
        <v>68.838</v>
      </c>
      <c r="H429" s="35" t="n">
        <v>79.835372</v>
      </c>
      <c r="I429" s="35" t="n">
        <v>137.758308963523</v>
      </c>
      <c r="J429" s="36" t="n">
        <f aca="false">F429-E429</f>
        <v>7.99285231372051</v>
      </c>
      <c r="K429" s="56"/>
      <c r="L429" s="53"/>
      <c r="M429" s="53"/>
      <c r="N429" s="59" t="n">
        <f aca="false">(Typical_retail_prices_of_petroleum_products_and_a_crude_oil_price_index_monthly[[#This Row],[Month]]&amp;" "&amp;Typical_retail_prices_of_petroleum_products_and_a_crude_oil_price_index_monthly[[#This Row],[Year]])*1</f>
        <v>45231</v>
      </c>
    </row>
    <row r="430" customFormat="false" ht="14.25" hidden="false" customHeight="true" outlineLevel="0" collapsed="false">
      <c r="A430" s="32" t="n">
        <v>2023</v>
      </c>
      <c r="B430" s="33" t="s">
        <v>70</v>
      </c>
      <c r="C430" s="35"/>
      <c r="D430" s="35" t="n">
        <v>157.919071568918</v>
      </c>
      <c r="E430" s="57" t="n">
        <v>143.675511252291</v>
      </c>
      <c r="F430" s="57" t="n">
        <v>151.874798</v>
      </c>
      <c r="G430" s="35" t="n">
        <v>62.213</v>
      </c>
      <c r="H430" s="35" t="n">
        <v>76.026225</v>
      </c>
      <c r="I430" s="35" t="n">
        <v>124.847358254556</v>
      </c>
      <c r="J430" s="36" t="n">
        <f aca="false">F430-E430</f>
        <v>8.19928674770938</v>
      </c>
      <c r="K430" s="56"/>
      <c r="L430" s="53"/>
      <c r="M430" s="53"/>
      <c r="N430" s="59" t="n">
        <f aca="false">(Typical_retail_prices_of_petroleum_products_and_a_crude_oil_price_index_monthly[[#This Row],[Month]]&amp;" "&amp;Typical_retail_prices_of_petroleum_products_and_a_crude_oil_price_index_monthly[[#This Row],[Year]])*1</f>
        <v>45261</v>
      </c>
    </row>
    <row r="431" customFormat="false" ht="14.25" hidden="false" customHeight="true" outlineLevel="0" collapsed="false">
      <c r="A431" s="32" t="n">
        <v>2024</v>
      </c>
      <c r="B431" s="33" t="s">
        <v>59</v>
      </c>
      <c r="C431" s="35"/>
      <c r="D431" s="35" t="n">
        <v>153.156466616611</v>
      </c>
      <c r="E431" s="57" t="n">
        <v>139.36021812596</v>
      </c>
      <c r="F431" s="57" t="n">
        <v>147.831895</v>
      </c>
      <c r="G431" s="35" t="n">
        <v>62.935</v>
      </c>
      <c r="H431" s="35" t="n">
        <v>75.359501</v>
      </c>
      <c r="I431" s="35" t="n">
        <v>122.714223736675</v>
      </c>
      <c r="J431" s="36" t="n">
        <f aca="false">F431-E431</f>
        <v>8.47167687403962</v>
      </c>
      <c r="K431" s="56"/>
      <c r="L431" s="53"/>
      <c r="M431" s="53"/>
      <c r="N431" s="59" t="n">
        <f aca="false">(Typical_retail_prices_of_petroleum_products_and_a_crude_oil_price_index_monthly[[#This Row],[Month]]&amp;" "&amp;Typical_retail_prices_of_petroleum_products_and_a_crude_oil_price_index_monthly[[#This Row],[Year]])*1</f>
        <v>45292</v>
      </c>
    </row>
    <row r="432" customFormat="false" ht="14.25" hidden="false" customHeight="true" outlineLevel="0" collapsed="false">
      <c r="A432" s="32" t="n">
        <v>2024</v>
      </c>
      <c r="B432" s="33" t="s">
        <v>60</v>
      </c>
      <c r="C432" s="35"/>
      <c r="D432" s="35" t="n">
        <v>154.083954495274</v>
      </c>
      <c r="E432" s="57" t="n">
        <v>141.469966510495</v>
      </c>
      <c r="F432" s="57" t="n">
        <v>150.452001</v>
      </c>
      <c r="G432" s="35" t="n">
        <v>66.636</v>
      </c>
      <c r="H432" s="35" t="n">
        <v>78.542809</v>
      </c>
      <c r="I432" s="35" t="n">
        <v>130.276036901396</v>
      </c>
      <c r="J432" s="36" t="n">
        <f aca="false">F432-E432</f>
        <v>8.98203448950463</v>
      </c>
      <c r="K432" s="56"/>
      <c r="L432" s="53"/>
      <c r="M432" s="53"/>
      <c r="N432" s="59" t="n">
        <f aca="false">(Typical_retail_prices_of_petroleum_products_and_a_crude_oil_price_index_monthly[[#This Row],[Month]]&amp;" "&amp;Typical_retail_prices_of_petroleum_products_and_a_crude_oil_price_index_monthly[[#This Row],[Year]])*1</f>
        <v>45323</v>
      </c>
    </row>
    <row r="433" customFormat="false" ht="14.25" hidden="false" customHeight="true" outlineLevel="0" collapsed="false">
      <c r="A433" s="32" t="n">
        <v>2024</v>
      </c>
      <c r="B433" s="33" t="s">
        <v>61</v>
      </c>
      <c r="C433" s="35"/>
      <c r="D433" s="35" t="n">
        <v>157.708466861282</v>
      </c>
      <c r="E433" s="57" t="n">
        <v>144.659057874289</v>
      </c>
      <c r="F433" s="57" t="n">
        <v>153.72417</v>
      </c>
      <c r="G433" s="35" t="n">
        <v>62.725</v>
      </c>
      <c r="H433" s="35" t="n">
        <v>78.761923</v>
      </c>
      <c r="I433" s="35" t="n">
        <v>132.726473888363</v>
      </c>
      <c r="J433" s="36" t="n">
        <f aca="false">F433-E433</f>
        <v>9.06511212571107</v>
      </c>
      <c r="K433" s="56"/>
      <c r="L433" s="53"/>
      <c r="M433" s="53"/>
      <c r="N433" s="59" t="n">
        <f aca="false">(Typical_retail_prices_of_petroleum_products_and_a_crude_oil_price_index_monthly[[#This Row],[Month]]&amp;" "&amp;Typical_retail_prices_of_petroleum_products_and_a_crude_oil_price_index_monthly[[#This Row],[Year]])*1</f>
        <v>45352</v>
      </c>
    </row>
    <row r="434" customFormat="false" ht="14.25" hidden="false" customHeight="true" outlineLevel="0" collapsed="false">
      <c r="A434" s="32" t="n">
        <v>2024</v>
      </c>
      <c r="B434" s="33" t="s">
        <v>62</v>
      </c>
      <c r="C434" s="35"/>
      <c r="D434" s="35" t="n">
        <v>160.606172136261</v>
      </c>
      <c r="E434" s="57" t="n">
        <v>148.847317022355</v>
      </c>
      <c r="F434" s="57" t="n">
        <v>157.738751</v>
      </c>
      <c r="G434" s="35" t="n">
        <v>64.014</v>
      </c>
      <c r="H434" s="35" t="n">
        <v>78.453215</v>
      </c>
      <c r="I434" s="35" t="n">
        <v>140.616811593818</v>
      </c>
      <c r="J434" s="36" t="n">
        <f aca="false">F434-E434</f>
        <v>8.89143397764514</v>
      </c>
      <c r="K434" s="56"/>
      <c r="L434" s="53"/>
      <c r="M434" s="53"/>
      <c r="N434" s="59" t="n">
        <f aca="false">(Typical_retail_prices_of_petroleum_products_and_a_crude_oil_price_index_monthly[[#This Row],[Month]]&amp;" "&amp;Typical_retail_prices_of_petroleum_products_and_a_crude_oil_price_index_monthly[[#This Row],[Year]])*1</f>
        <v>45383</v>
      </c>
    </row>
    <row r="435" customFormat="false" ht="14.25" hidden="false" customHeight="true" outlineLevel="0" collapsed="false">
      <c r="A435" s="32" t="n">
        <v>2024</v>
      </c>
      <c r="B435" s="33" t="s">
        <v>63</v>
      </c>
      <c r="C435" s="35"/>
      <c r="D435" s="35" t="n">
        <v>161.910056370153</v>
      </c>
      <c r="E435" s="57" t="n">
        <v>149.312471865053</v>
      </c>
      <c r="F435" s="57" t="n">
        <v>157.256569</v>
      </c>
      <c r="G435" s="35" t="n">
        <v>59.671</v>
      </c>
      <c r="H435" s="35" t="n">
        <v>72.727479</v>
      </c>
      <c r="I435" s="35" t="n">
        <v>129.34714451981</v>
      </c>
      <c r="J435" s="36" t="n">
        <f aca="false">F435-E435</f>
        <v>7.94409713494673</v>
      </c>
      <c r="K435" s="56"/>
      <c r="L435" s="53"/>
      <c r="M435" s="53"/>
      <c r="N435" s="59" t="n">
        <f aca="false">(Typical_retail_prices_of_petroleum_products_and_a_crude_oil_price_index_monthly[[#This Row],[Month]]&amp;" "&amp;Typical_retail_prices_of_petroleum_products_and_a_crude_oil_price_index_monthly[[#This Row],[Year]])*1</f>
        <v>45413</v>
      </c>
    </row>
    <row r="436" customFormat="false" ht="14.25" hidden="false" customHeight="true" outlineLevel="0" collapsed="false">
      <c r="A436" s="32" t="n">
        <v>2024</v>
      </c>
      <c r="B436" s="33" t="s">
        <v>64</v>
      </c>
      <c r="C436" s="35"/>
      <c r="D436" s="35" t="n">
        <v>158.588554895204</v>
      </c>
      <c r="E436" s="57" t="n">
        <v>145.092064546581</v>
      </c>
      <c r="F436" s="57" t="n">
        <v>150.608122</v>
      </c>
      <c r="G436" s="35" t="n">
        <v>58.461</v>
      </c>
      <c r="H436" s="35" t="n">
        <v>72.671046</v>
      </c>
      <c r="I436" s="35" t="n">
        <v>127.904327411887</v>
      </c>
      <c r="J436" s="36" t="n">
        <f aca="false">F436-E436</f>
        <v>5.51605745341905</v>
      </c>
      <c r="K436" s="56"/>
      <c r="L436" s="53"/>
      <c r="M436" s="53"/>
      <c r="N436" s="59" t="n">
        <f aca="false">(Typical_retail_prices_of_petroleum_products_and_a_crude_oil_price_index_monthly[[#This Row],[Month]]&amp;" "&amp;Typical_retail_prices_of_petroleum_products_and_a_crude_oil_price_index_monthly[[#This Row],[Year]])*1</f>
        <v>45444</v>
      </c>
    </row>
    <row r="437" customFormat="false" ht="12.75" hidden="false" customHeight="false" outlineLevel="0" collapsed="false">
      <c r="A437" s="32" t="n">
        <v>2024</v>
      </c>
      <c r="B437" s="33" t="s">
        <v>65</v>
      </c>
      <c r="C437" s="35"/>
      <c r="D437" s="35" t="n">
        <v>157.733093080489</v>
      </c>
      <c r="E437" s="57" t="n">
        <v>144.789319991864</v>
      </c>
      <c r="F437" s="57" t="n">
        <v>150.638885</v>
      </c>
      <c r="G437" s="35" t="n">
        <v>58.997</v>
      </c>
      <c r="H437" s="35" t="n">
        <v>73.489015</v>
      </c>
      <c r="I437" s="35" t="n">
        <v>129.313709873318</v>
      </c>
      <c r="J437" s="36" t="n">
        <f aca="false">F437-E437</f>
        <v>5.84956500813641</v>
      </c>
      <c r="K437" s="56"/>
      <c r="L437" s="53"/>
      <c r="M437" s="53"/>
      <c r="N437" s="59" t="n">
        <f aca="false">(Typical_retail_prices_of_petroleum_products_and_a_crude_oil_price_index_monthly[[#This Row],[Month]]&amp;" "&amp;Typical_retail_prices_of_petroleum_products_and_a_crude_oil_price_index_monthly[[#This Row],[Year]])*1</f>
        <v>45474</v>
      </c>
    </row>
    <row r="438" customFormat="false" ht="12.75" hidden="false" customHeight="false" outlineLevel="0" collapsed="false">
      <c r="A438" s="32" t="n">
        <v>2024</v>
      </c>
      <c r="B438" s="33" t="s">
        <v>66</v>
      </c>
      <c r="C438" s="35"/>
      <c r="D438" s="35" t="n">
        <v>156.686848132696</v>
      </c>
      <c r="E438" s="57" t="n">
        <v>142.893562337489</v>
      </c>
      <c r="F438" s="57" t="n">
        <v>148.344119</v>
      </c>
      <c r="G438" s="35" t="n">
        <v>55.727</v>
      </c>
      <c r="H438" s="35" t="n">
        <v>69.434431</v>
      </c>
      <c r="I438" s="35" t="n">
        <v>125.463053937865</v>
      </c>
      <c r="J438" s="36" t="n">
        <f aca="false">F438-E438</f>
        <v>5.45055666251079</v>
      </c>
      <c r="K438" s="56"/>
      <c r="L438" s="53"/>
      <c r="M438" s="53"/>
      <c r="N438" s="59" t="n">
        <f aca="false">(Typical_retail_prices_of_petroleum_products_and_a_crude_oil_price_index_monthly[[#This Row],[Month]]&amp;" "&amp;Typical_retail_prices_of_petroleum_products_and_a_crude_oil_price_index_monthly[[#This Row],[Year]])*1</f>
        <v>45505</v>
      </c>
    </row>
    <row r="439" customFormat="false" ht="12.75" hidden="false" customHeight="false" outlineLevel="0" collapsed="false">
      <c r="A439" s="32" t="n">
        <v>2024</v>
      </c>
      <c r="B439" s="33" t="s">
        <v>67</v>
      </c>
      <c r="C439" s="35"/>
      <c r="D439" s="35" t="n">
        <v>150.673727468261</v>
      </c>
      <c r="E439" s="57" t="n">
        <v>136.410858736109</v>
      </c>
      <c r="F439" s="57" t="n">
        <v>141.469972</v>
      </c>
      <c r="G439" s="35" t="n">
        <v>49.633</v>
      </c>
      <c r="H439" s="35" t="n">
        <v>63.917708</v>
      </c>
      <c r="I439" s="35" t="n">
        <v>113.860377276091</v>
      </c>
      <c r="J439" s="36" t="n">
        <f aca="false">F439-E439</f>
        <v>5.05911326389116</v>
      </c>
      <c r="K439" s="56"/>
      <c r="L439" s="53"/>
      <c r="M439" s="53"/>
      <c r="N439" s="59" t="n">
        <f aca="false">(Typical_retail_prices_of_petroleum_products_and_a_crude_oil_price_index_monthly[[#This Row],[Month]]&amp;" "&amp;Typical_retail_prices_of_petroleum_products_and_a_crude_oil_price_index_monthly[[#This Row],[Year]])*1</f>
        <v>45536</v>
      </c>
    </row>
    <row r="440" customFormat="false" ht="12.75" hidden="false" customHeight="false" outlineLevel="0" collapsed="false">
      <c r="A440" s="32" t="n">
        <v>2024</v>
      </c>
      <c r="B440" s="33" t="s">
        <v>68</v>
      </c>
      <c r="C440" s="35"/>
      <c r="D440" s="35" t="n">
        <v>147.451403639275</v>
      </c>
      <c r="E440" s="57" t="n">
        <v>133.90713684663</v>
      </c>
      <c r="F440" s="57" t="n">
        <v>138.949218</v>
      </c>
      <c r="G440" s="35" t="n">
        <v>53.186</v>
      </c>
      <c r="H440" s="35" t="n">
        <v>67.783027</v>
      </c>
      <c r="I440" s="35" t="n">
        <v>114.460042493174</v>
      </c>
      <c r="J440" s="36" t="n">
        <f aca="false">F440-E440</f>
        <v>5.04208115336959</v>
      </c>
      <c r="K440" s="56"/>
      <c r="L440" s="53"/>
      <c r="M440" s="53"/>
      <c r="N440" s="59" t="n">
        <f aca="false">(Typical_retail_prices_of_petroleum_products_and_a_crude_oil_price_index_monthly[[#This Row],[Month]]&amp;" "&amp;Typical_retail_prices_of_petroleum_products_and_a_crude_oil_price_index_monthly[[#This Row],[Year]])*1</f>
        <v>45566</v>
      </c>
    </row>
    <row r="441" customFormat="false" ht="12.75" hidden="false" customHeight="false" outlineLevel="0" collapsed="false">
      <c r="A441" s="32" t="n">
        <v>2024</v>
      </c>
      <c r="B441" s="33" t="s">
        <v>69</v>
      </c>
      <c r="C441" s="35"/>
      <c r="D441" s="35" t="n">
        <v>148.45314703406</v>
      </c>
      <c r="E441" s="57" t="n">
        <v>134.712631123204</v>
      </c>
      <c r="F441" s="57" t="n">
        <v>140.363474</v>
      </c>
      <c r="G441" s="35" t="n">
        <v>53.224</v>
      </c>
      <c r="H441" s="35" t="n">
        <v>68.265253</v>
      </c>
      <c r="I441" s="35" t="n">
        <v>116.188312628277</v>
      </c>
      <c r="J441" s="36" t="n">
        <f aca="false">F441-E441</f>
        <v>5.65084287679645</v>
      </c>
      <c r="K441" s="56"/>
      <c r="L441" s="53"/>
      <c r="M441" s="53"/>
      <c r="N441" s="59" t="n">
        <f aca="false">(Typical_retail_prices_of_petroleum_products_and_a_crude_oil_price_index_monthly[[#This Row],[Month]]&amp;" "&amp;Typical_retail_prices_of_petroleum_products_and_a_crude_oil_price_index_monthly[[#This Row],[Year]])*1</f>
        <v>45597</v>
      </c>
    </row>
    <row r="442" customFormat="false" ht="12.75" hidden="false" customHeight="false" outlineLevel="0" collapsed="false">
      <c r="A442" s="32" t="n">
        <v>2024</v>
      </c>
      <c r="B442" s="33" t="s">
        <v>70</v>
      </c>
      <c r="C442" s="35"/>
      <c r="D442" s="35" t="n">
        <v>149.20863928572</v>
      </c>
      <c r="E442" s="57" t="n">
        <v>136.277379900402</v>
      </c>
      <c r="F442" s="57" t="n">
        <v>142.569442</v>
      </c>
      <c r="G442" s="35" t="n">
        <v>53.715</v>
      </c>
      <c r="H442" s="35" t="n">
        <v>68.423573</v>
      </c>
      <c r="I442" s="35" t="n">
        <v>115.302538988002</v>
      </c>
      <c r="J442" s="36" t="n">
        <f aca="false">F442-E442</f>
        <v>6.29206209959796</v>
      </c>
      <c r="K442" s="56"/>
      <c r="L442" s="53"/>
      <c r="M442" s="53"/>
      <c r="N442" s="59" t="n">
        <f aca="false">(Typical_retail_prices_of_petroleum_products_and_a_crude_oil_price_index_monthly[[#This Row],[Month]]&amp;" "&amp;Typical_retail_prices_of_petroleum_products_and_a_crude_oil_price_index_monthly[[#This Row],[Year]])*1</f>
        <v>45627</v>
      </c>
    </row>
    <row r="443" customFormat="false" ht="12.75" hidden="false" customHeight="false" outlineLevel="0" collapsed="false">
      <c r="A443" s="32" t="n">
        <v>2025</v>
      </c>
      <c r="B443" s="33" t="s">
        <v>59</v>
      </c>
      <c r="C443" s="35"/>
      <c r="D443" s="35" t="n">
        <v>149.326775983773</v>
      </c>
      <c r="E443" s="57" t="n">
        <v>136.75740321166</v>
      </c>
      <c r="F443" s="57" t="n">
        <v>143.416042</v>
      </c>
      <c r="G443" s="35" t="n">
        <v>56.644</v>
      </c>
      <c r="H443" s="35" t="n">
        <v>74.680828</v>
      </c>
      <c r="I443" s="35" t="n">
        <v>124.619878289215</v>
      </c>
      <c r="J443" s="36" t="n">
        <f aca="false">F443-E443</f>
        <v>6.65863878834028</v>
      </c>
      <c r="K443" s="56"/>
      <c r="L443" s="53"/>
      <c r="M443" s="53"/>
      <c r="N443" s="59" t="n">
        <f aca="false">(Typical_retail_prices_of_petroleum_products_and_a_crude_oil_price_index_monthly[[#This Row],[Month]]&amp;" "&amp;Typical_retail_prices_of_petroleum_products_and_a_crude_oil_price_index_monthly[[#This Row],[Year]])*1</f>
        <v>45658</v>
      </c>
    </row>
    <row r="444" customFormat="false" ht="12.75" hidden="false" customHeight="false" outlineLevel="0" collapsed="false">
      <c r="A444" s="32" t="n">
        <v>2025</v>
      </c>
      <c r="B444" s="33" t="s">
        <v>60</v>
      </c>
      <c r="C444" s="35"/>
      <c r="D444" s="35" t="n">
        <v>152.018195232629</v>
      </c>
      <c r="E444" s="57" t="n">
        <v>139.347661071847</v>
      </c>
      <c r="F444" s="57" t="n">
        <v>146.503028</v>
      </c>
      <c r="G444" s="35" t="n">
        <v>56.055</v>
      </c>
      <c r="H444" s="35" t="n">
        <v>71.50011</v>
      </c>
      <c r="I444" s="35" t="n">
        <v>118.274352961283</v>
      </c>
      <c r="J444" s="36" t="n">
        <f aca="false">F444-E444</f>
        <v>7.15536692815297</v>
      </c>
      <c r="K444" s="56"/>
      <c r="L444" s="53"/>
      <c r="M444" s="53"/>
      <c r="N444" s="59" t="n">
        <f aca="false">(Typical_retail_prices_of_petroleum_products_and_a_crude_oil_price_index_monthly[[#This Row],[Month]]&amp;" "&amp;Typical_retail_prices_of_petroleum_products_and_a_crude_oil_price_index_monthly[[#This Row],[Year]])*1</f>
        <v>45689</v>
      </c>
    </row>
    <row r="445" customFormat="false" ht="12.75" hidden="false" customHeight="false" outlineLevel="0" collapsed="false">
      <c r="A445" s="32" t="n">
        <v>2025</v>
      </c>
      <c r="B445" s="33" t="s">
        <v>61</v>
      </c>
      <c r="C445" s="35"/>
      <c r="D445" s="35" t="n">
        <v>151.221263672557</v>
      </c>
      <c r="E445" s="57" t="n">
        <v>137.631051067861</v>
      </c>
      <c r="F445" s="57" t="n">
        <v>144.980217</v>
      </c>
      <c r="G445" s="35" t="n">
        <v>51.993</v>
      </c>
      <c r="H445" s="35" t="n">
        <v>67.188178</v>
      </c>
      <c r="I445" s="35" t="n">
        <v>111.153811433927</v>
      </c>
      <c r="J445" s="36" t="n">
        <f aca="false">F445-E445</f>
        <v>7.34916593213922</v>
      </c>
      <c r="K445" s="56"/>
      <c r="L445" s="53"/>
      <c r="M445" s="53"/>
      <c r="N445" s="59" t="n">
        <f aca="false">(Typical_retail_prices_of_petroleum_products_and_a_crude_oil_price_index_monthly[[#This Row],[Month]]&amp;" "&amp;Typical_retail_prices_of_petroleum_products_and_a_crude_oil_price_index_monthly[[#This Row],[Year]])*1</f>
        <v>45717</v>
      </c>
    </row>
    <row r="446" customFormat="false" ht="12.75" hidden="false" customHeight="false" outlineLevel="0" collapsed="false">
      <c r="A446" s="32" t="n">
        <v>2025</v>
      </c>
      <c r="B446" s="33" t="s">
        <v>62</v>
      </c>
      <c r="C446" s="35"/>
      <c r="D446" s="35" t="n">
        <v>149.737705240888</v>
      </c>
      <c r="E446" s="57" t="n">
        <v>134.812152729934</v>
      </c>
      <c r="F446" s="57" t="n">
        <v>141.72596</v>
      </c>
      <c r="G446" s="35" t="n">
        <v>51.095</v>
      </c>
      <c r="H446" s="35" t="n">
        <v>64.213162</v>
      </c>
      <c r="I446" s="35" t="n">
        <v>101.531998956475</v>
      </c>
      <c r="J446" s="36" t="n">
        <f aca="false">F446-E446</f>
        <v>6.91380727006586</v>
      </c>
      <c r="K446" s="56"/>
      <c r="L446" s="53"/>
      <c r="M446" s="53"/>
      <c r="N446" s="59" t="n">
        <f aca="false">(Typical_retail_prices_of_petroleum_products_and_a_crude_oil_price_index_monthly[[#This Row],[Month]]&amp;" "&amp;Typical_retail_prices_of_petroleum_products_and_a_crude_oil_price_index_monthly[[#This Row],[Year]])*1</f>
        <v>45748</v>
      </c>
    </row>
    <row r="447" customFormat="false" ht="12.75" hidden="false" customHeight="false" outlineLevel="0" collapsed="false">
      <c r="A447" s="32" t="n">
        <v>2025</v>
      </c>
      <c r="B447" s="33" t="s">
        <v>63</v>
      </c>
      <c r="C447" s="35"/>
      <c r="D447" s="35" t="n">
        <v>147.445698573552</v>
      </c>
      <c r="E447" s="57" t="n">
        <v>132.313053105394</v>
      </c>
      <c r="F447" s="57" t="n">
        <v>139.070993</v>
      </c>
      <c r="G447" s="35" t="n">
        <v>46.393</v>
      </c>
      <c r="H447" s="35" t="n">
        <v>62.636594</v>
      </c>
      <c r="I447" s="35" t="n">
        <v>96.2674933373812</v>
      </c>
      <c r="J447" s="36" t="n">
        <f aca="false">F447-E447</f>
        <v>6.75793989460576</v>
      </c>
      <c r="K447" s="56"/>
      <c r="L447" s="53"/>
      <c r="M447" s="53"/>
      <c r="N447" s="59" t="n">
        <f aca="false">(Typical_retail_prices_of_petroleum_products_and_a_crude_oil_price_index_monthly[[#This Row],[Month]]&amp;" "&amp;Typical_retail_prices_of_petroleum_products_and_a_crude_oil_price_index_monthly[[#This Row],[Year]])*1</f>
        <v>45778</v>
      </c>
    </row>
    <row r="448" customFormat="false" ht="12.75" hidden="false" customHeight="false" outlineLevel="0" collapsed="false">
      <c r="A448" s="32" t="n">
        <v>2025</v>
      </c>
      <c r="B448" s="33" t="s">
        <v>64</v>
      </c>
      <c r="C448" s="35"/>
      <c r="D448" s="35" t="n">
        <v>146.445667889723</v>
      </c>
      <c r="E448" s="57" t="n">
        <v>131.467773182486</v>
      </c>
      <c r="F448" s="57" t="n">
        <v>137.475494</v>
      </c>
      <c r="G448" s="35" t="n">
        <v>49.114</v>
      </c>
      <c r="H448" s="35" t="n">
        <v>63.903946</v>
      </c>
      <c r="I448" s="35" t="n">
        <v>100.989173285112</v>
      </c>
      <c r="J448" s="36" t="n">
        <f aca="false">F448-E448</f>
        <v>6.00772081751433</v>
      </c>
      <c r="K448" s="56"/>
      <c r="L448" s="53"/>
      <c r="M448" s="53"/>
      <c r="N448" s="59" t="n">
        <f aca="false">(Typical_retail_prices_of_petroleum_products_and_a_crude_oil_price_index_monthly[[#This Row],[Month]]&amp;" "&amp;Typical_retail_prices_of_petroleum_products_and_a_crude_oil_price_index_monthly[[#This Row],[Year]])*1</f>
        <v>45809</v>
      </c>
    </row>
    <row r="449" customFormat="false" ht="12.75" hidden="false" customHeight="false" outlineLevel="0" collapsed="false">
      <c r="A449" s="32" t="n">
        <v>2025</v>
      </c>
      <c r="B449" s="33" t="s">
        <v>65</v>
      </c>
      <c r="C449" s="35"/>
      <c r="D449" s="35" t="n">
        <v>148.604521138632</v>
      </c>
      <c r="E449" s="57" t="n">
        <v>133.944215191936</v>
      </c>
      <c r="F449" s="57" t="n">
        <v>140.834502</v>
      </c>
      <c r="G449" s="35" t="n">
        <v>53.822</v>
      </c>
      <c r="H449" s="35" t="n">
        <v>69.279659</v>
      </c>
      <c r="I449" s="35" t="n">
        <v>105.489991243571</v>
      </c>
      <c r="J449" s="36" t="n">
        <f aca="false">F449-E449</f>
        <v>6.89028680806445</v>
      </c>
      <c r="K449" s="56"/>
      <c r="L449" s="53"/>
      <c r="M449" s="53"/>
      <c r="N449" s="59" t="n">
        <f aca="false">(Typical_retail_prices_of_petroleum_products_and_a_crude_oil_price_index_monthly[[#This Row],[Month]]&amp;" "&amp;Typical_retail_prices_of_petroleum_products_and_a_crude_oil_price_index_monthly[[#This Row],[Year]])*1</f>
        <v>45839</v>
      </c>
    </row>
    <row r="450" customFormat="false" ht="12.75" hidden="false" customHeight="false" outlineLevel="0" collapsed="false">
      <c r="A450" s="32" t="n">
        <v>2025</v>
      </c>
      <c r="B450" s="33" t="s">
        <v>66</v>
      </c>
      <c r="C450" s="35"/>
      <c r="D450" s="35" t="n">
        <v>149.155923069215</v>
      </c>
      <c r="E450" s="60" t="n">
        <v>134.452990006941</v>
      </c>
      <c r="F450" s="60" t="n">
        <v>142.130328</v>
      </c>
      <c r="G450" s="35" t="n">
        <v>50.714</v>
      </c>
      <c r="H450" s="35" t="n">
        <v>65.694309</v>
      </c>
      <c r="I450" s="35" t="n">
        <v>102.286507947966</v>
      </c>
      <c r="J450" s="36" t="n">
        <f aca="false">F450-E450</f>
        <v>7.67733799305896</v>
      </c>
      <c r="K450" s="56"/>
      <c r="L450" s="53"/>
      <c r="M450" s="53"/>
      <c r="N450" s="59" t="n">
        <f aca="false">(Typical_retail_prices_of_petroleum_products_and_a_crude_oil_price_index_monthly[[#This Row],[Month]]&amp;" "&amp;Typical_retail_prices_of_petroleum_products_and_a_crude_oil_price_index_monthly[[#This Row],[Year]])*1</f>
        <v>45870</v>
      </c>
    </row>
    <row r="451" customFormat="false" ht="12.75" hidden="false" customHeight="false" outlineLevel="0" collapsed="false">
      <c r="A451" s="32" t="n">
        <v>2025</v>
      </c>
      <c r="B451" s="33" t="s">
        <v>67</v>
      </c>
      <c r="C451" s="35"/>
      <c r="D451" s="35" t="n">
        <v>149.028206050741</v>
      </c>
      <c r="E451" s="57" t="n">
        <v>133.838760535216</v>
      </c>
      <c r="F451" s="57" t="n">
        <v>141.56783</v>
      </c>
      <c r="G451" s="35" t="n">
        <v>49.256</v>
      </c>
      <c r="H451" s="35" t="n">
        <v>66.89165</v>
      </c>
      <c r="I451" s="35" t="n">
        <v>99.3703172286009</v>
      </c>
      <c r="J451" s="36" t="n">
        <f aca="false">F451-E451</f>
        <v>7.72906946478381</v>
      </c>
      <c r="K451" s="56"/>
      <c r="L451" s="53"/>
      <c r="M451" s="53"/>
      <c r="N451" s="59" t="n">
        <f aca="false">(Typical_retail_prices_of_petroleum_products_and_a_crude_oil_price_index_monthly[[#This Row],[Month]]&amp;" "&amp;Typical_retail_prices_of_petroleum_products_and_a_crude_oil_price_index_monthly[[#This Row],[Year]])*1</f>
        <v>45901</v>
      </c>
    </row>
    <row r="452" customFormat="false" ht="12.75" hidden="false" customHeight="false" outlineLevel="0" collapsed="false">
      <c r="A452" s="32" t="n">
        <v>2025</v>
      </c>
      <c r="B452" s="33" t="s">
        <v>68</v>
      </c>
      <c r="C452" s="35"/>
      <c r="D452" s="35" t="n">
        <v>149.80238191333</v>
      </c>
      <c r="E452" s="57" t="n">
        <v>134.770957407429</v>
      </c>
      <c r="F452" s="57" t="n">
        <v>143.017768</v>
      </c>
      <c r="G452" s="35" t="n">
        <v>52.339</v>
      </c>
      <c r="H452" s="35" t="n">
        <v>67.226825</v>
      </c>
      <c r="I452" s="35" t="n">
        <v>97.4745926723983</v>
      </c>
      <c r="J452" s="36" t="n">
        <f aca="false">F452-E452</f>
        <v>8.24681059257128</v>
      </c>
      <c r="K452" s="56"/>
      <c r="L452" s="53"/>
      <c r="M452" s="53"/>
      <c r="N452" s="59" t="n">
        <f aca="false">(Typical_retail_prices_of_petroleum_products_and_a_crude_oil_price_index_monthly[[#This Row],[Month]]&amp;" "&amp;Typical_retail_prices_of_petroleum_products_and_a_crude_oil_price_index_monthly[[#This Row],[Year]])*1</f>
        <v>45931</v>
      </c>
    </row>
    <row r="453" customFormat="false" ht="12.75" hidden="false" customHeight="false" outlineLevel="0" collapsed="false">
      <c r="A453" s="32" t="n">
        <v>2025</v>
      </c>
      <c r="B453" s="33" t="s">
        <v>69</v>
      </c>
      <c r="C453" s="35"/>
      <c r="D453" s="35" t="n">
        <v>150.16925389823</v>
      </c>
      <c r="E453" s="57" t="n">
        <v>134.98206204732</v>
      </c>
      <c r="F453" s="57" t="n">
        <v>143.938358</v>
      </c>
      <c r="G453" s="35" t="n">
        <v>55.829</v>
      </c>
      <c r="H453" s="35" t="n">
        <v>72.820494</v>
      </c>
      <c r="I453" s="61" t="n">
        <v>96.5290098612676</v>
      </c>
      <c r="J453" s="36" t="n">
        <f aca="false">F453-E453</f>
        <v>8.95629595268031</v>
      </c>
      <c r="K453" s="56"/>
      <c r="L453" s="53"/>
      <c r="M453" s="53"/>
      <c r="N453" s="59" t="n">
        <f aca="false">(Typical_retail_prices_of_petroleum_products_and_a_crude_oil_price_index_monthly[[#This Row],[Month]]&amp;" "&amp;Typical_retail_prices_of_petroleum_products_and_a_crude_oil_price_index_monthly[[#This Row],[Year]])*1</f>
        <v>45962</v>
      </c>
    </row>
    <row r="454" customFormat="false" ht="12.75" hidden="false" customHeight="false" outlineLevel="0" collapsed="false">
      <c r="A454" s="32" t="n">
        <v>2025</v>
      </c>
      <c r="B454" s="33" t="s">
        <v>70</v>
      </c>
      <c r="C454" s="35"/>
      <c r="D454" s="35" t="n">
        <v>151.948964546503</v>
      </c>
      <c r="E454" s="57" t="n">
        <v>136.548444905869</v>
      </c>
      <c r="F454" s="57" t="n">
        <v>145.922381</v>
      </c>
      <c r="G454" s="35" t="n">
        <v>52.477</v>
      </c>
      <c r="H454" s="35" t="n">
        <v>65.48046</v>
      </c>
      <c r="I454" s="61" t="n">
        <v>93.1636872159133</v>
      </c>
      <c r="J454" s="36" t="n">
        <f aca="false">F454-E454</f>
        <v>9.37393609413061</v>
      </c>
      <c r="K454" s="56"/>
      <c r="L454" s="53"/>
      <c r="M454" s="53"/>
      <c r="N454" s="59" t="n">
        <f aca="false">(Typical_retail_prices_of_petroleum_products_and_a_crude_oil_price_index_monthly[[#This Row],[Month]]&amp;" "&amp;Typical_retail_prices_of_petroleum_products_and_a_crude_oil_price_index_monthly[[#This Row],[Year]])*1</f>
        <v>45992</v>
      </c>
    </row>
    <row r="455" customFormat="false" ht="12.75" hidden="false" customHeight="false" outlineLevel="0" collapsed="false">
      <c r="A455" s="32" t="n">
        <v>2026</v>
      </c>
      <c r="B455" s="33" t="s">
        <v>59</v>
      </c>
      <c r="C455" s="35"/>
      <c r="D455" s="35" t="n">
        <v>149.003722561522</v>
      </c>
      <c r="E455" s="57" t="n">
        <v>133.194724347056</v>
      </c>
      <c r="F455" s="57" t="n">
        <v>142.411282</v>
      </c>
      <c r="G455" s="35" t="n">
        <v>51.843</v>
      </c>
      <c r="H455" s="35" t="n">
        <v>64.43028</v>
      </c>
      <c r="I455" s="43" t="n">
        <v>93.4765009013305</v>
      </c>
      <c r="J455" s="36" t="n">
        <f aca="false">F455-E455</f>
        <v>9.21655765294398</v>
      </c>
      <c r="K455" s="56"/>
      <c r="L455" s="53"/>
      <c r="M455" s="53"/>
      <c r="N455" s="59" t="n">
        <f aca="false">(Typical_retail_prices_of_petroleum_products_and_a_crude_oil_price_index_monthly[[#This Row],[Month]]&amp;" "&amp;Typical_retail_prices_of_petroleum_products_and_a_crude_oil_price_index_monthly[[#This Row],[Year]])*1</f>
        <v>46023</v>
      </c>
    </row>
    <row r="456" customFormat="false" ht="12.75" hidden="false" customHeight="false" outlineLevel="0" collapsed="false">
      <c r="A456" s="32" t="n">
        <v>2026</v>
      </c>
      <c r="B456" s="33" t="s">
        <v>60</v>
      </c>
      <c r="C456" s="35"/>
      <c r="D456" s="35" t="n">
        <v>146.985249118004</v>
      </c>
      <c r="E456" s="60" t="n">
        <v>131.384197520799</v>
      </c>
      <c r="F456" s="60" t="n">
        <v>141.220542</v>
      </c>
      <c r="G456" s="35" t="n">
        <v>53.464</v>
      </c>
      <c r="H456" s="35" t="n">
        <v>66.0118</v>
      </c>
      <c r="I456" s="43"/>
      <c r="J456" s="36" t="n">
        <f aca="false">F456-E456</f>
        <v>9.83634447920082</v>
      </c>
      <c r="K456" s="56"/>
      <c r="L456" s="53"/>
      <c r="M456" s="53"/>
      <c r="N456" s="59" t="n">
        <f aca="false">(Typical_retail_prices_of_petroleum_products_and_a_crude_oil_price_index_monthly[[#This Row],[Month]]&amp;" "&amp;Typical_retail_prices_of_petroleum_products_and_a_crude_oil_price_index_monthly[[#This Row],[Year]])*1</f>
        <v>46054</v>
      </c>
    </row>
  </sheetData>
  <printOptions headings="false" gridLines="tru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F81BD"/>
    <pageSetUpPr fitToPage="false"/>
  </sheetPr>
  <dimension ref="A1:M1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87" activePane="bottomLeft" state="frozen"/>
      <selection pane="topLeft" activeCell="A1" activeCellId="0" sqref="A1"/>
      <selection pane="bottomLeft" activeCell="A1" activeCellId="0" sqref="A1"/>
    </sheetView>
  </sheetViews>
  <sheetFormatPr defaultColWidth="14.42578125" defaultRowHeight="12.75" customHeight="true" zeroHeight="false" outlineLevelRow="0" outlineLevelCol="0"/>
  <cols>
    <col collapsed="false" customWidth="true" hidden="false" outlineLevel="0" max="14" min="1" style="0" width="15.57"/>
  </cols>
  <sheetData>
    <row r="1" customFormat="false" ht="18" hidden="false" customHeight="true" outlineLevel="0" collapsed="false">
      <c r="A1" s="23" t="s">
        <v>72</v>
      </c>
      <c r="B1" s="23"/>
      <c r="C1" s="23"/>
      <c r="D1" s="23"/>
      <c r="E1" s="23"/>
      <c r="F1" s="23"/>
      <c r="G1" s="23"/>
      <c r="H1" s="23"/>
      <c r="I1" s="23"/>
      <c r="J1" s="24"/>
      <c r="K1" s="62"/>
      <c r="L1" s="25"/>
      <c r="M1" s="25"/>
    </row>
    <row r="2" customFormat="false" ht="18" hidden="false" customHeight="true" outlineLevel="0" collapsed="false">
      <c r="A2" s="9" t="s">
        <v>37</v>
      </c>
      <c r="B2" s="23"/>
      <c r="C2" s="23"/>
      <c r="D2" s="23"/>
      <c r="E2" s="23"/>
      <c r="F2" s="23"/>
      <c r="G2" s="23"/>
      <c r="H2" s="23"/>
      <c r="I2" s="23"/>
      <c r="J2" s="24"/>
      <c r="K2" s="62"/>
      <c r="L2" s="25"/>
      <c r="M2" s="25"/>
    </row>
    <row r="3" customFormat="false" ht="18" hidden="false" customHeight="true" outlineLevel="0" collapsed="false">
      <c r="A3" s="9" t="s">
        <v>38</v>
      </c>
      <c r="B3" s="23"/>
      <c r="C3" s="23"/>
      <c r="D3" s="23"/>
      <c r="E3" s="23"/>
      <c r="F3" s="23"/>
      <c r="G3" s="23"/>
      <c r="H3" s="23"/>
      <c r="I3" s="23"/>
      <c r="J3" s="24"/>
      <c r="K3" s="62"/>
      <c r="L3" s="25"/>
      <c r="M3" s="25"/>
    </row>
    <row r="4" customFormat="false" ht="18" hidden="false" customHeight="true" outlineLevel="0" collapsed="false">
      <c r="A4" s="9" t="s">
        <v>73</v>
      </c>
      <c r="B4" s="23"/>
      <c r="C4" s="23"/>
      <c r="D4" s="23"/>
      <c r="E4" s="23"/>
      <c r="F4" s="23"/>
      <c r="G4" s="23"/>
      <c r="H4" s="23"/>
      <c r="I4" s="23"/>
      <c r="J4" s="24"/>
      <c r="K4" s="62"/>
      <c r="L4" s="25"/>
      <c r="M4" s="25"/>
    </row>
    <row r="5" customFormat="false" ht="18" hidden="false" customHeight="true" outlineLevel="0" collapsed="false">
      <c r="A5" s="9" t="s">
        <v>40</v>
      </c>
      <c r="B5" s="23"/>
      <c r="C5" s="23"/>
      <c r="D5" s="23"/>
      <c r="E5" s="23"/>
      <c r="F5" s="23"/>
      <c r="G5" s="23"/>
      <c r="H5" s="23"/>
      <c r="I5" s="23"/>
      <c r="J5" s="24"/>
      <c r="K5" s="62"/>
      <c r="L5" s="25"/>
      <c r="M5" s="25"/>
    </row>
    <row r="6" customFormat="false" ht="18" hidden="false" customHeight="true" outlineLevel="0" collapsed="false">
      <c r="A6" s="17" t="s">
        <v>74</v>
      </c>
      <c r="B6" s="23"/>
      <c r="C6" s="23"/>
      <c r="D6" s="23"/>
      <c r="E6" s="23"/>
      <c r="F6" s="23"/>
      <c r="G6" s="23"/>
      <c r="H6" s="23"/>
      <c r="I6" s="23"/>
      <c r="J6" s="24"/>
      <c r="K6" s="62"/>
      <c r="L6" s="25"/>
      <c r="M6" s="25"/>
    </row>
    <row r="7" customFormat="false" ht="18" hidden="false" customHeight="true" outlineLevel="0" collapsed="false">
      <c r="A7" s="26" t="s">
        <v>42</v>
      </c>
    </row>
    <row r="8" customFormat="false" ht="18" hidden="false" customHeight="true" outlineLevel="0" collapsed="false">
      <c r="A8" s="17" t="s">
        <v>43</v>
      </c>
      <c r="B8" s="23"/>
      <c r="C8" s="23"/>
      <c r="D8" s="23"/>
      <c r="E8" s="23"/>
      <c r="F8" s="23"/>
      <c r="G8" s="23"/>
      <c r="H8" s="23"/>
      <c r="I8" s="23"/>
      <c r="J8" s="24"/>
      <c r="K8" s="62"/>
      <c r="L8" s="25"/>
      <c r="M8" s="25"/>
    </row>
    <row r="9" customFormat="false" ht="18" hidden="false" customHeight="true" outlineLevel="0" collapsed="false">
      <c r="A9" s="17" t="s">
        <v>44</v>
      </c>
      <c r="B9" s="23"/>
      <c r="C9" s="23"/>
      <c r="D9" s="23"/>
      <c r="E9" s="23"/>
      <c r="F9" s="23"/>
      <c r="G9" s="23"/>
      <c r="H9" s="23"/>
      <c r="I9" s="23"/>
      <c r="J9" s="24"/>
      <c r="K9" s="62"/>
      <c r="L9" s="25"/>
      <c r="M9" s="25"/>
    </row>
    <row r="10" customFormat="false" ht="91.5" hidden="false" customHeight="true" outlineLevel="0" collapsed="false">
      <c r="A10" s="27" t="s">
        <v>45</v>
      </c>
      <c r="B10" s="28" t="s">
        <v>75</v>
      </c>
      <c r="C10" s="29" t="s">
        <v>76</v>
      </c>
      <c r="D10" s="29" t="s">
        <v>77</v>
      </c>
      <c r="E10" s="29" t="s">
        <v>49</v>
      </c>
      <c r="F10" s="29" t="s">
        <v>78</v>
      </c>
      <c r="G10" s="29" t="s">
        <v>51</v>
      </c>
      <c r="H10" s="29" t="s">
        <v>52</v>
      </c>
      <c r="I10" s="30" t="s">
        <v>79</v>
      </c>
      <c r="J10" s="31" t="s">
        <v>54</v>
      </c>
      <c r="K10" s="30" t="s">
        <v>55</v>
      </c>
      <c r="L10" s="30" t="s">
        <v>56</v>
      </c>
      <c r="M10" s="30" t="s">
        <v>57</v>
      </c>
    </row>
    <row r="11" customFormat="false" ht="14.25" hidden="false" customHeight="true" outlineLevel="0" collapsed="false">
      <c r="A11" s="32" t="n">
        <v>1989</v>
      </c>
      <c r="B11" s="32" t="s">
        <v>80</v>
      </c>
      <c r="C11" s="34" t="n">
        <f aca="false">SUM('4.1.1'!C11:C13)/3</f>
        <v>38.0966666666667</v>
      </c>
      <c r="D11" s="34"/>
      <c r="E11" s="34" t="n">
        <f aca="false">SUM('4.1.1'!E11:E13)/3</f>
        <v>36.7333333333333</v>
      </c>
      <c r="F11" s="34" t="n">
        <f aca="false">SUM('4.1.1'!F11:F13)/3</f>
        <v>34.7633333333333</v>
      </c>
      <c r="G11" s="34" t="n">
        <f aca="false">SUM('4.1.1'!G11:G13)/3</f>
        <v>11.2133333333333</v>
      </c>
      <c r="H11" s="34" t="n">
        <f aca="false">SUM('4.1.1'!H11:H13)/3</f>
        <v>10.8466666666667</v>
      </c>
      <c r="I11" s="34"/>
      <c r="J11" s="36"/>
      <c r="K11" s="34"/>
      <c r="L11" s="37"/>
      <c r="M11" s="37"/>
    </row>
    <row r="12" customFormat="false" ht="14.25" hidden="false" customHeight="true" outlineLevel="0" collapsed="false">
      <c r="A12" s="32" t="n">
        <v>1989</v>
      </c>
      <c r="B12" s="32" t="s">
        <v>81</v>
      </c>
      <c r="C12" s="34" t="n">
        <f aca="false">SUM('4.1.1'!C14:C16)/3</f>
        <v>42.2233333333333</v>
      </c>
      <c r="D12" s="34"/>
      <c r="E12" s="34" t="n">
        <f aca="false">SUM('4.1.1'!E14:E16)/3</f>
        <v>40.2133333333333</v>
      </c>
      <c r="F12" s="34" t="n">
        <f aca="false">SUM('4.1.1'!F14:F16)/3</f>
        <v>36.0233333333333</v>
      </c>
      <c r="G12" s="34" t="n">
        <f aca="false">SUM('4.1.1'!G14:G16)/3</f>
        <v>11.4466666666667</v>
      </c>
      <c r="H12" s="34" t="n">
        <f aca="false">SUM('4.1.1'!H14:H16)/3</f>
        <v>10.9666666666667</v>
      </c>
      <c r="I12" s="34"/>
      <c r="J12" s="36"/>
      <c r="K12" s="34"/>
      <c r="L12" s="37"/>
      <c r="M12" s="37"/>
    </row>
    <row r="13" customFormat="false" ht="14.25" hidden="false" customHeight="true" outlineLevel="0" collapsed="false">
      <c r="A13" s="32" t="n">
        <v>1989</v>
      </c>
      <c r="B13" s="32" t="s">
        <v>82</v>
      </c>
      <c r="C13" s="34" t="n">
        <f aca="false">SUM('4.1.1'!C17:C19)/3</f>
        <v>40.7333333333333</v>
      </c>
      <c r="D13" s="34"/>
      <c r="E13" s="34" t="n">
        <f aca="false">SUM('4.1.1'!E17:E19)/3</f>
        <v>38.2833333333333</v>
      </c>
      <c r="F13" s="34" t="n">
        <f aca="false">SUM('4.1.1'!F17:F19)/3</f>
        <v>35.8566666666667</v>
      </c>
      <c r="G13" s="34" t="n">
        <f aca="false">SUM('4.1.1'!G17:G19)/3</f>
        <v>11.6033333333333</v>
      </c>
      <c r="H13" s="34" t="n">
        <f aca="false">SUM('4.1.1'!H17:H19)/3</f>
        <v>11.33</v>
      </c>
      <c r="I13" s="34"/>
      <c r="J13" s="36"/>
      <c r="K13" s="34"/>
      <c r="L13" s="37"/>
      <c r="M13" s="37"/>
    </row>
    <row r="14" customFormat="false" ht="14.25" hidden="false" customHeight="true" outlineLevel="0" collapsed="false">
      <c r="A14" s="32" t="n">
        <v>1989</v>
      </c>
      <c r="B14" s="32" t="s">
        <v>83</v>
      </c>
      <c r="C14" s="34" t="n">
        <f aca="false">SUM('4.1.1'!C20:C22)/3</f>
        <v>40.5133333333333</v>
      </c>
      <c r="D14" s="34"/>
      <c r="E14" s="34" t="n">
        <f aca="false">SUM('4.1.1'!E20:E22)/3</f>
        <v>37.92</v>
      </c>
      <c r="F14" s="34" t="n">
        <f aca="false">SUM('4.1.1'!F20:F22)/3</f>
        <v>38.0833333333333</v>
      </c>
      <c r="G14" s="34" t="n">
        <f aca="false">SUM('4.1.1'!G20:G22)/3</f>
        <v>13.8766666666667</v>
      </c>
      <c r="H14" s="34" t="n">
        <f aca="false">SUM('4.1.1'!H20:H22)/3</f>
        <v>13.4066666666667</v>
      </c>
      <c r="I14" s="34"/>
      <c r="J14" s="36"/>
      <c r="K14" s="34"/>
      <c r="L14" s="37"/>
      <c r="M14" s="37"/>
    </row>
    <row r="15" customFormat="false" ht="14.25" hidden="false" customHeight="true" outlineLevel="0" collapsed="false">
      <c r="A15" s="32" t="n">
        <v>1990</v>
      </c>
      <c r="B15" s="32" t="s">
        <v>80</v>
      </c>
      <c r="C15" s="34" t="n">
        <f aca="false">SUM('4.1.1'!C23:C25)/3</f>
        <v>40.89</v>
      </c>
      <c r="D15" s="34"/>
      <c r="E15" s="34" t="n">
        <f aca="false">SUM('4.1.1'!E23:E25)/3</f>
        <v>38.3033333333333</v>
      </c>
      <c r="F15" s="34" t="n">
        <f aca="false">SUM('4.1.1'!F23:F25)/3</f>
        <v>38.0666666666667</v>
      </c>
      <c r="G15" s="34" t="n">
        <f aca="false">SUM('4.1.1'!G23:G25)/3</f>
        <v>14.0433333333333</v>
      </c>
      <c r="H15" s="34" t="n">
        <f aca="false">SUM('4.1.1'!H23:H25)/3</f>
        <v>13.66</v>
      </c>
      <c r="I15" s="34"/>
      <c r="J15" s="36"/>
      <c r="K15" s="34"/>
      <c r="L15" s="37"/>
      <c r="M15" s="37"/>
    </row>
    <row r="16" customFormat="false" ht="14.25" hidden="false" customHeight="true" outlineLevel="0" collapsed="false">
      <c r="A16" s="32" t="n">
        <v>1990</v>
      </c>
      <c r="B16" s="32" t="s">
        <v>81</v>
      </c>
      <c r="C16" s="34" t="n">
        <f aca="false">SUM('4.1.1'!C26:C28)/3</f>
        <v>43.9466666666667</v>
      </c>
      <c r="D16" s="34"/>
      <c r="E16" s="34" t="n">
        <f aca="false">SUM('4.1.1'!E26:E28)/3</f>
        <v>41.06</v>
      </c>
      <c r="F16" s="34" t="n">
        <f aca="false">SUM('4.1.1'!F26:F28)/3</f>
        <v>39</v>
      </c>
      <c r="G16" s="34" t="n">
        <f aca="false">SUM('4.1.1'!G26:G28)/3</f>
        <v>12.1666666666667</v>
      </c>
      <c r="H16" s="34" t="n">
        <f aca="false">SUM('4.1.1'!H26:H28)/3</f>
        <v>11.9333333333333</v>
      </c>
      <c r="I16" s="34"/>
      <c r="J16" s="36"/>
      <c r="K16" s="34"/>
      <c r="L16" s="37"/>
      <c r="M16" s="37"/>
    </row>
    <row r="17" customFormat="false" ht="14.25" hidden="false" customHeight="true" outlineLevel="0" collapsed="false">
      <c r="A17" s="32" t="n">
        <v>1990</v>
      </c>
      <c r="B17" s="32" t="s">
        <v>82</v>
      </c>
      <c r="C17" s="34" t="n">
        <f aca="false">SUM('4.1.1'!C29:C31)/3</f>
        <v>46.9066666666667</v>
      </c>
      <c r="D17" s="34"/>
      <c r="E17" s="34" t="n">
        <f aca="false">SUM('4.1.1'!E29:E31)/3</f>
        <v>43.9766666666667</v>
      </c>
      <c r="F17" s="34" t="n">
        <f aca="false">SUM('4.1.1'!F29:F31)/3</f>
        <v>40.17</v>
      </c>
      <c r="G17" s="34" t="n">
        <f aca="false">SUM('4.1.1'!G29:G31)/3</f>
        <v>15.29</v>
      </c>
      <c r="H17" s="34" t="n">
        <f aca="false">SUM('4.1.1'!H29:H31)/3</f>
        <v>14.59</v>
      </c>
      <c r="I17" s="34"/>
      <c r="J17" s="36"/>
      <c r="K17" s="34"/>
      <c r="L17" s="37"/>
      <c r="M17" s="37"/>
    </row>
    <row r="18" customFormat="false" ht="14.25" hidden="false" customHeight="true" outlineLevel="0" collapsed="false">
      <c r="A18" s="32" t="n">
        <v>1990</v>
      </c>
      <c r="B18" s="32" t="s">
        <v>83</v>
      </c>
      <c r="C18" s="34" t="n">
        <f aca="false">SUM('4.1.1'!C32:C34)/3</f>
        <v>47.7533333333333</v>
      </c>
      <c r="D18" s="34"/>
      <c r="E18" s="34" t="n">
        <f aca="false">SUM('4.1.1'!E32:E34)/3</f>
        <v>44.7866666666667</v>
      </c>
      <c r="F18" s="34" t="n">
        <f aca="false">SUM('4.1.1'!F32:F34)/3</f>
        <v>44.69</v>
      </c>
      <c r="G18" s="34" t="n">
        <f aca="false">SUM('4.1.1'!G32:G34)/3</f>
        <v>20.74</v>
      </c>
      <c r="H18" s="34" t="n">
        <f aca="false">SUM('4.1.1'!H32:H34)/3</f>
        <v>18.3733333333333</v>
      </c>
      <c r="I18" s="34"/>
      <c r="J18" s="36"/>
      <c r="K18" s="34"/>
      <c r="L18" s="37"/>
      <c r="M18" s="37"/>
    </row>
    <row r="19" customFormat="false" ht="14.25" hidden="false" customHeight="true" outlineLevel="0" collapsed="false">
      <c r="A19" s="32" t="n">
        <v>1991</v>
      </c>
      <c r="B19" s="32" t="s">
        <v>80</v>
      </c>
      <c r="C19" s="34" t="n">
        <f aca="false">SUM('4.1.1'!C35:C37)/3</f>
        <v>44.4966666666667</v>
      </c>
      <c r="D19" s="34" t="n">
        <f aca="false">SUM('4.1.1'!D35:D37)/3</f>
        <v>43.6966666666667</v>
      </c>
      <c r="E19" s="34" t="n">
        <f aca="false">SUM('4.1.1'!E35:E37)/3</f>
        <v>41.47</v>
      </c>
      <c r="F19" s="34" t="n">
        <f aca="false">SUM('4.1.1'!F35:F37)/3</f>
        <v>42.27</v>
      </c>
      <c r="G19" s="34" t="n">
        <f aca="false">SUM('4.1.1'!G35:G37)/3</f>
        <v>15.9133333333333</v>
      </c>
      <c r="H19" s="34" t="n">
        <f aca="false">SUM('4.1.1'!H35:H37)/3</f>
        <v>15.3066666666667</v>
      </c>
      <c r="I19" s="36"/>
      <c r="J19" s="36" t="n">
        <f aca="false">F19-E19</f>
        <v>0.800000000000004</v>
      </c>
      <c r="K19" s="36"/>
      <c r="L19" s="37"/>
      <c r="M19" s="48" t="n">
        <v>104.736666666667</v>
      </c>
    </row>
    <row r="20" customFormat="false" ht="14.25" hidden="false" customHeight="true" outlineLevel="0" collapsed="false">
      <c r="A20" s="32" t="n">
        <v>1991</v>
      </c>
      <c r="B20" s="32" t="s">
        <v>81</v>
      </c>
      <c r="C20" s="34" t="n">
        <f aca="false">SUM('4.1.1'!C38:C40)/3</f>
        <v>49.7433333333333</v>
      </c>
      <c r="D20" s="34" t="n">
        <f aca="false">SUM('4.1.1'!D38:D40)/3</f>
        <v>48.4066666666667</v>
      </c>
      <c r="E20" s="34" t="n">
        <f aca="false">SUM('4.1.1'!E38:E40)/3</f>
        <v>46.1933333333333</v>
      </c>
      <c r="F20" s="34" t="n">
        <f aca="false">SUM('4.1.1'!F38:F40)/3</f>
        <v>43.5633333333333</v>
      </c>
      <c r="G20" s="34" t="n">
        <f aca="false">SUM('4.1.1'!G38:G40)/3</f>
        <v>13.0066666666667</v>
      </c>
      <c r="H20" s="34" t="n">
        <f aca="false">SUM('4.1.1'!H38:H40)/3</f>
        <v>12.7066666666667</v>
      </c>
      <c r="I20" s="36"/>
      <c r="J20" s="36" t="n">
        <f aca="false">F20-E20</f>
        <v>-2.63</v>
      </c>
      <c r="K20" s="36"/>
      <c r="L20" s="37"/>
      <c r="M20" s="48" t="n">
        <v>101.003333333333</v>
      </c>
    </row>
    <row r="21" customFormat="false" ht="14.25" hidden="false" customHeight="true" outlineLevel="0" collapsed="false">
      <c r="A21" s="32" t="n">
        <v>1991</v>
      </c>
      <c r="B21" s="32" t="s">
        <v>82</v>
      </c>
      <c r="C21" s="34" t="n">
        <f aca="false">SUM('4.1.1'!C41:C43)/3</f>
        <v>50.33</v>
      </c>
      <c r="D21" s="34" t="n">
        <f aca="false">SUM('4.1.1'!D41:D43)/3</f>
        <v>49.0333333333333</v>
      </c>
      <c r="E21" s="34" t="n">
        <f aca="false">SUM('4.1.1'!E41:E43)/3</f>
        <v>46.79</v>
      </c>
      <c r="F21" s="34" t="n">
        <f aca="false">SUM('4.1.1'!F41:F43)/3</f>
        <v>44.2233333333333</v>
      </c>
      <c r="G21" s="34" t="n">
        <f aca="false">SUM('4.1.1'!G41:G43)/3</f>
        <v>13.5466666666667</v>
      </c>
      <c r="H21" s="34" t="n">
        <f aca="false">SUM('4.1.1'!H41:H43)/3</f>
        <v>12.8966666666667</v>
      </c>
      <c r="I21" s="36"/>
      <c r="J21" s="36" t="n">
        <f aca="false">F21-E21</f>
        <v>-2.56666666666666</v>
      </c>
      <c r="K21" s="36"/>
      <c r="L21" s="37"/>
      <c r="M21" s="48" t="n">
        <v>106.756666666667</v>
      </c>
    </row>
    <row r="22" customFormat="false" ht="14.25" hidden="false" customHeight="true" outlineLevel="0" collapsed="false">
      <c r="A22" s="32" t="n">
        <v>1991</v>
      </c>
      <c r="B22" s="32" t="s">
        <v>83</v>
      </c>
      <c r="C22" s="34" t="n">
        <f aca="false">SUM('4.1.1'!C44:C46)/3</f>
        <v>49.3566666666667</v>
      </c>
      <c r="D22" s="34" t="n">
        <f aca="false">SUM('4.1.1'!D44:D46)/3</f>
        <v>48.0866666666667</v>
      </c>
      <c r="E22" s="34" t="n">
        <f aca="false">SUM('4.1.1'!E44:E46)/3</f>
        <v>45.84</v>
      </c>
      <c r="F22" s="34" t="n">
        <f aca="false">SUM('4.1.1'!F44:F46)/3</f>
        <v>45.2166666666667</v>
      </c>
      <c r="G22" s="34" t="n">
        <f aca="false">SUM('4.1.1'!G44:G46)/3</f>
        <v>13.98</v>
      </c>
      <c r="H22" s="34" t="n">
        <f aca="false">SUM('4.1.1'!H44:H46)/3</f>
        <v>13.69</v>
      </c>
      <c r="I22" s="36"/>
      <c r="J22" s="36" t="n">
        <f aca="false">F22-E22</f>
        <v>-0.623333333333328</v>
      </c>
      <c r="K22" s="36"/>
      <c r="L22" s="37"/>
      <c r="M22" s="48" t="n">
        <v>109.246666666667</v>
      </c>
    </row>
    <row r="23" customFormat="false" ht="14.25" hidden="false" customHeight="true" outlineLevel="0" collapsed="false">
      <c r="A23" s="32" t="n">
        <v>1992</v>
      </c>
      <c r="B23" s="32" t="s">
        <v>80</v>
      </c>
      <c r="C23" s="34" t="n">
        <f aca="false">SUM('4.1.1'!C47:C49)/3</f>
        <v>48.3533333333333</v>
      </c>
      <c r="D23" s="34" t="n">
        <f aca="false">SUM('4.1.1'!D47:D49)/3</f>
        <v>46.76</v>
      </c>
      <c r="E23" s="34" t="n">
        <f aca="false">SUM('4.1.1'!E47:E49)/3</f>
        <v>44.56</v>
      </c>
      <c r="F23" s="34" t="n">
        <f aca="false">SUM('4.1.1'!F47:F49)/3</f>
        <v>43.7533333333333</v>
      </c>
      <c r="G23" s="34" t="n">
        <f aca="false">SUM('4.1.1'!G47:G49)/3</f>
        <v>13.25</v>
      </c>
      <c r="H23" s="34" t="n">
        <f aca="false">SUM('4.1.1'!H47:H49)/3</f>
        <v>12.1033333333333</v>
      </c>
      <c r="I23" s="36"/>
      <c r="J23" s="36" t="n">
        <f aca="false">F23-E23</f>
        <v>-0.806666666666672</v>
      </c>
      <c r="K23" s="36"/>
      <c r="L23" s="37"/>
      <c r="M23" s="48" t="n">
        <v>91.3666666666667</v>
      </c>
    </row>
    <row r="24" customFormat="false" ht="14.25" hidden="false" customHeight="true" outlineLevel="0" collapsed="false">
      <c r="A24" s="32" t="n">
        <v>1992</v>
      </c>
      <c r="B24" s="32" t="s">
        <v>81</v>
      </c>
      <c r="C24" s="34" t="n">
        <f aca="false">SUM('4.1.1'!C50:C52)/3</f>
        <v>51.3533333333333</v>
      </c>
      <c r="D24" s="34" t="n">
        <f aca="false">SUM('4.1.1'!D50:D52)/3</f>
        <v>49.2266666666667</v>
      </c>
      <c r="E24" s="34" t="n">
        <f aca="false">SUM('4.1.1'!E50:E52)/3</f>
        <v>46.8666666666667</v>
      </c>
      <c r="F24" s="34" t="n">
        <f aca="false">SUM('4.1.1'!F50:F52)/3</f>
        <v>45.07</v>
      </c>
      <c r="G24" s="34" t="n">
        <f aca="false">SUM('4.1.1'!G50:G52)/3</f>
        <v>12.64</v>
      </c>
      <c r="H24" s="34" t="n">
        <f aca="false">SUM('4.1.1'!H50:H52)/3</f>
        <v>12.2766666666667</v>
      </c>
      <c r="I24" s="36"/>
      <c r="J24" s="36" t="n">
        <f aca="false">F24-E24</f>
        <v>-1.79666666666667</v>
      </c>
      <c r="K24" s="36"/>
      <c r="L24" s="37"/>
      <c r="M24" s="48" t="n">
        <v>101.573333333333</v>
      </c>
    </row>
    <row r="25" customFormat="false" ht="14.25" hidden="false" customHeight="true" outlineLevel="0" collapsed="false">
      <c r="A25" s="32" t="n">
        <v>1992</v>
      </c>
      <c r="B25" s="32" t="s">
        <v>82</v>
      </c>
      <c r="C25" s="34" t="n">
        <f aca="false">SUM('4.1.1'!C53:C55)/3</f>
        <v>49.9766666666667</v>
      </c>
      <c r="D25" s="34" t="n">
        <f aca="false">SUM('4.1.1'!D53:D55)/3</f>
        <v>47.8633333333333</v>
      </c>
      <c r="E25" s="34" t="n">
        <f aca="false">SUM('4.1.1'!E53:E55)/3</f>
        <v>45.65</v>
      </c>
      <c r="F25" s="34" t="n">
        <f aca="false">SUM('4.1.1'!F53:F55)/3</f>
        <v>44.5733333333333</v>
      </c>
      <c r="G25" s="34" t="n">
        <f aca="false">SUM('4.1.1'!G53:G55)/3</f>
        <v>12.2966666666667</v>
      </c>
      <c r="H25" s="34" t="n">
        <f aca="false">SUM('4.1.1'!H53:H55)/3</f>
        <v>11.9366666666667</v>
      </c>
      <c r="I25" s="36"/>
      <c r="J25" s="36" t="n">
        <f aca="false">F25-E25</f>
        <v>-1.07666666666667</v>
      </c>
      <c r="K25" s="36"/>
      <c r="L25" s="37"/>
      <c r="M25" s="48" t="n">
        <v>98.79</v>
      </c>
    </row>
    <row r="26" customFormat="false" ht="14.25" hidden="false" customHeight="true" outlineLevel="0" collapsed="false">
      <c r="A26" s="32" t="n">
        <v>1992</v>
      </c>
      <c r="B26" s="32" t="s">
        <v>83</v>
      </c>
      <c r="C26" s="34" t="n">
        <f aca="false">SUM('4.1.1'!C56:C58)/3</f>
        <v>51.4366666666667</v>
      </c>
      <c r="D26" s="34" t="n">
        <f aca="false">SUM('4.1.1'!D56:D58)/3</f>
        <v>49.6533333333333</v>
      </c>
      <c r="E26" s="34" t="n">
        <f aca="false">SUM('4.1.1'!E56:E58)/3</f>
        <v>47.2066666666667</v>
      </c>
      <c r="F26" s="34" t="n">
        <f aca="false">SUM('4.1.1'!F56:F58)/3</f>
        <v>46.6466666666667</v>
      </c>
      <c r="G26" s="34" t="n">
        <f aca="false">SUM('4.1.1'!G56:G58)/3</f>
        <v>14.0333333333333</v>
      </c>
      <c r="H26" s="34" t="n">
        <f aca="false">SUM('4.1.1'!H56:H58)/3</f>
        <v>13.6533333333333</v>
      </c>
      <c r="I26" s="36"/>
      <c r="J26" s="36" t="n">
        <f aca="false">F26-E26</f>
        <v>-0.560000000000002</v>
      </c>
      <c r="K26" s="36"/>
      <c r="L26" s="37"/>
      <c r="M26" s="48" t="n">
        <v>106.326666666667</v>
      </c>
    </row>
    <row r="27" customFormat="false" ht="14.25" hidden="false" customHeight="true" outlineLevel="0" collapsed="false">
      <c r="A27" s="32" t="n">
        <v>1993</v>
      </c>
      <c r="B27" s="32" t="s">
        <v>80</v>
      </c>
      <c r="C27" s="34" t="n">
        <f aca="false">SUM('4.1.1'!C59:C61)/3</f>
        <v>51.9833333333333</v>
      </c>
      <c r="D27" s="34" t="n">
        <f aca="false">SUM('4.1.1'!D59:D61)/3</f>
        <v>50.6266666666667</v>
      </c>
      <c r="E27" s="34" t="n">
        <f aca="false">SUM('4.1.1'!E59:E61)/3</f>
        <v>47.7466666666667</v>
      </c>
      <c r="F27" s="34" t="n">
        <f aca="false">SUM('4.1.1'!F59:F61)/3</f>
        <v>47.74</v>
      </c>
      <c r="G27" s="34" t="n">
        <f aca="false">SUM('4.1.1'!G59:G61)/3</f>
        <v>14.3466666666667</v>
      </c>
      <c r="H27" s="34" t="n">
        <f aca="false">SUM('4.1.1'!H59:H61)/3</f>
        <v>13.79</v>
      </c>
      <c r="I27" s="36"/>
      <c r="J27" s="36" t="n">
        <f aca="false">F27-E27</f>
        <v>-0.00666666666666771</v>
      </c>
      <c r="K27" s="36"/>
      <c r="L27" s="37"/>
      <c r="M27" s="48" t="n">
        <v>111.323333333333</v>
      </c>
    </row>
    <row r="28" customFormat="false" ht="14.25" hidden="false" customHeight="true" outlineLevel="0" collapsed="false">
      <c r="A28" s="32" t="n">
        <v>1993</v>
      </c>
      <c r="B28" s="32" t="s">
        <v>81</v>
      </c>
      <c r="C28" s="34" t="n">
        <f aca="false">SUM('4.1.1'!C62:C64)/3</f>
        <v>55.1733333333333</v>
      </c>
      <c r="D28" s="34" t="n">
        <f aca="false">SUM('4.1.1'!D62:D64)/3</f>
        <v>53.8566666666667</v>
      </c>
      <c r="E28" s="34" t="n">
        <f aca="false">SUM('4.1.1'!E62:E64)/3</f>
        <v>50.3166666666667</v>
      </c>
      <c r="F28" s="34" t="n">
        <f aca="false">SUM('4.1.1'!F62:F64)/3</f>
        <v>49.45</v>
      </c>
      <c r="G28" s="34" t="n">
        <f aca="false">SUM('4.1.1'!G62:G64)/3</f>
        <v>13.71</v>
      </c>
      <c r="H28" s="34" t="n">
        <f aca="false">SUM('4.1.1'!H62:H64)/3</f>
        <v>13.7766666666667</v>
      </c>
      <c r="I28" s="36"/>
      <c r="J28" s="36" t="n">
        <f aca="false">F28-E28</f>
        <v>-0.866666666666667</v>
      </c>
      <c r="K28" s="36"/>
      <c r="L28" s="37"/>
      <c r="M28" s="48" t="n">
        <v>108.516666666667</v>
      </c>
    </row>
    <row r="29" customFormat="false" ht="14.25" hidden="false" customHeight="true" outlineLevel="0" collapsed="false">
      <c r="A29" s="32" t="n">
        <v>1993</v>
      </c>
      <c r="B29" s="32" t="s">
        <v>82</v>
      </c>
      <c r="C29" s="34" t="n">
        <f aca="false">SUM('4.1.1'!C65:C67)/3</f>
        <v>54.6533333333333</v>
      </c>
      <c r="D29" s="34" t="n">
        <f aca="false">SUM('4.1.1'!D65:D67)/3</f>
        <v>53.5133333333333</v>
      </c>
      <c r="E29" s="34" t="n">
        <f aca="false">SUM('4.1.1'!E65:E67)/3</f>
        <v>49.89</v>
      </c>
      <c r="F29" s="34" t="n">
        <f aca="false">SUM('4.1.1'!F65:F67)/3</f>
        <v>49.2966666666667</v>
      </c>
      <c r="G29" s="34" t="n">
        <f aca="false">SUM('4.1.1'!G65:G67)/3</f>
        <v>12.9366666666667</v>
      </c>
      <c r="H29" s="34" t="n">
        <f aca="false">SUM('4.1.1'!H65:H67)/3</f>
        <v>12.7533333333333</v>
      </c>
      <c r="I29" s="36"/>
      <c r="J29" s="36" t="n">
        <f aca="false">F29-E29</f>
        <v>-0.593333333333334</v>
      </c>
      <c r="K29" s="36"/>
      <c r="L29" s="37"/>
      <c r="M29" s="48" t="n">
        <v>98.65</v>
      </c>
    </row>
    <row r="30" customFormat="false" ht="14.25" hidden="false" customHeight="true" outlineLevel="0" collapsed="false">
      <c r="A30" s="32" t="n">
        <v>1993</v>
      </c>
      <c r="B30" s="32" t="s">
        <v>83</v>
      </c>
      <c r="C30" s="34" t="n">
        <f aca="false">SUM('4.1.1'!C68:C70)/3</f>
        <v>54.6733333333333</v>
      </c>
      <c r="D30" s="34" t="n">
        <f aca="false">SUM('4.1.1'!D68:D70)/3</f>
        <v>53.6266666666667</v>
      </c>
      <c r="E30" s="34" t="n">
        <f aca="false">SUM('4.1.1'!E68:E70)/3</f>
        <v>49.82</v>
      </c>
      <c r="F30" s="34" t="n">
        <f aca="false">SUM('4.1.1'!F68:F70)/3</f>
        <v>50.2933333333333</v>
      </c>
      <c r="G30" s="34" t="n">
        <f aca="false">SUM('4.1.1'!G68:G70)/3</f>
        <v>13.5566666666667</v>
      </c>
      <c r="H30" s="34" t="n">
        <f aca="false">SUM('4.1.1'!H68:H70)/3</f>
        <v>13.3566666666667</v>
      </c>
      <c r="I30" s="36"/>
      <c r="J30" s="36" t="n">
        <f aca="false">F30-E30</f>
        <v>0.473333333333329</v>
      </c>
      <c r="K30" s="36"/>
      <c r="L30" s="37"/>
      <c r="M30" s="48" t="n">
        <v>96.03</v>
      </c>
    </row>
    <row r="31" customFormat="false" ht="14.25" hidden="false" customHeight="true" outlineLevel="0" collapsed="false">
      <c r="A31" s="32" t="n">
        <v>1994</v>
      </c>
      <c r="B31" s="32" t="s">
        <v>80</v>
      </c>
      <c r="C31" s="34" t="n">
        <f aca="false">SUM('4.1.1'!C71:C73)/3</f>
        <v>55.7133333333333</v>
      </c>
      <c r="D31" s="34" t="n">
        <f aca="false">SUM('4.1.1'!D71:D73)/3</f>
        <v>54.47</v>
      </c>
      <c r="E31" s="34" t="n">
        <f aca="false">SUM('4.1.1'!E71:E73)/3</f>
        <v>50.5666666666667</v>
      </c>
      <c r="F31" s="34" t="n">
        <f aca="false">SUM('4.1.1'!F71:F73)/3</f>
        <v>51.1233333333333</v>
      </c>
      <c r="G31" s="34" t="n">
        <f aca="false">SUM('4.1.1'!G71:G73)/3</f>
        <v>12.8133333333333</v>
      </c>
      <c r="H31" s="34" t="n">
        <f aca="false">SUM('4.1.1'!H71:H73)/3</f>
        <v>12.58</v>
      </c>
      <c r="I31" s="36"/>
      <c r="J31" s="36" t="n">
        <f aca="false">F31-E31</f>
        <v>0.556666666666672</v>
      </c>
      <c r="K31" s="36"/>
      <c r="L31" s="37"/>
      <c r="M31" s="48" t="n">
        <v>89.6933333333333</v>
      </c>
    </row>
    <row r="32" customFormat="false" ht="14.25" hidden="false" customHeight="true" outlineLevel="0" collapsed="false">
      <c r="A32" s="32" t="n">
        <v>1994</v>
      </c>
      <c r="B32" s="32" t="s">
        <v>81</v>
      </c>
      <c r="C32" s="34" t="n">
        <f aca="false">SUM('4.1.1'!C74:C76)/3</f>
        <v>56.7666666666667</v>
      </c>
      <c r="D32" s="34" t="n">
        <f aca="false">SUM('4.1.1'!D74:D76)/3</f>
        <v>55.71</v>
      </c>
      <c r="E32" s="34" t="n">
        <f aca="false">SUM('4.1.1'!E74:E76)/3</f>
        <v>51.4566666666667</v>
      </c>
      <c r="F32" s="34" t="n">
        <f aca="false">SUM('4.1.1'!F74:F76)/3</f>
        <v>51.4766666666667</v>
      </c>
      <c r="G32" s="34" t="n">
        <f aca="false">SUM('4.1.1'!G74:G76)/3</f>
        <v>13.4833333333333</v>
      </c>
      <c r="H32" s="34" t="n">
        <f aca="false">SUM('4.1.1'!H74:H76)/3</f>
        <v>13.55</v>
      </c>
      <c r="I32" s="36"/>
      <c r="J32" s="36" t="n">
        <f aca="false">F32-E32</f>
        <v>0.019999999999996</v>
      </c>
      <c r="K32" s="36"/>
      <c r="L32" s="37"/>
      <c r="M32" s="48" t="n">
        <v>95.2433333333333</v>
      </c>
    </row>
    <row r="33" customFormat="false" ht="14.25" hidden="false" customHeight="true" outlineLevel="0" collapsed="false">
      <c r="A33" s="32" t="n">
        <v>1994</v>
      </c>
      <c r="B33" s="32" t="s">
        <v>82</v>
      </c>
      <c r="C33" s="34" t="n">
        <f aca="false">SUM('4.1.1'!C77:C79)/3</f>
        <v>57.6566666666667</v>
      </c>
      <c r="D33" s="34" t="n">
        <f aca="false">SUM('4.1.1'!D77:D79)/3</f>
        <v>57.0533333333333</v>
      </c>
      <c r="E33" s="34" t="n">
        <f aca="false">SUM('4.1.1'!E77:E79)/3</f>
        <v>52.3466666666667</v>
      </c>
      <c r="F33" s="34" t="n">
        <f aca="false">SUM('4.1.1'!F77:F79)/3</f>
        <v>51.7866666666667</v>
      </c>
      <c r="G33" s="34" t="n">
        <f aca="false">SUM('4.1.1'!G77:G79)/3</f>
        <v>13.4833333333333</v>
      </c>
      <c r="H33" s="34" t="n">
        <f aca="false">SUM('4.1.1'!H77:H79)/3</f>
        <v>13.2366666666667</v>
      </c>
      <c r="I33" s="36"/>
      <c r="J33" s="36" t="n">
        <f aca="false">F33-E33</f>
        <v>-0.560000000000002</v>
      </c>
      <c r="K33" s="36"/>
      <c r="L33" s="37"/>
      <c r="M33" s="48" t="n">
        <v>98.9966666666667</v>
      </c>
    </row>
    <row r="34" customFormat="false" ht="14.25" hidden="false" customHeight="true" outlineLevel="0" collapsed="false">
      <c r="A34" s="32" t="n">
        <v>1994</v>
      </c>
      <c r="B34" s="32" t="s">
        <v>83</v>
      </c>
      <c r="C34" s="34" t="n">
        <f aca="false">SUM('4.1.1'!C80:C82)/3</f>
        <v>57.36</v>
      </c>
      <c r="D34" s="34" t="n">
        <f aca="false">SUM('4.1.1'!D80:D82)/3</f>
        <v>56.6833333333333</v>
      </c>
      <c r="E34" s="34" t="n">
        <f aca="false">SUM('4.1.1'!E80:E82)/3</f>
        <v>51.94</v>
      </c>
      <c r="F34" s="34" t="n">
        <f aca="false">SUM('4.1.1'!F80:F82)/3</f>
        <v>51.7366666666667</v>
      </c>
      <c r="G34" s="34" t="n">
        <f aca="false">SUM('4.1.1'!G80:G82)/3</f>
        <v>13.68</v>
      </c>
      <c r="H34" s="34" t="n">
        <f aca="false">SUM('4.1.1'!H80:H82)/3</f>
        <v>13.6933333333333</v>
      </c>
      <c r="I34" s="36"/>
      <c r="J34" s="36" t="n">
        <f aca="false">F34-E34</f>
        <v>-0.203333333333326</v>
      </c>
      <c r="K34" s="36"/>
      <c r="L34" s="63"/>
      <c r="M34" s="48" t="n">
        <v>96.44</v>
      </c>
    </row>
    <row r="35" customFormat="false" ht="14.25" hidden="false" customHeight="true" outlineLevel="0" collapsed="false">
      <c r="A35" s="32" t="n">
        <v>1995</v>
      </c>
      <c r="B35" s="32" t="s">
        <v>80</v>
      </c>
      <c r="C35" s="34" t="n">
        <f aca="false">SUM('4.1.1'!C83:C85)/3</f>
        <v>58.8966666666667</v>
      </c>
      <c r="D35" s="34" t="n">
        <f aca="false">SUM('4.1.1'!D83:D85)/3</f>
        <v>57.76</v>
      </c>
      <c r="E35" s="34" t="n">
        <f aca="false">SUM('4.1.1'!E83:E85)/3</f>
        <v>53.1533333333333</v>
      </c>
      <c r="F35" s="34" t="n">
        <f aca="false">SUM('4.1.1'!F83:F85)/3</f>
        <v>53.8466666666667</v>
      </c>
      <c r="G35" s="34" t="n">
        <f aca="false">SUM('4.1.1'!G83:G85)/3</f>
        <v>13.54</v>
      </c>
      <c r="H35" s="34" t="n">
        <f aca="false">SUM('4.1.1'!H83:H85)/3</f>
        <v>13.8333333333333</v>
      </c>
      <c r="I35" s="36"/>
      <c r="J35" s="36" t="n">
        <f aca="false">F35-E35</f>
        <v>0.693333333333335</v>
      </c>
      <c r="K35" s="36"/>
      <c r="L35" s="37"/>
      <c r="M35" s="48" t="n">
        <v>98.4233333333333</v>
      </c>
    </row>
    <row r="36" customFormat="false" ht="14.25" hidden="false" customHeight="true" outlineLevel="0" collapsed="false">
      <c r="A36" s="32" t="n">
        <v>1995</v>
      </c>
      <c r="B36" s="32" t="s">
        <v>81</v>
      </c>
      <c r="C36" s="34" t="n">
        <f aca="false">SUM('4.1.1'!C86:C88)/3</f>
        <v>60.2933333333333</v>
      </c>
      <c r="D36" s="34" t="n">
        <f aca="false">SUM('4.1.1'!D86:D88)/3</f>
        <v>59.0833333333333</v>
      </c>
      <c r="E36" s="34" t="n">
        <f aca="false">SUM('4.1.1'!E86:E88)/3</f>
        <v>54.4166666666667</v>
      </c>
      <c r="F36" s="34" t="n">
        <f aca="false">SUM('4.1.1'!F86:F88)/3</f>
        <v>54.7766666666667</v>
      </c>
      <c r="G36" s="34" t="n">
        <f aca="false">SUM('4.1.1'!G86:G88)/3</f>
        <v>13.6566666666667</v>
      </c>
      <c r="H36" s="34" t="n">
        <f aca="false">SUM('4.1.1'!H86:H88)/3</f>
        <v>13.9</v>
      </c>
      <c r="I36" s="36"/>
      <c r="J36" s="36" t="n">
        <f aca="false">F36-E36</f>
        <v>0.359999999999999</v>
      </c>
      <c r="K36" s="36"/>
      <c r="L36" s="37"/>
      <c r="M36" s="48" t="n">
        <v>104.85</v>
      </c>
    </row>
    <row r="37" customFormat="false" ht="14.25" hidden="false" customHeight="true" outlineLevel="0" collapsed="false">
      <c r="A37" s="32" t="n">
        <v>1995</v>
      </c>
      <c r="B37" s="32" t="s">
        <v>82</v>
      </c>
      <c r="C37" s="34" t="n">
        <f aca="false">SUM('4.1.1'!C89:C91)/3</f>
        <v>59.9833333333333</v>
      </c>
      <c r="D37" s="34" t="n">
        <f aca="false">SUM('4.1.1'!D89:D91)/3</f>
        <v>58.88</v>
      </c>
      <c r="E37" s="34" t="n">
        <f aca="false">SUM('4.1.1'!E89:E91)/3</f>
        <v>54.0233333333333</v>
      </c>
      <c r="F37" s="34" t="n">
        <f aca="false">SUM('4.1.1'!F89:F91)/3</f>
        <v>54.1966666666667</v>
      </c>
      <c r="G37" s="34" t="n">
        <f aca="false">SUM('4.1.1'!G89:G91)/3</f>
        <v>13.8266666666667</v>
      </c>
      <c r="H37" s="34" t="n">
        <f aca="false">SUM('4.1.1'!H89:H91)/3</f>
        <v>13.6</v>
      </c>
      <c r="I37" s="36"/>
      <c r="J37" s="36" t="n">
        <f aca="false">F37-E37</f>
        <v>0.173333333333332</v>
      </c>
      <c r="K37" s="36"/>
      <c r="L37" s="37"/>
      <c r="M37" s="48" t="n">
        <v>95.85</v>
      </c>
    </row>
    <row r="38" customFormat="false" ht="14.25" hidden="false" customHeight="true" outlineLevel="0" collapsed="false">
      <c r="A38" s="32" t="n">
        <v>1995</v>
      </c>
      <c r="B38" s="32" t="s">
        <v>83</v>
      </c>
      <c r="C38" s="34" t="n">
        <f aca="false">SUM('4.1.1'!C92:C94)/3</f>
        <v>59.62</v>
      </c>
      <c r="D38" s="34" t="n">
        <f aca="false">SUM('4.1.1'!D92:D94)/3</f>
        <v>58.4866666666667</v>
      </c>
      <c r="E38" s="34" t="n">
        <f aca="false">SUM('4.1.1'!E92:E94)/3</f>
        <v>53.4833333333333</v>
      </c>
      <c r="F38" s="34" t="n">
        <f aca="false">SUM('4.1.1'!F92:F94)/3</f>
        <v>54.1433333333333</v>
      </c>
      <c r="G38" s="34" t="n">
        <f aca="false">SUM('4.1.1'!G92:G94)/3</f>
        <v>14.1766666666667</v>
      </c>
      <c r="H38" s="34" t="n">
        <f aca="false">SUM('4.1.1'!H92:H94)/3</f>
        <v>14.15</v>
      </c>
      <c r="I38" s="36"/>
      <c r="J38" s="36" t="n">
        <f aca="false">F38-E38</f>
        <v>0.660000000000011</v>
      </c>
      <c r="K38" s="36"/>
      <c r="L38" s="37"/>
      <c r="M38" s="48" t="n">
        <v>100.876666666667</v>
      </c>
    </row>
    <row r="39" customFormat="false" ht="14.25" hidden="false" customHeight="true" outlineLevel="0" collapsed="false">
      <c r="A39" s="32" t="n">
        <v>1996</v>
      </c>
      <c r="B39" s="32" t="s">
        <v>80</v>
      </c>
      <c r="C39" s="34" t="n">
        <f aca="false">SUM('4.1.1'!C95:C97)/3</f>
        <v>60.3233333333333</v>
      </c>
      <c r="D39" s="34" t="n">
        <f aca="false">SUM('4.1.1'!D95:D97)/3</f>
        <v>59.8666666666667</v>
      </c>
      <c r="E39" s="34" t="n">
        <f aca="false">SUM('4.1.1'!E95:E97)/3</f>
        <v>54.86</v>
      </c>
      <c r="F39" s="34" t="n">
        <f aca="false">SUM('4.1.1'!F95:F97)/3</f>
        <v>56.16</v>
      </c>
      <c r="G39" s="34" t="n">
        <f aca="false">SUM('4.1.1'!G95:G97)/3</f>
        <v>15.4966666666667</v>
      </c>
      <c r="H39" s="34" t="n">
        <f aca="false">SUM('4.1.1'!H95:H97)/3</f>
        <v>15.9333333333333</v>
      </c>
      <c r="I39" s="36"/>
      <c r="J39" s="36" t="n">
        <f aca="false">F39-E39</f>
        <v>1.3</v>
      </c>
      <c r="K39" s="36"/>
      <c r="L39" s="37"/>
      <c r="M39" s="48" t="n">
        <v>113.34</v>
      </c>
    </row>
    <row r="40" customFormat="false" ht="14.25" hidden="false" customHeight="true" outlineLevel="0" collapsed="false">
      <c r="A40" s="32" t="n">
        <v>1996</v>
      </c>
      <c r="B40" s="32" t="s">
        <v>81</v>
      </c>
      <c r="C40" s="34" t="n">
        <f aca="false">SUM('4.1.1'!C98:C100)/3</f>
        <v>60.09</v>
      </c>
      <c r="D40" s="34" t="n">
        <f aca="false">SUM('4.1.1'!D98:D100)/3</f>
        <v>62</v>
      </c>
      <c r="E40" s="34" t="n">
        <f aca="false">SUM('4.1.1'!E98:E100)/3</f>
        <v>55.0133333333333</v>
      </c>
      <c r="F40" s="34" t="n">
        <f aca="false">SUM('4.1.1'!F98:F100)/3</f>
        <v>56.0833333333333</v>
      </c>
      <c r="G40" s="34" t="n">
        <f aca="false">SUM('4.1.1'!G98:G100)/3</f>
        <v>15.4266666666667</v>
      </c>
      <c r="H40" s="34" t="n">
        <f aca="false">SUM('4.1.1'!H98:H100)/3</f>
        <v>15.96</v>
      </c>
      <c r="I40" s="36"/>
      <c r="J40" s="36" t="n">
        <f aca="false">F40-E40</f>
        <v>1.06999999999999</v>
      </c>
      <c r="K40" s="36"/>
      <c r="L40" s="37"/>
      <c r="M40" s="48" t="n">
        <v>120.546666666667</v>
      </c>
    </row>
    <row r="41" customFormat="false" ht="14.25" hidden="false" customHeight="true" outlineLevel="0" collapsed="false">
      <c r="A41" s="32" t="n">
        <v>1996</v>
      </c>
      <c r="B41" s="32" t="s">
        <v>82</v>
      </c>
      <c r="C41" s="34" t="n">
        <f aca="false">SUM('4.1.1'!C101:C103)/3</f>
        <v>61.3466666666667</v>
      </c>
      <c r="D41" s="34" t="n">
        <f aca="false">SUM('4.1.1'!D101:D103)/3</f>
        <v>64.93</v>
      </c>
      <c r="E41" s="34" t="n">
        <f aca="false">SUM('4.1.1'!E101:E103)/3</f>
        <v>56.45</v>
      </c>
      <c r="F41" s="34" t="n">
        <f aca="false">SUM('4.1.1'!F101:F103)/3</f>
        <v>57.21</v>
      </c>
      <c r="G41" s="34" t="n">
        <f aca="false">SUM('4.1.1'!G101:G103)/3</f>
        <v>15.5366666666667</v>
      </c>
      <c r="H41" s="34" t="n">
        <f aca="false">SUM('4.1.1'!H101:H103)/3</f>
        <v>16.1533333333333</v>
      </c>
      <c r="I41" s="36"/>
      <c r="J41" s="36" t="n">
        <f aca="false">F41-E41</f>
        <v>0.759999999999991</v>
      </c>
      <c r="K41" s="36"/>
      <c r="L41" s="37"/>
      <c r="M41" s="48" t="n">
        <v>123.28</v>
      </c>
    </row>
    <row r="42" customFormat="false" ht="14.25" hidden="false" customHeight="true" outlineLevel="0" collapsed="false">
      <c r="A42" s="32" t="n">
        <v>1996</v>
      </c>
      <c r="B42" s="32" t="s">
        <v>83</v>
      </c>
      <c r="C42" s="34" t="n">
        <f aca="false">SUM('4.1.1'!C104:C106)/3</f>
        <v>64.7666666666667</v>
      </c>
      <c r="D42" s="34" t="n">
        <f aca="false">SUM('4.1.1'!D104:D106)/3</f>
        <v>67.9</v>
      </c>
      <c r="E42" s="34" t="n">
        <f aca="false">SUM('4.1.1'!E104:E106)/3</f>
        <v>59.76</v>
      </c>
      <c r="F42" s="34" t="n">
        <f aca="false">SUM('4.1.1'!F104:F106)/3</f>
        <v>61.37</v>
      </c>
      <c r="G42" s="34" t="n">
        <f aca="false">SUM('4.1.1'!G104:G106)/3</f>
        <v>17.2666666666667</v>
      </c>
      <c r="H42" s="34" t="n">
        <f aca="false">SUM('4.1.1'!H104:H106)/3</f>
        <v>18.07</v>
      </c>
      <c r="I42" s="36"/>
      <c r="J42" s="36" t="n">
        <f aca="false">F42-E42</f>
        <v>1.61000000000001</v>
      </c>
      <c r="K42" s="36"/>
      <c r="L42" s="37"/>
      <c r="M42" s="48" t="n">
        <v>132.663333333333</v>
      </c>
    </row>
    <row r="43" customFormat="false" ht="14.25" hidden="false" customHeight="true" outlineLevel="0" collapsed="false">
      <c r="A43" s="32" t="n">
        <v>1997</v>
      </c>
      <c r="B43" s="32" t="s">
        <v>80</v>
      </c>
      <c r="C43" s="34" t="n">
        <f aca="false">SUM('4.1.1'!C107:C109)/3</f>
        <v>65.0466666666667</v>
      </c>
      <c r="D43" s="34" t="n">
        <f aca="false">SUM('4.1.1'!D107:D109)/3</f>
        <v>68.7866666666667</v>
      </c>
      <c r="E43" s="34" t="n">
        <f aca="false">SUM('4.1.1'!E107:E109)/3</f>
        <v>60.0733333333333</v>
      </c>
      <c r="F43" s="34" t="n">
        <f aca="false">SUM('4.1.1'!F107:F109)/3</f>
        <v>61.2433333333333</v>
      </c>
      <c r="G43" s="34" t="n">
        <f aca="false">SUM('4.1.1'!G107:G109)/3</f>
        <v>15.9033333333333</v>
      </c>
      <c r="H43" s="34" t="n">
        <f aca="false">SUM('4.1.1'!H107:H109)/3</f>
        <v>16.85</v>
      </c>
      <c r="I43" s="36"/>
      <c r="J43" s="36" t="n">
        <f aca="false">F43-E43</f>
        <v>1.17000000000001</v>
      </c>
      <c r="K43" s="36"/>
      <c r="L43" s="37"/>
      <c r="M43" s="48" t="n">
        <v>121.553333333333</v>
      </c>
    </row>
    <row r="44" customFormat="false" ht="14.25" hidden="false" customHeight="true" outlineLevel="0" collapsed="false">
      <c r="A44" s="32" t="n">
        <v>1997</v>
      </c>
      <c r="B44" s="32" t="s">
        <v>81</v>
      </c>
      <c r="C44" s="34" t="n">
        <f aca="false">SUM('4.1.1'!C110:C112)/3</f>
        <v>64.9633333333333</v>
      </c>
      <c r="D44" s="34" t="n">
        <f aca="false">SUM('4.1.1'!D110:D112)/3</f>
        <v>69</v>
      </c>
      <c r="E44" s="34" t="n">
        <f aca="false">SUM('4.1.1'!E110:E112)/3</f>
        <v>59.5033333333333</v>
      </c>
      <c r="F44" s="34" t="n">
        <f aca="false">SUM('4.1.1'!F110:F112)/3</f>
        <v>60.3733333333333</v>
      </c>
      <c r="G44" s="34" t="n">
        <f aca="false">SUM('4.1.1'!G110:G112)/3</f>
        <v>13.9733333333333</v>
      </c>
      <c r="H44" s="34" t="n">
        <f aca="false">SUM('4.1.1'!H110:H112)/3</f>
        <v>15.1666666666667</v>
      </c>
      <c r="I44" s="36"/>
      <c r="J44" s="36" t="n">
        <f aca="false">F44-E44</f>
        <v>0.870000000000005</v>
      </c>
      <c r="K44" s="36"/>
      <c r="L44" s="37"/>
      <c r="M44" s="48" t="n">
        <v>101.473333333333</v>
      </c>
    </row>
    <row r="45" customFormat="false" ht="14.25" hidden="false" customHeight="true" outlineLevel="0" collapsed="false">
      <c r="A45" s="32" t="n">
        <v>1997</v>
      </c>
      <c r="B45" s="32" t="s">
        <v>82</v>
      </c>
      <c r="C45" s="34" t="n">
        <f aca="false">SUM('4.1.1'!C113:C115)/3</f>
        <v>69.33</v>
      </c>
      <c r="D45" s="34" t="n">
        <f aca="false">SUM('4.1.1'!D113:D115)/3</f>
        <v>73.4966666666667</v>
      </c>
      <c r="E45" s="34" t="n">
        <f aca="false">SUM('4.1.1'!E113:E115)/3</f>
        <v>63.8266666666667</v>
      </c>
      <c r="F45" s="34" t="n">
        <f aca="false">SUM('4.1.1'!F113:F115)/3</f>
        <v>64.2266666666667</v>
      </c>
      <c r="G45" s="34" t="n">
        <f aca="false">SUM('4.1.1'!G113:G115)/3</f>
        <v>13.53</v>
      </c>
      <c r="H45" s="34" t="n">
        <f aca="false">SUM('4.1.1'!H113:H115)/3</f>
        <v>14.8333333333333</v>
      </c>
      <c r="I45" s="36"/>
      <c r="J45" s="36" t="n">
        <f aca="false">F45-E45</f>
        <v>0.400000000000013</v>
      </c>
      <c r="K45" s="36"/>
      <c r="L45" s="37"/>
      <c r="M45" s="48" t="n">
        <v>104.44</v>
      </c>
    </row>
    <row r="46" customFormat="false" ht="14.25" hidden="false" customHeight="true" outlineLevel="0" collapsed="false">
      <c r="A46" s="32" t="n">
        <v>1997</v>
      </c>
      <c r="B46" s="32" t="s">
        <v>83</v>
      </c>
      <c r="C46" s="34" t="n">
        <f aca="false">SUM('4.1.1'!C116:C118)/3</f>
        <v>69.53</v>
      </c>
      <c r="D46" s="34" t="n">
        <f aca="false">SUM('4.1.1'!D116:D118)/3</f>
        <v>73.9433333333333</v>
      </c>
      <c r="E46" s="34" t="n">
        <f aca="false">SUM('4.1.1'!E116:E118)/3</f>
        <v>63.8766666666667</v>
      </c>
      <c r="F46" s="34" t="n">
        <f aca="false">SUM('4.1.1'!F116:F118)/3</f>
        <v>64.0433333333333</v>
      </c>
      <c r="G46" s="34" t="n">
        <f aca="false">SUM('4.1.1'!G116:G118)/3</f>
        <v>14.0166666666667</v>
      </c>
      <c r="H46" s="34" t="n">
        <f aca="false">SUM('4.1.1'!H116:H118)/3</f>
        <v>14.9533333333333</v>
      </c>
      <c r="I46" s="36" t="n">
        <f aca="false">SUM('4.1.1'!I116:I118)/3</f>
        <v>21.8933215282487</v>
      </c>
      <c r="J46" s="36" t="n">
        <f aca="false">F46-E46</f>
        <v>0.166666666666671</v>
      </c>
      <c r="K46" s="36" t="n">
        <v>38.3622101284652</v>
      </c>
      <c r="L46" s="36" t="n">
        <v>60.1583519705249</v>
      </c>
      <c r="M46" s="48" t="n">
        <v>103.983333333333</v>
      </c>
    </row>
    <row r="47" customFormat="false" ht="14.25" hidden="false" customHeight="true" outlineLevel="0" collapsed="false">
      <c r="A47" s="32" t="n">
        <v>1998</v>
      </c>
      <c r="B47" s="32" t="s">
        <v>80</v>
      </c>
      <c r="C47" s="34" t="n">
        <f aca="false">SUM('4.1.1'!C119:C121)/3</f>
        <v>68.6233333333333</v>
      </c>
      <c r="D47" s="34" t="n">
        <f aca="false">SUM('4.1.1'!D119:D121)/3</f>
        <v>73.84</v>
      </c>
      <c r="E47" s="34" t="n">
        <f aca="false">SUM('4.1.1'!E119:E121)/3</f>
        <v>62.6166666666667</v>
      </c>
      <c r="F47" s="34" t="n">
        <f aca="false">SUM('4.1.1'!F119:F121)/3</f>
        <v>62.8266666666667</v>
      </c>
      <c r="G47" s="34" t="n">
        <f aca="false">SUM('4.1.1'!G119:G121)/3</f>
        <v>12.3533333333333</v>
      </c>
      <c r="H47" s="34" t="n">
        <f aca="false">SUM('4.1.1'!H119:H121)/3</f>
        <v>13.3566666666667</v>
      </c>
      <c r="I47" s="36" t="n">
        <f aca="false">SUM('4.1.1'!I119:I121)/3</f>
        <v>16.6960286174358</v>
      </c>
      <c r="J47" s="36" t="n">
        <f aca="false">F47-E47</f>
        <v>0.210000000000001</v>
      </c>
      <c r="K47" s="36" t="n">
        <v>29.2889758474548</v>
      </c>
      <c r="L47" s="36" t="n">
        <v>45.9300053877757</v>
      </c>
      <c r="M47" s="48" t="n">
        <v>79.5133333333333</v>
      </c>
    </row>
    <row r="48" customFormat="false" ht="14.25" hidden="false" customHeight="true" outlineLevel="0" collapsed="false">
      <c r="A48" s="32" t="n">
        <v>1998</v>
      </c>
      <c r="B48" s="32" t="s">
        <v>81</v>
      </c>
      <c r="C48" s="34" t="n">
        <f aca="false">SUM('4.1.1'!C122:C124)/3</f>
        <v>72.3333333333333</v>
      </c>
      <c r="D48" s="34" t="n">
        <f aca="false">SUM('4.1.1'!D122:D124)/3</f>
        <v>78.8666666666667</v>
      </c>
      <c r="E48" s="34" t="n">
        <f aca="false">SUM('4.1.1'!E122:E124)/3</f>
        <v>65.7033333333333</v>
      </c>
      <c r="F48" s="34" t="n">
        <f aca="false">SUM('4.1.1'!F122:F124)/3</f>
        <v>66.7033333333333</v>
      </c>
      <c r="G48" s="34" t="n">
        <f aca="false">SUM('4.1.1'!G122:G124)/3</f>
        <v>11.4866666666667</v>
      </c>
      <c r="H48" s="34" t="n">
        <f aca="false">SUM('4.1.1'!H122:H124)/3</f>
        <v>12.7433333333333</v>
      </c>
      <c r="I48" s="36" t="n">
        <f aca="false">SUM('4.1.1'!I122:I124)/3</f>
        <v>15.3985388442542</v>
      </c>
      <c r="J48" s="36" t="n">
        <f aca="false">F48-E48</f>
        <v>1</v>
      </c>
      <c r="K48" s="36" t="n">
        <v>27.0062975245002</v>
      </c>
      <c r="L48" s="36" t="n">
        <v>42.3503845701029</v>
      </c>
      <c r="M48" s="48" t="n">
        <v>73.1933333333333</v>
      </c>
    </row>
    <row r="49" customFormat="false" ht="14.25" hidden="false" customHeight="true" outlineLevel="0" collapsed="false">
      <c r="A49" s="32" t="n">
        <v>1998</v>
      </c>
      <c r="B49" s="32" t="s">
        <v>82</v>
      </c>
      <c r="C49" s="34" t="n">
        <f aca="false">SUM('4.1.1'!C125:C127)/3</f>
        <v>72.2833333333334</v>
      </c>
      <c r="D49" s="34" t="n">
        <f aca="false">SUM('4.1.1'!D125:D127)/3</f>
        <v>79.3566666666667</v>
      </c>
      <c r="E49" s="34" t="n">
        <f aca="false">SUM('4.1.1'!E125:E127)/3</f>
        <v>65.9933333333333</v>
      </c>
      <c r="F49" s="34" t="n">
        <f aca="false">SUM('4.1.1'!F125:F127)/3</f>
        <v>66.7733333333333</v>
      </c>
      <c r="G49" s="34" t="n">
        <f aca="false">SUM('4.1.1'!G125:G127)/3</f>
        <v>10.5366666666667</v>
      </c>
      <c r="H49" s="34" t="n">
        <f aca="false">SUM('4.1.1'!H125:H127)/3</f>
        <v>11.9366666666667</v>
      </c>
      <c r="I49" s="36" t="n">
        <f aca="false">SUM('4.1.1'!I125:I127)/3</f>
        <v>14.2775761070025</v>
      </c>
      <c r="J49" s="36" t="n">
        <f aca="false">F49-E49</f>
        <v>0.779999999999987</v>
      </c>
      <c r="K49" s="36" t="n">
        <v>25.0276551195277</v>
      </c>
      <c r="L49" s="36" t="n">
        <v>39.2475428458244</v>
      </c>
      <c r="M49" s="48" t="n">
        <v>67.7933333333333</v>
      </c>
    </row>
    <row r="50" customFormat="false" ht="14.25" hidden="false" customHeight="true" outlineLevel="0" collapsed="false">
      <c r="A50" s="32" t="n">
        <v>1998</v>
      </c>
      <c r="B50" s="32" t="s">
        <v>83</v>
      </c>
      <c r="C50" s="34" t="n">
        <f aca="false">SUM('4.1.1'!C128:C130)/3</f>
        <v>71.1866666666667</v>
      </c>
      <c r="D50" s="34" t="n">
        <f aca="false">SUM('4.1.1'!D128:D130)/3</f>
        <v>79.1233333333333</v>
      </c>
      <c r="E50" s="34" t="n">
        <f aca="false">SUM('4.1.1'!E128:E130)/3</f>
        <v>64.87</v>
      </c>
      <c r="F50" s="34" t="n">
        <f aca="false">SUM('4.1.1'!F128:F130)/3</f>
        <v>65.71</v>
      </c>
      <c r="G50" s="34" t="n">
        <f aca="false">SUM('4.1.1'!G128:G130)/3</f>
        <v>10.6133333333333</v>
      </c>
      <c r="H50" s="34" t="n">
        <f aca="false">SUM('4.1.1'!H128:H130)/3</f>
        <v>11.8366666666667</v>
      </c>
      <c r="I50" s="36" t="n">
        <f aca="false">SUM('4.1.1'!I128:I130)/3</f>
        <v>12.8193557191003</v>
      </c>
      <c r="J50" s="36" t="n">
        <f aca="false">F50-E50</f>
        <v>0.840000000000003</v>
      </c>
      <c r="K50" s="36" t="n">
        <v>22.544777376728</v>
      </c>
      <c r="L50" s="36" t="n">
        <v>35.3539759045314</v>
      </c>
      <c r="M50" s="48" t="n">
        <v>61.4333333333333</v>
      </c>
    </row>
    <row r="51" customFormat="false" ht="14.25" hidden="false" customHeight="true" outlineLevel="0" collapsed="false">
      <c r="A51" s="32" t="n">
        <v>1999</v>
      </c>
      <c r="B51" s="32" t="s">
        <v>80</v>
      </c>
      <c r="C51" s="34" t="n">
        <f aca="false">SUM('4.1.1'!C131:C133)/3</f>
        <v>71.08</v>
      </c>
      <c r="D51" s="34" t="n">
        <f aca="false">SUM('4.1.1'!D131:D133)/3</f>
        <v>79.91</v>
      </c>
      <c r="E51" s="34" t="n">
        <f aca="false">SUM('4.1.1'!E131:E133)/3</f>
        <v>64.1333333333333</v>
      </c>
      <c r="F51" s="34" t="n">
        <f aca="false">SUM('4.1.1'!F131:F133)/3</f>
        <v>66.02</v>
      </c>
      <c r="G51" s="34" t="n">
        <f aca="false">SUM('4.1.1'!G131:G133)/3</f>
        <v>10.21</v>
      </c>
      <c r="H51" s="34" t="n">
        <f aca="false">SUM('4.1.1'!H131:H133)/3</f>
        <v>11.5833333333333</v>
      </c>
      <c r="I51" s="36" t="n">
        <f aca="false">SUM('4.1.1'!I131:I133)/3</f>
        <v>13.487775756704</v>
      </c>
      <c r="J51" s="36" t="n">
        <f aca="false">F51-E51</f>
        <v>1.88666666666666</v>
      </c>
      <c r="K51" s="36" t="n">
        <v>23.5460546067545</v>
      </c>
      <c r="L51" s="36" t="n">
        <v>36.9241458145104</v>
      </c>
      <c r="M51" s="48" t="n">
        <v>63.4733333333333</v>
      </c>
    </row>
    <row r="52" customFormat="false" ht="14.25" hidden="false" customHeight="true" outlineLevel="0" collapsed="false">
      <c r="A52" s="32" t="n">
        <v>1999</v>
      </c>
      <c r="B52" s="32" t="s">
        <v>81</v>
      </c>
      <c r="C52" s="34" t="n">
        <f aca="false">SUM('4.1.1'!C134:C136)/3</f>
        <v>77.5866666666667</v>
      </c>
      <c r="D52" s="34" t="n">
        <f aca="false">SUM('4.1.1'!D134:D136)/3</f>
        <v>83.65</v>
      </c>
      <c r="E52" s="34" t="n">
        <f aca="false">SUM('4.1.1'!E134:E136)/3</f>
        <v>70.0133333333333</v>
      </c>
      <c r="F52" s="34" t="n">
        <f aca="false">SUM('4.1.1'!F134:F136)/3</f>
        <v>73.0333333333333</v>
      </c>
      <c r="G52" s="34" t="n">
        <f aca="false">SUM('4.1.1'!G134:G136)/3</f>
        <v>11.81</v>
      </c>
      <c r="H52" s="34" t="n">
        <f aca="false">SUM('4.1.1'!H134:H136)/3</f>
        <v>12.7766666666667</v>
      </c>
      <c r="I52" s="36" t="n">
        <f aca="false">SUM('4.1.1'!I134:I136)/3</f>
        <v>18.472120409322</v>
      </c>
      <c r="J52" s="36" t="n">
        <f aca="false">F52-E52</f>
        <v>3.02</v>
      </c>
      <c r="K52" s="36" t="n">
        <v>32.2907537421403</v>
      </c>
      <c r="L52" s="36" t="n">
        <v>50.6372944235509</v>
      </c>
      <c r="M52" s="48" t="n">
        <v>87.2766666666667</v>
      </c>
    </row>
    <row r="53" customFormat="false" ht="14.25" hidden="false" customHeight="true" outlineLevel="0" collapsed="false">
      <c r="A53" s="32" t="n">
        <v>1999</v>
      </c>
      <c r="B53" s="32" t="s">
        <v>82</v>
      </c>
      <c r="C53" s="34" t="n">
        <f aca="false">SUM('4.1.1'!C137:C139)/3</f>
        <v>79.3566666666667</v>
      </c>
      <c r="D53" s="34" t="n">
        <f aca="false">SUM('4.1.1'!D137:D139)/3</f>
        <v>84.5166666666667</v>
      </c>
      <c r="E53" s="34" t="n">
        <f aca="false">SUM('4.1.1'!E137:E139)/3</f>
        <v>72.29</v>
      </c>
      <c r="F53" s="34" t="n">
        <f aca="false">SUM('4.1.1'!F137:F139)/3</f>
        <v>74.66</v>
      </c>
      <c r="G53" s="34" t="n">
        <f aca="false">SUM('4.1.1'!G137:G139)/3</f>
        <v>13.4533333333333</v>
      </c>
      <c r="H53" s="34" t="n">
        <f aca="false">SUM('4.1.1'!H137:H139)/3</f>
        <v>14.63</v>
      </c>
      <c r="I53" s="36" t="n">
        <f aca="false">SUM('4.1.1'!I137:I139)/3</f>
        <v>24.4962808971864</v>
      </c>
      <c r="J53" s="36" t="n">
        <f aca="false">F53-E53</f>
        <v>2.36999999999998</v>
      </c>
      <c r="K53" s="36" t="n">
        <v>42.9154556164777</v>
      </c>
      <c r="L53" s="36" t="n">
        <v>67.298601287725</v>
      </c>
      <c r="M53" s="48" t="n">
        <v>116.29</v>
      </c>
    </row>
    <row r="54" customFormat="false" ht="14.25" hidden="false" customHeight="true" outlineLevel="0" collapsed="false">
      <c r="A54" s="32" t="n">
        <v>1999</v>
      </c>
      <c r="B54" s="32" t="s">
        <v>83</v>
      </c>
      <c r="C54" s="34" t="n">
        <f aca="false">SUM('4.1.1'!C140:C142)/3</f>
        <v>80.7866666666667</v>
      </c>
      <c r="D54" s="34" t="n">
        <f aca="false">SUM('4.1.1'!D140:D142)/3</f>
        <v>83.6133333333333</v>
      </c>
      <c r="E54" s="34" t="n">
        <f aca="false">SUM('4.1.1'!E140:E142)/3</f>
        <v>74.21</v>
      </c>
      <c r="F54" s="34" t="n">
        <f aca="false">SUM('4.1.1'!F140:F142)/3</f>
        <v>76.23</v>
      </c>
      <c r="G54" s="34" t="n">
        <f aca="false">SUM('4.1.1'!G140:G142)/3</f>
        <v>15.4433333333333</v>
      </c>
      <c r="H54" s="34" t="n">
        <f aca="false">SUM('4.1.1'!H140:H142)/3</f>
        <v>16.58</v>
      </c>
      <c r="I54" s="36" t="n">
        <f aca="false">SUM('4.1.1'!I140:I142)/3</f>
        <v>28.7701473368606</v>
      </c>
      <c r="J54" s="36" t="n">
        <f aca="false">F54-E54</f>
        <v>2.02000000000001</v>
      </c>
      <c r="K54" s="36" t="n">
        <v>50.3121475378298</v>
      </c>
      <c r="L54" s="36" t="n">
        <v>78.8978494679559</v>
      </c>
      <c r="M54" s="48" t="n">
        <v>136.056666666667</v>
      </c>
    </row>
    <row r="55" customFormat="false" ht="14.25" hidden="false" customHeight="true" outlineLevel="0" collapsed="false">
      <c r="A55" s="32" t="n">
        <v>2000</v>
      </c>
      <c r="B55" s="32" t="s">
        <v>80</v>
      </c>
      <c r="C55" s="34" t="n">
        <f aca="false">SUM('4.1.1'!C143:C145)/3</f>
        <v>81.5266666666667</v>
      </c>
      <c r="D55" s="34" t="n">
        <f aca="false">SUM('4.1.1'!D143:D145)/3</f>
        <v>84.27</v>
      </c>
      <c r="E55" s="34" t="n">
        <f aca="false">SUM('4.1.1'!E143:E145)/3</f>
        <v>76.28</v>
      </c>
      <c r="F55" s="34" t="n">
        <f aca="false">SUM('4.1.1'!F143:F145)/3</f>
        <v>78.4166666666667</v>
      </c>
      <c r="G55" s="34" t="n">
        <f aca="false">SUM('4.1.1'!G143:G145)/3</f>
        <v>18.13</v>
      </c>
      <c r="H55" s="34" t="n">
        <f aca="false">SUM('4.1.1'!H143:H145)/3</f>
        <v>18.57</v>
      </c>
      <c r="I55" s="36" t="n">
        <f aca="false">SUM('4.1.1'!I143:I145)/3</f>
        <v>32.6395318801842</v>
      </c>
      <c r="J55" s="36" t="n">
        <f aca="false">F55-E55</f>
        <v>2.13666666666668</v>
      </c>
      <c r="K55" s="36" t="n">
        <v>57.1214123765116</v>
      </c>
      <c r="L55" s="36" t="n">
        <v>89.5759138822371</v>
      </c>
      <c r="M55" s="48" t="n">
        <v>154.686666666667</v>
      </c>
    </row>
    <row r="56" customFormat="false" ht="14.25" hidden="false" customHeight="true" outlineLevel="0" collapsed="false">
      <c r="A56" s="32" t="n">
        <v>2000</v>
      </c>
      <c r="B56" s="32" t="s">
        <v>81</v>
      </c>
      <c r="C56" s="34" t="n">
        <f aca="false">SUM('4.1.1'!C146:C148)/3</f>
        <v>85.61</v>
      </c>
      <c r="D56" s="34" t="n">
        <f aca="false">SUM('4.1.1'!D146:D148)/3</f>
        <v>87.99</v>
      </c>
      <c r="E56" s="34" t="n">
        <f aca="false">SUM('4.1.1'!E146:E148)/3</f>
        <v>81.26</v>
      </c>
      <c r="F56" s="34" t="n">
        <f aca="false">SUM('4.1.1'!F146:F148)/3</f>
        <v>81.5166666666667</v>
      </c>
      <c r="G56" s="34" t="n">
        <f aca="false">SUM('4.1.1'!G146:G148)/3</f>
        <v>18.3633333333333</v>
      </c>
      <c r="H56" s="34" t="n">
        <f aca="false">SUM('4.1.1'!H146:H148)/3</f>
        <v>19.2566666666667</v>
      </c>
      <c r="I56" s="36" t="n">
        <f aca="false">SUM('4.1.1'!I146:I148)/3</f>
        <v>34.0082847347158</v>
      </c>
      <c r="J56" s="36" t="n">
        <f aca="false">F56-E56</f>
        <v>0.256666666666661</v>
      </c>
      <c r="K56" s="36" t="n">
        <v>59.4699135839806</v>
      </c>
      <c r="L56" s="36" t="n">
        <v>93.2587559752501</v>
      </c>
      <c r="M56" s="48" t="n">
        <v>161.113333333333</v>
      </c>
    </row>
    <row r="57" customFormat="false" ht="14.25" hidden="false" customHeight="true" outlineLevel="0" collapsed="false">
      <c r="A57" s="32" t="n">
        <v>2000</v>
      </c>
      <c r="B57" s="32" t="s">
        <v>82</v>
      </c>
      <c r="C57" s="34" t="n">
        <f aca="false">SUM('4.1.1'!C149:C151)/3</f>
        <v>86.7733333333333</v>
      </c>
      <c r="D57" s="34" t="n">
        <f aca="false">SUM('4.1.1'!D149:D151)/3</f>
        <v>88.7333333333333</v>
      </c>
      <c r="E57" s="34" t="n">
        <f aca="false">SUM('4.1.1'!E149:E151)/3</f>
        <v>81.72</v>
      </c>
      <c r="F57" s="34" t="n">
        <f aca="false">SUM('4.1.1'!F149:F151)/3</f>
        <v>82.0633333333333</v>
      </c>
      <c r="G57" s="34" t="n">
        <f aca="false">SUM('4.1.1'!G149:G151)/3</f>
        <v>21.82</v>
      </c>
      <c r="H57" s="34" t="n">
        <f aca="false">SUM('4.1.1'!H149:H151)/3</f>
        <v>22.9933333333333</v>
      </c>
      <c r="I57" s="36" t="n">
        <f aca="false">SUM('4.1.1'!I149:I151)/3</f>
        <v>39.2671104466771</v>
      </c>
      <c r="J57" s="36" t="n">
        <f aca="false">F57-E57</f>
        <v>0.34333333333332</v>
      </c>
      <c r="K57" s="36" t="n">
        <v>68.6559881951315</v>
      </c>
      <c r="L57" s="36" t="n">
        <v>107.664055039995</v>
      </c>
      <c r="M57" s="48" t="n">
        <v>185.983333333333</v>
      </c>
    </row>
    <row r="58" customFormat="false" ht="14.25" hidden="false" customHeight="true" outlineLevel="0" collapsed="false">
      <c r="A58" s="32" t="n">
        <v>2000</v>
      </c>
      <c r="B58" s="32" t="s">
        <v>83</v>
      </c>
      <c r="C58" s="34" t="n">
        <f aca="false">SUM('4.1.1'!C152:C154)/3</f>
        <v>85.66</v>
      </c>
      <c r="D58" s="34" t="n">
        <f aca="false">SUM('4.1.1'!D152:D154)/3</f>
        <v>88.27</v>
      </c>
      <c r="E58" s="34" t="n">
        <f aca="false">SUM('4.1.1'!E152:E154)/3</f>
        <v>80.4466666666667</v>
      </c>
      <c r="F58" s="34" t="n">
        <f aca="false">SUM('4.1.1'!F152:F154)/3</f>
        <v>83.3766666666667</v>
      </c>
      <c r="G58" s="34" t="n">
        <f aca="false">SUM('4.1.1'!G152:G154)/3</f>
        <v>23.9766666666667</v>
      </c>
      <c r="H58" s="34" t="n">
        <f aca="false">SUM('4.1.1'!H152:H154)/3</f>
        <v>25.2233333333333</v>
      </c>
      <c r="I58" s="36" t="n">
        <f aca="false">SUM('4.1.1'!I152:I154)/3</f>
        <v>39.8995302670299</v>
      </c>
      <c r="J58" s="36" t="n">
        <f aca="false">F58-E58</f>
        <v>2.93000000000001</v>
      </c>
      <c r="K58" s="36" t="n">
        <v>69.8224435336464</v>
      </c>
      <c r="L58" s="36" t="n">
        <v>109.493251808828</v>
      </c>
      <c r="M58" s="48" t="n">
        <v>189.173333333333</v>
      </c>
    </row>
    <row r="59" customFormat="false" ht="14.25" hidden="false" customHeight="true" outlineLevel="0" collapsed="false">
      <c r="A59" s="32" t="n">
        <v>2001</v>
      </c>
      <c r="B59" s="32" t="s">
        <v>80</v>
      </c>
      <c r="C59" s="34" t="n">
        <f aca="false">SUM('4.1.1'!C155:C157)/3</f>
        <v>80.6533333333333</v>
      </c>
      <c r="D59" s="34" t="n">
        <f aca="false">SUM('4.1.1'!D155:D157)/3</f>
        <v>83.8</v>
      </c>
      <c r="E59" s="34" t="n">
        <f aca="false">SUM('4.1.1'!E155:E157)/3</f>
        <v>76.2966666666667</v>
      </c>
      <c r="F59" s="34" t="n">
        <f aca="false">SUM('4.1.1'!F155:F157)/3</f>
        <v>80.17</v>
      </c>
      <c r="G59" s="34" t="n">
        <f aca="false">SUM('4.1.1'!G155:G157)/3</f>
        <v>19.7566666666667</v>
      </c>
      <c r="H59" s="34" t="n">
        <f aca="false">SUM('4.1.1'!H155:H157)/3</f>
        <v>20.4033333333333</v>
      </c>
      <c r="I59" s="36" t="n">
        <f aca="false">SUM('4.1.1'!I155:I157)/3</f>
        <v>34.1149131381942</v>
      </c>
      <c r="J59" s="36" t="n">
        <f aca="false">F59-E59</f>
        <v>3.87333333333334</v>
      </c>
      <c r="K59" s="36" t="n">
        <v>59.7720271920288</v>
      </c>
      <c r="L59" s="36" t="n">
        <v>93.7325205656423</v>
      </c>
      <c r="M59" s="48" t="n">
        <v>161.873333333333</v>
      </c>
    </row>
    <row r="60" customFormat="false" ht="14.25" hidden="false" customHeight="true" outlineLevel="0" collapsed="false">
      <c r="A60" s="32" t="n">
        <v>2001</v>
      </c>
      <c r="B60" s="32" t="s">
        <v>84</v>
      </c>
      <c r="C60" s="34" t="n">
        <f aca="false">SUM('4.1.1'!C158:C160)/3</f>
        <v>80.22</v>
      </c>
      <c r="D60" s="34" t="n">
        <f aca="false">SUM('4.1.1'!D158:D160)/3</f>
        <v>83.3733333333333</v>
      </c>
      <c r="E60" s="34" t="n">
        <f aca="false">SUM('4.1.1'!E158:E160)/3</f>
        <v>77.66</v>
      </c>
      <c r="F60" s="34" t="n">
        <f aca="false">SUM('4.1.1'!F158:F160)/3</f>
        <v>77.7633333333333</v>
      </c>
      <c r="G60" s="34" t="n">
        <f aca="false">SUM('4.1.1'!G158:G160)/3</f>
        <v>19.32</v>
      </c>
      <c r="H60" s="34" t="n">
        <f aca="false">SUM('4.1.1'!H158:H160)/3</f>
        <v>20.0666666666667</v>
      </c>
      <c r="I60" s="36" t="n">
        <f aca="false">SUM('4.1.1'!I158:I160)/3</f>
        <v>37.0014176010692</v>
      </c>
      <c r="J60" s="36" t="n">
        <f aca="false">F60-E60</f>
        <v>0.103333333333325</v>
      </c>
      <c r="K60" s="36" t="n">
        <v>64.7270499171713</v>
      </c>
      <c r="L60" s="36" t="n">
        <v>101.502823687461</v>
      </c>
      <c r="M60" s="48" t="n">
        <v>175.433333333333</v>
      </c>
    </row>
    <row r="61" customFormat="false" ht="14.25" hidden="false" customHeight="true" outlineLevel="0" collapsed="false">
      <c r="A61" s="32" t="n">
        <v>2001</v>
      </c>
      <c r="B61" s="32" t="s">
        <v>85</v>
      </c>
      <c r="C61" s="34" t="n">
        <f aca="false">SUM('4.1.1'!C161:C163)/3</f>
        <v>80.5933333333333</v>
      </c>
      <c r="D61" s="34" t="n">
        <f aca="false">SUM('4.1.1'!D161:D163)/3</f>
        <v>83.7566666666667</v>
      </c>
      <c r="E61" s="34" t="n">
        <f aca="false">SUM('4.1.1'!E161:E163)/3</f>
        <v>77.0133333333333</v>
      </c>
      <c r="F61" s="34" t="n">
        <f aca="false">SUM('4.1.1'!F161:F163)/3</f>
        <v>77.54</v>
      </c>
      <c r="G61" s="34" t="n">
        <f aca="false">SUM('4.1.1'!G161:G163)/3</f>
        <v>18.42</v>
      </c>
      <c r="H61" s="34" t="n">
        <f aca="false">SUM('4.1.1'!H161:H163)/3</f>
        <v>19.6633333333333</v>
      </c>
      <c r="I61" s="36" t="n">
        <f aca="false">SUM('4.1.1'!I161:I163)/3</f>
        <v>33.8879311740497</v>
      </c>
      <c r="J61" s="36" t="n">
        <f aca="false">F61-E61</f>
        <v>0.526666666666671</v>
      </c>
      <c r="K61" s="36" t="n">
        <v>59.191175005137</v>
      </c>
      <c r="L61" s="36" t="n">
        <v>92.8216473342807</v>
      </c>
      <c r="M61" s="48" t="n">
        <v>160.566666666667</v>
      </c>
    </row>
    <row r="62" customFormat="false" ht="14.25" hidden="false" customHeight="true" outlineLevel="0" collapsed="false">
      <c r="A62" s="32" t="n">
        <v>2001</v>
      </c>
      <c r="B62" s="32" t="s">
        <v>83</v>
      </c>
      <c r="C62" s="34" t="n">
        <f aca="false">SUM('4.1.1'!C164:C166)/3</f>
        <v>77.39</v>
      </c>
      <c r="D62" s="34" t="n">
        <f aca="false">SUM('4.1.1'!D164:D166)/3</f>
        <v>80.0366666666667</v>
      </c>
      <c r="E62" s="34" t="n">
        <f aca="false">SUM('4.1.1'!E164:E166)/3</f>
        <v>71.8966666666667</v>
      </c>
      <c r="F62" s="34" t="n">
        <f aca="false">SUM('4.1.1'!F164:F166)/3</f>
        <v>75.87</v>
      </c>
      <c r="G62" s="34" t="n">
        <f aca="false">SUM('4.1.1'!G164:G166)/3</f>
        <v>15.0133333333333</v>
      </c>
      <c r="H62" s="34" t="n">
        <f aca="false">SUM('4.1.1'!H164:H166)/3</f>
        <v>16.3266666666667</v>
      </c>
      <c r="I62" s="36" t="n">
        <f aca="false">SUM('4.1.1'!I164:I166)/3</f>
        <v>26.1631479515792</v>
      </c>
      <c r="J62" s="36" t="n">
        <f aca="false">F62-E62</f>
        <v>3.97333333333334</v>
      </c>
      <c r="K62" s="36" t="n">
        <v>45.7206150315127</v>
      </c>
      <c r="L62" s="36" t="n">
        <v>71.6975597121222</v>
      </c>
      <c r="M62" s="48" t="n">
        <v>123.933333333333</v>
      </c>
    </row>
    <row r="63" customFormat="false" ht="14.25" hidden="false" customHeight="true" outlineLevel="0" collapsed="false">
      <c r="A63" s="32" t="n">
        <v>2002</v>
      </c>
      <c r="B63" s="32" t="s">
        <v>80</v>
      </c>
      <c r="C63" s="34" t="n">
        <f aca="false">SUM('4.1.1'!C167:C169)/3</f>
        <v>75.9233333333333</v>
      </c>
      <c r="D63" s="34" t="n">
        <f aca="false">SUM('4.1.1'!D167:D169)/3</f>
        <v>78.7233333333333</v>
      </c>
      <c r="E63" s="34" t="n">
        <f aca="false">SUM('4.1.1'!E167:E169)/3</f>
        <v>70.4666666666667</v>
      </c>
      <c r="F63" s="34" t="n">
        <f aca="false">SUM('4.1.1'!F167:F169)/3</f>
        <v>74.6266666666667</v>
      </c>
      <c r="G63" s="34" t="n">
        <f aca="false">SUM('4.1.1'!G167:G169)/3</f>
        <v>14.6166666666667</v>
      </c>
      <c r="H63" s="34" t="n">
        <f aca="false">SUM('4.1.1'!H167:H169)/3</f>
        <v>14.7066666666667</v>
      </c>
      <c r="I63" s="36" t="n">
        <f aca="false">SUM('4.1.1'!I167:I169)/3</f>
        <v>27.8068223925749</v>
      </c>
      <c r="J63" s="36" t="n">
        <f aca="false">F63-E63</f>
        <v>4.16</v>
      </c>
      <c r="K63" s="36" t="n">
        <v>48.7306517296572</v>
      </c>
      <c r="L63" s="36" t="n">
        <v>76.4177999309413</v>
      </c>
      <c r="M63" s="48" t="n">
        <v>131.8</v>
      </c>
    </row>
    <row r="64" customFormat="false" ht="14.25" hidden="false" customHeight="true" outlineLevel="0" collapsed="false">
      <c r="A64" s="32" t="n">
        <v>2002</v>
      </c>
      <c r="B64" s="32" t="s">
        <v>81</v>
      </c>
      <c r="C64" s="34" t="n">
        <f aca="false">SUM('4.1.1'!C170:C172)/3</f>
        <v>77.6433333333333</v>
      </c>
      <c r="D64" s="34" t="n">
        <f aca="false">SUM('4.1.1'!D170:D172)/3</f>
        <v>80.4466666666667</v>
      </c>
      <c r="E64" s="34" t="n">
        <f aca="false">SUM('4.1.1'!E170:E172)/3</f>
        <v>74.5666666666667</v>
      </c>
      <c r="F64" s="34" t="n">
        <f aca="false">SUM('4.1.1'!F170:F172)/3</f>
        <v>76.2966666666667</v>
      </c>
      <c r="G64" s="34" t="n">
        <f aca="false">SUM('4.1.1'!G170:G172)/3</f>
        <v>15.86</v>
      </c>
      <c r="H64" s="34" t="n">
        <f aca="false">SUM('4.1.1'!H170:H172)/3</f>
        <v>15.83</v>
      </c>
      <c r="I64" s="36" t="n">
        <f aca="false">SUM('4.1.1'!I170:I172)/3</f>
        <v>32.4292360866825</v>
      </c>
      <c r="J64" s="36" t="n">
        <f aca="false">F64-E64</f>
        <v>1.73</v>
      </c>
      <c r="K64" s="36" t="n">
        <v>56.7803212242423</v>
      </c>
      <c r="L64" s="36" t="n">
        <v>89.0410259932564</v>
      </c>
      <c r="M64" s="48" t="n">
        <v>153.833333333333</v>
      </c>
    </row>
    <row r="65" customFormat="false" ht="14.25" hidden="false" customHeight="true" outlineLevel="0" collapsed="false">
      <c r="A65" s="32" t="n">
        <v>2002</v>
      </c>
      <c r="B65" s="32" t="s">
        <v>82</v>
      </c>
      <c r="C65" s="34" t="n">
        <f aca="false">SUM('4.1.1'!C173:C175)/3</f>
        <v>77.1433333333333</v>
      </c>
      <c r="D65" s="34" t="n">
        <f aca="false">SUM('4.1.1'!D173:D175)/3</f>
        <v>80.0333333333333</v>
      </c>
      <c r="E65" s="34" t="n">
        <f aca="false">SUM('4.1.1'!E173:E175)/3</f>
        <v>73.8466666666667</v>
      </c>
      <c r="F65" s="34" t="n">
        <f aca="false">SUM('4.1.1'!F173:F175)/3</f>
        <v>75.41</v>
      </c>
      <c r="G65" s="34" t="n">
        <f aca="false">SUM('4.1.1'!G173:G175)/3</f>
        <v>15.9066666666667</v>
      </c>
      <c r="H65" s="34" t="n">
        <f aca="false">SUM('4.1.1'!H173:H175)/3</f>
        <v>16.3</v>
      </c>
      <c r="I65" s="36" t="n">
        <f aca="false">SUM('4.1.1'!I173:I175)/3</f>
        <v>33.4717303541548</v>
      </c>
      <c r="J65" s="36" t="n">
        <f aca="false">F65-E65</f>
        <v>1.56333333333333</v>
      </c>
      <c r="K65" s="36" t="n">
        <v>58.5946456553801</v>
      </c>
      <c r="L65" s="36" t="n">
        <v>91.8861896934604</v>
      </c>
      <c r="M65" s="48" t="n">
        <v>158.733333333333</v>
      </c>
    </row>
    <row r="66" customFormat="false" ht="14.25" hidden="false" customHeight="true" outlineLevel="0" collapsed="false">
      <c r="A66" s="32" t="n">
        <v>2002</v>
      </c>
      <c r="B66" s="32" t="s">
        <v>83</v>
      </c>
      <c r="C66" s="34" t="n">
        <f aca="false">SUM('4.1.1'!C176:C178)/3</f>
        <v>77.4266666666667</v>
      </c>
      <c r="D66" s="34" t="n">
        <f aca="false">SUM('4.1.1'!D176:D178)/3</f>
        <v>79.95</v>
      </c>
      <c r="E66" s="34" t="n">
        <f aca="false">SUM('4.1.1'!E176:E178)/3</f>
        <v>74.0666666666667</v>
      </c>
      <c r="F66" s="34" t="n">
        <f aca="false">SUM('4.1.1'!F176:F178)/3</f>
        <v>75.5033333333333</v>
      </c>
      <c r="G66" s="34" t="n">
        <f aca="false">SUM('4.1.1'!G176:G178)/3</f>
        <v>16.2433333333333</v>
      </c>
      <c r="H66" s="34" t="n">
        <f aca="false">SUM('4.1.1'!H176:H178)/3</f>
        <v>16.8866666666667</v>
      </c>
      <c r="I66" s="36" t="n">
        <f aca="false">SUM('4.1.1'!I176:I178)/3</f>
        <v>32.7481894567078</v>
      </c>
      <c r="J66" s="36" t="n">
        <f aca="false">F66-E66</f>
        <v>1.43666666666668</v>
      </c>
      <c r="K66" s="36" t="n">
        <v>57.3026491415477</v>
      </c>
      <c r="L66" s="36" t="n">
        <v>89.8601233963535</v>
      </c>
      <c r="M66" s="48" t="n">
        <v>155.2</v>
      </c>
    </row>
    <row r="67" customFormat="false" ht="14.25" hidden="false" customHeight="true" outlineLevel="0" collapsed="false">
      <c r="A67" s="32" t="n">
        <v>2003</v>
      </c>
      <c r="B67" s="32" t="s">
        <v>80</v>
      </c>
      <c r="C67" s="34" t="n">
        <f aca="false">SUM('4.1.1'!C179:C181)/3</f>
        <v>79.6066666666667</v>
      </c>
      <c r="D67" s="34" t="n">
        <f aca="false">SUM('4.1.1'!D179:D181)/3</f>
        <v>81.5666666666667</v>
      </c>
      <c r="E67" s="34" t="n">
        <f aca="false">SUM('4.1.1'!E179:E181)/3</f>
        <v>76.72</v>
      </c>
      <c r="F67" s="34" t="n">
        <f aca="false">SUM('4.1.1'!F179:F181)/3</f>
        <v>78.4966666666667</v>
      </c>
      <c r="G67" s="34" t="n">
        <f aca="false">SUM('4.1.1'!G179:G181)/3</f>
        <v>20.1866666666667</v>
      </c>
      <c r="H67" s="34" t="n">
        <f aca="false">SUM('4.1.1'!H179:H181)/3</f>
        <v>20.6666666666667</v>
      </c>
      <c r="I67" s="36" t="n">
        <f aca="false">SUM('4.1.1'!I179:I181)/3</f>
        <v>38.6414989223128</v>
      </c>
      <c r="J67" s="36" t="n">
        <f aca="false">F67-E67</f>
        <v>1.77666666666664</v>
      </c>
      <c r="K67" s="36" t="n">
        <v>67.6313368721998</v>
      </c>
      <c r="L67" s="36" t="n">
        <v>105.924627885124</v>
      </c>
      <c r="M67" s="48" t="n">
        <v>183.266666666667</v>
      </c>
    </row>
    <row r="68" customFormat="false" ht="14.25" hidden="false" customHeight="true" outlineLevel="0" collapsed="false">
      <c r="A68" s="32" t="n">
        <v>2003</v>
      </c>
      <c r="B68" s="32" t="s">
        <v>81</v>
      </c>
      <c r="C68" s="34" t="n">
        <f aca="false">SUM('4.1.1'!C182:C184)/3</f>
        <v>80.2733333333333</v>
      </c>
      <c r="D68" s="34" t="n">
        <f aca="false">SUM('4.1.1'!D182:D184)/3</f>
        <v>81.5666666666667</v>
      </c>
      <c r="E68" s="34" t="n">
        <f aca="false">SUM('4.1.1'!E182:E184)/3</f>
        <v>76.1433333333333</v>
      </c>
      <c r="F68" s="34" t="n">
        <f aca="false">SUM('4.1.1'!F182:F184)/3</f>
        <v>78.57</v>
      </c>
      <c r="G68" s="34" t="n">
        <f aca="false">SUM('4.1.1'!G182:G184)/3</f>
        <v>15.68</v>
      </c>
      <c r="H68" s="34" t="n">
        <f aca="false">SUM('4.1.1'!H182:H184)/3</f>
        <v>17.05</v>
      </c>
      <c r="I68" s="36" t="n">
        <f aca="false">SUM('4.1.1'!I182:I184)/3</f>
        <v>31.1627085272818</v>
      </c>
      <c r="J68" s="36" t="n">
        <f aca="false">F68-E68</f>
        <v>2.42666666666668</v>
      </c>
      <c r="K68" s="36" t="n">
        <v>54.503529347368</v>
      </c>
      <c r="L68" s="36" t="n">
        <v>85.5765733935375</v>
      </c>
      <c r="M68" s="48" t="n">
        <v>147.8</v>
      </c>
    </row>
    <row r="69" customFormat="false" ht="14.25" hidden="false" customHeight="true" outlineLevel="0" collapsed="false">
      <c r="A69" s="32" t="n">
        <v>2003</v>
      </c>
      <c r="B69" s="32" t="s">
        <v>82</v>
      </c>
      <c r="C69" s="34" t="n">
        <f aca="false">SUM('4.1.1'!C185:C187)/3</f>
        <v>79.7233333333333</v>
      </c>
      <c r="D69" s="34" t="n">
        <f aca="false">SUM('4.1.1'!D185:D187)/3</f>
        <v>80.98</v>
      </c>
      <c r="E69" s="34" t="n">
        <f aca="false">SUM('4.1.1'!E185:E187)/3</f>
        <v>75.4333333333333</v>
      </c>
      <c r="F69" s="34" t="n">
        <f aca="false">SUM('4.1.1'!F185:F187)/3</f>
        <v>77.1466666666667</v>
      </c>
      <c r="G69" s="34" t="n">
        <f aca="false">SUM('4.1.1'!G185:G187)/3</f>
        <v>16.81</v>
      </c>
      <c r="H69" s="34" t="n">
        <f aca="false">SUM('4.1.1'!H185:H187)/3</f>
        <v>18.0066666666667</v>
      </c>
      <c r="I69" s="36" t="n">
        <f aca="false">SUM('4.1.1'!I185:I187)/3</f>
        <v>33.872741911409</v>
      </c>
      <c r="J69" s="36" t="n">
        <f aca="false">F69-E69</f>
        <v>1.71333333333334</v>
      </c>
      <c r="K69" s="36" t="n">
        <v>59.2805974367931</v>
      </c>
      <c r="L69" s="36" t="n">
        <v>92.9239861094991</v>
      </c>
      <c r="M69" s="48" t="n">
        <v>109.933333333333</v>
      </c>
    </row>
    <row r="70" customFormat="false" ht="14.25" hidden="false" customHeight="true" outlineLevel="0" collapsed="false">
      <c r="A70" s="32" t="n">
        <v>2003</v>
      </c>
      <c r="B70" s="32" t="s">
        <v>83</v>
      </c>
      <c r="C70" s="34" t="n">
        <f aca="false">SUM('4.1.1'!C188:C190)/3</f>
        <v>80.1633333333333</v>
      </c>
      <c r="D70" s="34" t="n">
        <f aca="false">SUM('4.1.1'!D188:D190)/3</f>
        <v>81.3433333333333</v>
      </c>
      <c r="E70" s="34" t="n">
        <f aca="false">SUM('4.1.1'!E188:E190)/3</f>
        <v>75.86</v>
      </c>
      <c r="F70" s="34" t="n">
        <f aca="false">SUM('4.1.1'!F188:F190)/3</f>
        <v>77.4633333333333</v>
      </c>
      <c r="G70" s="34" t="n">
        <f aca="false">SUM('4.1.1'!G188:G190)/3</f>
        <v>17.6066666666667</v>
      </c>
      <c r="H70" s="34" t="n">
        <f aca="false">SUM('4.1.1'!H188:H190)/3</f>
        <v>18.6033333333333</v>
      </c>
      <c r="I70" s="36" t="n">
        <f aca="false">SUM('4.1.1'!I188:I190)/3</f>
        <v>33.367321966632</v>
      </c>
      <c r="J70" s="36" t="n">
        <f aca="false">F70-E70</f>
        <v>1.60333333333332</v>
      </c>
      <c r="K70" s="36" t="n">
        <v>58.4047193199753</v>
      </c>
      <c r="L70" s="36" t="n">
        <v>91.6292992017173</v>
      </c>
      <c r="M70" s="37"/>
    </row>
    <row r="71" customFormat="false" ht="14.25" hidden="false" customHeight="true" outlineLevel="0" collapsed="false">
      <c r="A71" s="32" t="n">
        <v>2004</v>
      </c>
      <c r="B71" s="32" t="s">
        <v>80</v>
      </c>
      <c r="C71" s="34" t="n">
        <f aca="false">SUM('4.1.1'!C191:C193)/3</f>
        <v>80.2966666666667</v>
      </c>
      <c r="D71" s="34" t="n">
        <f aca="false">SUM('4.1.1'!D191:D193)/3</f>
        <v>81.7566666666667</v>
      </c>
      <c r="E71" s="34" t="n">
        <f aca="false">SUM('4.1.1'!E191:E193)/3</f>
        <v>76.57</v>
      </c>
      <c r="F71" s="34" t="n">
        <f aca="false">SUM('4.1.1'!F191:F193)/3</f>
        <v>78.15</v>
      </c>
      <c r="G71" s="34" t="n">
        <f aca="false">SUM('4.1.1'!G191:G193)/3</f>
        <v>18.01</v>
      </c>
      <c r="H71" s="34" t="n">
        <f aca="false">SUM('4.1.1'!H191:H193)/3</f>
        <v>18.4133333333333</v>
      </c>
      <c r="I71" s="36" t="n">
        <f aca="false">SUM('4.1.1'!I191:I193)/3</f>
        <v>33.0923907152479</v>
      </c>
      <c r="J71" s="36" t="n">
        <f aca="false">F71-E71</f>
        <v>1.58</v>
      </c>
      <c r="K71" s="36" t="n">
        <v>57.9439517592428</v>
      </c>
      <c r="L71" s="36" t="n">
        <v>90.8666666666667</v>
      </c>
      <c r="M71" s="37"/>
    </row>
    <row r="72" customFormat="false" ht="14.25" hidden="false" customHeight="true" outlineLevel="0" collapsed="false">
      <c r="A72" s="32" t="n">
        <v>2004</v>
      </c>
      <c r="B72" s="32" t="s">
        <v>81</v>
      </c>
      <c r="C72" s="34" t="n">
        <f aca="false">SUM('4.1.1'!C194:C196)/3</f>
        <v>83.5266666666667</v>
      </c>
      <c r="D72" s="34" t="n">
        <f aca="false">SUM('4.1.1'!D194:D196)/3</f>
        <v>85.2766666666667</v>
      </c>
      <c r="E72" s="34" t="n">
        <f aca="false">SUM('4.1.1'!E194:E196)/3</f>
        <v>80.1766666666667</v>
      </c>
      <c r="F72" s="34" t="n">
        <f aca="false">SUM('4.1.1'!F194:F196)/3</f>
        <v>81.4633333333333</v>
      </c>
      <c r="G72" s="34" t="n">
        <f aca="false">SUM('4.1.1'!G194:G196)/3</f>
        <v>19.7333333333333</v>
      </c>
      <c r="H72" s="34" t="n">
        <f aca="false">SUM('4.1.1'!H194:H196)/3</f>
        <v>20.3166666666667</v>
      </c>
      <c r="I72" s="36" t="n">
        <f aca="false">SUM('4.1.1'!I194:I196)/3</f>
        <v>37.508609515162</v>
      </c>
      <c r="J72" s="36" t="n">
        <f aca="false">F72-E72</f>
        <v>1.28666666666666</v>
      </c>
      <c r="K72" s="36" t="n">
        <v>65.6496423081412</v>
      </c>
      <c r="L72" s="36" t="n">
        <v>102.966666666667</v>
      </c>
      <c r="M72" s="37"/>
    </row>
    <row r="73" customFormat="false" ht="14.25" hidden="false" customHeight="true" outlineLevel="0" collapsed="false">
      <c r="A73" s="32" t="n">
        <v>2004</v>
      </c>
      <c r="B73" s="32" t="s">
        <v>82</v>
      </c>
      <c r="C73" s="34" t="n">
        <f aca="false">SUM('4.1.1'!C197:C199)/3</f>
        <v>85.4033333333334</v>
      </c>
      <c r="D73" s="34" t="n">
        <f aca="false">SUM('4.1.1'!D197:D199)/3</f>
        <v>86.5366666666667</v>
      </c>
      <c r="E73" s="34" t="n">
        <f aca="false">SUM('4.1.1'!E197:E199)/3</f>
        <v>80.9133333333333</v>
      </c>
      <c r="F73" s="34" t="n">
        <f aca="false">SUM('4.1.1'!F197:F199)/3</f>
        <v>82.13</v>
      </c>
      <c r="G73" s="34" t="n">
        <f aca="false">SUM('4.1.1'!G197:G199)/3</f>
        <v>22.37</v>
      </c>
      <c r="H73" s="34" t="n">
        <f aca="false">SUM('4.1.1'!H197:H199)/3</f>
        <v>22.9866666666667</v>
      </c>
      <c r="I73" s="36" t="n">
        <f aca="false">SUM('4.1.1'!I197:I199)/3</f>
        <v>43.5758200467521</v>
      </c>
      <c r="J73" s="36" t="n">
        <f aca="false">F73-E73</f>
        <v>1.21666666666665</v>
      </c>
      <c r="K73" s="36" t="n">
        <v>76.3153289120154</v>
      </c>
      <c r="L73" s="36" t="n">
        <v>119.666666666667</v>
      </c>
      <c r="M73" s="37"/>
    </row>
    <row r="74" customFormat="false" ht="14.25" hidden="false" customHeight="true" outlineLevel="0" collapsed="false">
      <c r="A74" s="32" t="n">
        <v>2004</v>
      </c>
      <c r="B74" s="32" t="s">
        <v>83</v>
      </c>
      <c r="C74" s="34" t="n">
        <f aca="false">SUM('4.1.1'!C200:C202)/3</f>
        <v>88.4466666666667</v>
      </c>
      <c r="D74" s="34" t="n">
        <f aca="false">SUM('4.1.1'!D200:D202)/3</f>
        <v>89.43</v>
      </c>
      <c r="E74" s="34" t="n">
        <f aca="false">SUM('4.1.1'!E200:E202)/3</f>
        <v>83.2366666666667</v>
      </c>
      <c r="F74" s="34" t="n">
        <f aca="false">SUM('4.1.1'!F200:F202)/3</f>
        <v>85.9066666666667</v>
      </c>
      <c r="G74" s="34" t="n">
        <f aca="false">SUM('4.1.1'!G200:G202)/3</f>
        <v>24.9433333333333</v>
      </c>
      <c r="H74" s="34" t="n">
        <f aca="false">SUM('4.1.1'!H200:H202)/3</f>
        <v>26.1233333333333</v>
      </c>
      <c r="I74" s="36" t="n">
        <f aca="false">SUM('4.1.1'!I200:I202)/3</f>
        <v>44.7507147162863</v>
      </c>
      <c r="J74" s="36" t="n">
        <f aca="false">F74-E74</f>
        <v>2.67000000000002</v>
      </c>
      <c r="K74" s="36" t="n">
        <v>78.3794876337351</v>
      </c>
      <c r="L74" s="36" t="n">
        <v>122.9</v>
      </c>
      <c r="M74" s="37"/>
    </row>
    <row r="75" customFormat="false" ht="14.25" hidden="false" customHeight="true" outlineLevel="0" collapsed="false">
      <c r="A75" s="32" t="n">
        <v>2005</v>
      </c>
      <c r="B75" s="32" t="s">
        <v>80</v>
      </c>
      <c r="C75" s="34" t="n">
        <f aca="false">SUM('4.1.1'!C203:C205)/3</f>
        <v>87.5533333333333</v>
      </c>
      <c r="D75" s="34" t="n">
        <f aca="false">SUM('4.1.1'!D203:D205)/3</f>
        <v>87.6166666666667</v>
      </c>
      <c r="E75" s="34" t="n">
        <f aca="false">SUM('4.1.1'!E203:E205)/3</f>
        <v>80.1266666666667</v>
      </c>
      <c r="F75" s="34" t="n">
        <f aca="false">SUM('4.1.1'!F203:F205)/3</f>
        <v>84.84</v>
      </c>
      <c r="G75" s="34" t="n">
        <f aca="false">SUM('4.1.1'!G203:G205)/3</f>
        <v>23.49</v>
      </c>
      <c r="H75" s="34" t="n">
        <f aca="false">SUM('4.1.1'!H203:H205)/3</f>
        <v>25.1666666666667</v>
      </c>
      <c r="I75" s="36" t="n">
        <f aca="false">SUM('4.1.1'!I203:I205)/3</f>
        <v>47.4906915665307</v>
      </c>
      <c r="J75" s="36" t="n">
        <f aca="false">F75-E75</f>
        <v>4.71333333333335</v>
      </c>
      <c r="K75" s="36" t="n">
        <v>83.1275506083256</v>
      </c>
      <c r="L75" s="36" t="n">
        <v>130.4</v>
      </c>
      <c r="M75" s="37"/>
    </row>
    <row r="76" customFormat="false" ht="14.25" hidden="false" customHeight="true" outlineLevel="0" collapsed="false">
      <c r="A76" s="32" t="n">
        <v>2005</v>
      </c>
      <c r="B76" s="32" t="s">
        <v>81</v>
      </c>
      <c r="C76" s="34" t="n">
        <f aca="false">SUM('4.1.1'!C206:C208)/3</f>
        <v>88.4066666666667</v>
      </c>
      <c r="D76" s="34" t="n">
        <f aca="false">SUM('4.1.1'!D206:D208)/3</f>
        <v>91.46</v>
      </c>
      <c r="E76" s="34" t="n">
        <f aca="false">SUM('4.1.1'!E206:E208)/3</f>
        <v>85.1266666666667</v>
      </c>
      <c r="F76" s="34" t="n">
        <f aca="false">SUM('4.1.1'!F206:F208)/3</f>
        <v>89.3533333333333</v>
      </c>
      <c r="G76" s="34" t="n">
        <f aca="false">SUM('4.1.1'!G206:G208)/3</f>
        <v>28.03</v>
      </c>
      <c r="H76" s="34" t="n">
        <f aca="false">SUM('4.1.1'!H206:H208)/3</f>
        <v>28.7233333333333</v>
      </c>
      <c r="I76" s="36" t="n">
        <f aca="false">SUM('4.1.1'!I206:I208)/3</f>
        <v>52.2487880630759</v>
      </c>
      <c r="J76" s="36" t="n">
        <f aca="false">F76-E76</f>
        <v>4.22666666666667</v>
      </c>
      <c r="K76" s="36" t="n">
        <v>91.5667330557472</v>
      </c>
      <c r="L76" s="36" t="n">
        <v>143.466666666667</v>
      </c>
      <c r="M76" s="37"/>
    </row>
    <row r="77" customFormat="false" ht="14.25" hidden="false" customHeight="true" outlineLevel="0" collapsed="false">
      <c r="A77" s="32" t="n">
        <v>2005</v>
      </c>
      <c r="B77" s="32" t="s">
        <v>82</v>
      </c>
      <c r="C77" s="64"/>
      <c r="D77" s="34" t="n">
        <f aca="false">SUM('4.1.1'!D209:D211)/3</f>
        <v>96.96</v>
      </c>
      <c r="E77" s="34" t="n">
        <f aca="false">SUM('4.1.1'!E209:E211)/3</f>
        <v>91.1433333333333</v>
      </c>
      <c r="F77" s="34" t="n">
        <f aca="false">SUM('4.1.1'!F209:F211)/3</f>
        <v>94.78</v>
      </c>
      <c r="G77" s="34" t="n">
        <f aca="false">SUM('4.1.1'!G209:G211)/3</f>
        <v>32.4133333333333</v>
      </c>
      <c r="H77" s="34" t="n">
        <f aca="false">SUM('4.1.1'!H209:H211)/3</f>
        <v>33.9833333333333</v>
      </c>
      <c r="I77" s="36" t="n">
        <f aca="false">SUM('4.1.1'!I209:I211)/3</f>
        <v>65.8803518717877</v>
      </c>
      <c r="J77" s="36" t="n">
        <f aca="false">F77-E77</f>
        <v>3.63666666666666</v>
      </c>
      <c r="K77" s="36" t="n">
        <v>115.31786887861</v>
      </c>
      <c r="L77" s="36" t="n">
        <v>180.9</v>
      </c>
      <c r="M77" s="37"/>
    </row>
    <row r="78" customFormat="false" ht="14.25" hidden="false" customHeight="true" outlineLevel="0" collapsed="false">
      <c r="A78" s="32" t="n">
        <v>2005</v>
      </c>
      <c r="B78" s="32" t="s">
        <v>83</v>
      </c>
      <c r="C78" s="64"/>
      <c r="D78" s="34" t="n">
        <f aca="false">SUM('4.1.1'!D212:D214)/3</f>
        <v>97.58</v>
      </c>
      <c r="E78" s="34" t="n">
        <f aca="false">SUM('4.1.1'!E212:E214)/3</f>
        <v>90.5833333333333</v>
      </c>
      <c r="F78" s="34" t="n">
        <f aca="false">SUM('4.1.1'!F212:F214)/3</f>
        <v>94.4666666666667</v>
      </c>
      <c r="G78" s="34" t="n">
        <f aca="false">SUM('4.1.1'!G212:G214)/3</f>
        <v>32.1933333333333</v>
      </c>
      <c r="H78" s="34" t="n">
        <f aca="false">SUM('4.1.1'!H212:H214)/3</f>
        <v>34.2433333333333</v>
      </c>
      <c r="I78" s="36" t="n">
        <f aca="false">SUM('4.1.1'!I212:I214)/3</f>
        <v>62.834386922244</v>
      </c>
      <c r="J78" s="36" t="n">
        <f aca="false">F78-E78</f>
        <v>3.88333333333333</v>
      </c>
      <c r="K78" s="36" t="n">
        <v>109.988129884987</v>
      </c>
      <c r="L78" s="36" t="n">
        <v>172.5</v>
      </c>
      <c r="M78" s="37"/>
    </row>
    <row r="79" customFormat="false" ht="14.25" hidden="false" customHeight="true" outlineLevel="0" collapsed="false">
      <c r="A79" s="32" t="n">
        <v>2006</v>
      </c>
      <c r="B79" s="32" t="s">
        <v>80</v>
      </c>
      <c r="C79" s="64"/>
      <c r="D79" s="34" t="n">
        <f aca="false">SUM('4.1.1'!D215:D217)/3</f>
        <v>96.0466666666667</v>
      </c>
      <c r="E79" s="34" t="n">
        <f aca="false">SUM('4.1.1'!E215:E217)/3</f>
        <v>89.2433333333333</v>
      </c>
      <c r="F79" s="34" t="n">
        <f aca="false">SUM('4.1.1'!F215:F217)/3</f>
        <v>93.4933333333333</v>
      </c>
      <c r="G79" s="34" t="n">
        <f aca="false">SUM('4.1.1'!G215:G217)/3</f>
        <v>31.9533333333333</v>
      </c>
      <c r="H79" s="34" t="n">
        <f aca="false">SUM('4.1.1'!H215:H217)/3</f>
        <v>33.8233333333333</v>
      </c>
      <c r="I79" s="36" t="n">
        <f aca="false">SUM('4.1.1'!I215:I217)/3</f>
        <v>67.2597412129107</v>
      </c>
      <c r="J79" s="36" t="n">
        <f aca="false">F79-E79</f>
        <v>4.25</v>
      </c>
      <c r="K79" s="36" t="n">
        <v>117.780747096257</v>
      </c>
      <c r="L79" s="36" t="n">
        <v>184.666666666667</v>
      </c>
      <c r="M79" s="37"/>
    </row>
    <row r="80" customFormat="false" ht="14.25" hidden="false" customHeight="true" outlineLevel="0" collapsed="false">
      <c r="A80" s="32" t="n">
        <v>2006</v>
      </c>
      <c r="B80" s="32" t="s">
        <v>81</v>
      </c>
      <c r="C80" s="64"/>
      <c r="D80" s="34" t="n">
        <f aca="false">SUM('4.1.1'!D218:D220)/3</f>
        <v>101.046666666667</v>
      </c>
      <c r="E80" s="34" t="n">
        <f aca="false">SUM('4.1.1'!E218:E220)/3</f>
        <v>95.1866666666667</v>
      </c>
      <c r="F80" s="34" t="n">
        <f aca="false">SUM('4.1.1'!F218:F220)/3</f>
        <v>97.9066666666667</v>
      </c>
      <c r="G80" s="34" t="n">
        <f aca="false">SUM('4.1.1'!G218:G220)/3</f>
        <v>33.66</v>
      </c>
      <c r="H80" s="34" t="n">
        <f aca="false">SUM('4.1.1'!H218:H220)/3</f>
        <v>35.8666666666667</v>
      </c>
      <c r="I80" s="36" t="n">
        <f aca="false">SUM('4.1.1'!I218:I220)/3</f>
        <v>72.4536174270746</v>
      </c>
      <c r="J80" s="36" t="n">
        <f aca="false">F80-E80</f>
        <v>2.72000000000001</v>
      </c>
      <c r="K80" s="36" t="n">
        <v>126.859320670622</v>
      </c>
      <c r="L80" s="36" t="n">
        <v>198.933333333333</v>
      </c>
      <c r="M80" s="37"/>
    </row>
    <row r="81" customFormat="false" ht="14.25" hidden="false" customHeight="true" outlineLevel="0" collapsed="false">
      <c r="A81" s="32" t="n">
        <v>2006</v>
      </c>
      <c r="B81" s="32" t="s">
        <v>82</v>
      </c>
      <c r="C81" s="64"/>
      <c r="D81" s="34" t="n">
        <f aca="false">SUM('4.1.1'!D221:D223)/3</f>
        <v>100.783333333333</v>
      </c>
      <c r="E81" s="34" t="n">
        <f aca="false">SUM('4.1.1'!E221:E223)/3</f>
        <v>94.6</v>
      </c>
      <c r="F81" s="34" t="n">
        <f aca="false">SUM('4.1.1'!F221:F223)/3</f>
        <v>97.4966666666667</v>
      </c>
      <c r="G81" s="34" t="n">
        <f aca="false">SUM('4.1.1'!G221:G223)/3</f>
        <v>36.84</v>
      </c>
      <c r="H81" s="34" t="n">
        <f aca="false">SUM('4.1.1'!H221:H223)/3</f>
        <v>40.4233333333333</v>
      </c>
      <c r="I81" s="36" t="n">
        <f aca="false">SUM('4.1.1'!I221:I223)/3</f>
        <v>71.2582499734976</v>
      </c>
      <c r="J81" s="36" t="n">
        <f aca="false">F81-E81</f>
        <v>2.89666666666669</v>
      </c>
      <c r="K81" s="36" t="n">
        <v>124.686765812909</v>
      </c>
      <c r="L81" s="36" t="n">
        <v>195.666666666667</v>
      </c>
      <c r="M81" s="37"/>
    </row>
    <row r="82" customFormat="false" ht="14.25" hidden="false" customHeight="true" outlineLevel="0" collapsed="false">
      <c r="A82" s="32" t="n">
        <v>2006</v>
      </c>
      <c r="B82" s="32" t="s">
        <v>83</v>
      </c>
      <c r="C82" s="64"/>
      <c r="D82" s="34" t="n">
        <f aca="false">SUM('4.1.1'!D224:D226)/3</f>
        <v>94.3166666666667</v>
      </c>
      <c r="E82" s="34" t="n">
        <f aca="false">SUM('4.1.1'!E224:E226)/3</f>
        <v>86.2466666666667</v>
      </c>
      <c r="F82" s="34" t="n">
        <f aca="false">SUM('4.1.1'!F224:F226)/3</f>
        <v>91.94</v>
      </c>
      <c r="G82" s="34" t="n">
        <f aca="false">SUM('4.1.1'!G224:G226)/3</f>
        <v>32.1833333333333</v>
      </c>
      <c r="H82" s="34" t="n">
        <f aca="false">SUM('4.1.1'!H224:H226)/3</f>
        <v>36.2033333333333</v>
      </c>
      <c r="I82" s="36" t="n">
        <f aca="false">SUM('4.1.1'!I224:I226)/3</f>
        <v>59.6694112508544</v>
      </c>
      <c r="J82" s="36" t="n">
        <f aca="false">F82-E82</f>
        <v>5.69333333333333</v>
      </c>
      <c r="K82" s="36" t="n">
        <v>104.440114530112</v>
      </c>
      <c r="L82" s="36" t="n">
        <v>163.825976141638</v>
      </c>
      <c r="M82" s="37"/>
    </row>
    <row r="83" customFormat="false" ht="14.25" hidden="false" customHeight="true" outlineLevel="0" collapsed="false">
      <c r="A83" s="32" t="n">
        <v>2007</v>
      </c>
      <c r="B83" s="32" t="s">
        <v>80</v>
      </c>
      <c r="C83" s="64"/>
      <c r="D83" s="34" t="n">
        <f aca="false">SUM('4.1.1'!D227:D229)/3</f>
        <v>94.94</v>
      </c>
      <c r="E83" s="34" t="n">
        <f aca="false">SUM('4.1.1'!E227:E229)/3</f>
        <v>87.1566666666667</v>
      </c>
      <c r="F83" s="34" t="n">
        <f aca="false">SUM('4.1.1'!F227:F229)/3</f>
        <v>91.26</v>
      </c>
      <c r="G83" s="34" t="n">
        <f aca="false">SUM('4.1.1'!G227:G229)/3</f>
        <v>31.0533333333333</v>
      </c>
      <c r="H83" s="34" t="n">
        <f aca="false">SUM('4.1.1'!H227:H229)/3</f>
        <v>34.7566666666667</v>
      </c>
      <c r="I83" s="36" t="n">
        <f aca="false">SUM('4.1.1'!I227:I229)/3</f>
        <v>57.0570243782913</v>
      </c>
      <c r="J83" s="36" t="n">
        <f aca="false">F83-E83</f>
        <v>4.10333333333334</v>
      </c>
      <c r="K83" s="36" t="n">
        <v>99.9406901506501</v>
      </c>
      <c r="L83" s="36" t="n">
        <v>156.659089727387</v>
      </c>
      <c r="M83" s="37"/>
    </row>
    <row r="84" customFormat="false" ht="14.25" hidden="false" customHeight="true" outlineLevel="0" collapsed="false">
      <c r="A84" s="32" t="n">
        <v>2007</v>
      </c>
      <c r="B84" s="32" t="s">
        <v>81</v>
      </c>
      <c r="C84" s="64"/>
      <c r="D84" s="34" t="n">
        <f aca="false">SUM('4.1.1'!D230:D232)/3</f>
        <v>100.343333333333</v>
      </c>
      <c r="E84" s="34" t="n">
        <f aca="false">SUM('4.1.1'!E230:E232)/3</f>
        <v>94.47</v>
      </c>
      <c r="F84" s="34" t="n">
        <f aca="false">SUM('4.1.1'!F230:F232)/3</f>
        <v>96.0533333333333</v>
      </c>
      <c r="G84" s="34" t="n">
        <f aca="false">SUM('4.1.1'!G230:G232)/3</f>
        <v>33.7866666666667</v>
      </c>
      <c r="H84" s="34" t="n">
        <f aca="false">SUM('4.1.1'!H230:H232)/3</f>
        <v>38.36</v>
      </c>
      <c r="I84" s="36" t="n">
        <f aca="false">SUM('4.1.1'!I230:I232)/3</f>
        <v>66.904300222327</v>
      </c>
      <c r="J84" s="36" t="n">
        <f aca="false">F84-E84</f>
        <v>1.58333333333334</v>
      </c>
      <c r="K84" s="36" t="n">
        <v>117.079863480174</v>
      </c>
      <c r="L84" s="36" t="n">
        <v>183.688364579593</v>
      </c>
      <c r="M84" s="37"/>
    </row>
    <row r="85" customFormat="false" ht="14.25" hidden="false" customHeight="true" outlineLevel="0" collapsed="false">
      <c r="A85" s="32" t="n">
        <v>2007</v>
      </c>
      <c r="B85" s="32" t="s">
        <v>82</v>
      </c>
      <c r="C85" s="64"/>
      <c r="D85" s="34" t="n">
        <f aca="false">SUM('4.1.1'!D233:D235)/3</f>
        <v>101.346666666667</v>
      </c>
      <c r="E85" s="34" t="n">
        <f aca="false">SUM('4.1.1'!E233:E235)/3</f>
        <v>95.4</v>
      </c>
      <c r="F85" s="34" t="n">
        <f aca="false">SUM('4.1.1'!F233:F235)/3</f>
        <v>96.4966666666667</v>
      </c>
      <c r="G85" s="34" t="n">
        <f aca="false">SUM('4.1.1'!G233:G235)/3</f>
        <v>34.91</v>
      </c>
      <c r="H85" s="34" t="n">
        <f aca="false">SUM('4.1.1'!H233:H235)/3</f>
        <v>40</v>
      </c>
      <c r="I85" s="36" t="n">
        <f aca="false">SUM('4.1.1'!I233:I235)/3</f>
        <v>72.2103276916314</v>
      </c>
      <c r="J85" s="36" t="n">
        <f aca="false">F85-E85</f>
        <v>1.09666666666668</v>
      </c>
      <c r="K85" s="36" t="n">
        <v>126.236279063982</v>
      </c>
      <c r="L85" s="36" t="n">
        <v>198.233333333333</v>
      </c>
      <c r="M85" s="37"/>
    </row>
    <row r="86" customFormat="false" ht="14.25" hidden="false" customHeight="true" outlineLevel="0" collapsed="false">
      <c r="A86" s="32" t="n">
        <v>2007</v>
      </c>
      <c r="B86" s="32" t="s">
        <v>83</v>
      </c>
      <c r="C86" s="64"/>
      <c r="D86" s="34" t="n">
        <f aca="false">SUM('4.1.1'!D236:D238)/3</f>
        <v>104.956666666667</v>
      </c>
      <c r="E86" s="34" t="n">
        <f aca="false">SUM('4.1.1'!E236:E238)/3</f>
        <v>99.95</v>
      </c>
      <c r="F86" s="34" t="n">
        <f aca="false">SUM('4.1.1'!F236:F238)/3</f>
        <v>103.583333333333</v>
      </c>
      <c r="G86" s="34" t="n">
        <f aca="false">SUM('4.1.1'!G236:G238)/3</f>
        <v>40.3833333333333</v>
      </c>
      <c r="H86" s="34" t="n">
        <f aca="false">SUM('4.1.1'!H236:H238)/3</f>
        <v>46.9833333333333</v>
      </c>
      <c r="I86" s="36" t="n">
        <f aca="false">SUM('4.1.1'!I236:I238)/3</f>
        <v>84.1895113555472</v>
      </c>
      <c r="J86" s="36" t="n">
        <f aca="false">F86-E86</f>
        <v>3.63333333333333</v>
      </c>
      <c r="K86" s="36" t="n">
        <v>147.149604463197</v>
      </c>
      <c r="L86" s="36" t="n">
        <v>231.166666666667</v>
      </c>
      <c r="M86" s="37"/>
    </row>
    <row r="87" customFormat="false" ht="14.25" hidden="false" customHeight="true" outlineLevel="0" collapsed="false">
      <c r="A87" s="32" t="n">
        <v>2008</v>
      </c>
      <c r="B87" s="32" t="s">
        <v>80</v>
      </c>
      <c r="C87" s="64"/>
      <c r="D87" s="34" t="n">
        <f aca="false">SUM('4.1.1'!D239:D241)/3</f>
        <v>111.306666666667</v>
      </c>
      <c r="E87" s="34" t="n">
        <f aca="false">SUM('4.1.1'!E239:E241)/3</f>
        <v>104.523333333333</v>
      </c>
      <c r="F87" s="34" t="n">
        <f aca="false">SUM('4.1.1'!F239:F241)/3</f>
        <v>110.233333333333</v>
      </c>
      <c r="G87" s="34" t="n">
        <f aca="false">SUM('4.1.1'!G239:G241)/3</f>
        <v>45.2566666666667</v>
      </c>
      <c r="H87" s="34" t="n">
        <f aca="false">SUM('4.1.1'!H239:H241)/3</f>
        <v>52.86</v>
      </c>
      <c r="I87" s="36" t="n">
        <f aca="false">SUM('4.1.1'!I239:I241)/3</f>
        <v>94.9019234642718</v>
      </c>
      <c r="J87" s="36" t="n">
        <f aca="false">F87-E87</f>
        <v>5.71000000000002</v>
      </c>
      <c r="K87" s="36" t="n">
        <v>166.063196655288</v>
      </c>
      <c r="L87" s="36" t="n">
        <v>260.2</v>
      </c>
      <c r="M87" s="37"/>
    </row>
    <row r="88" customFormat="false" ht="14.25" hidden="false" customHeight="true" outlineLevel="0" collapsed="false">
      <c r="A88" s="32" t="n">
        <v>2008</v>
      </c>
      <c r="B88" s="32" t="s">
        <v>81</v>
      </c>
      <c r="C88" s="64"/>
      <c r="D88" s="34" t="n">
        <f aca="false">SUM('4.1.1'!D242:D244)/3</f>
        <v>118.296666666667</v>
      </c>
      <c r="E88" s="34" t="n">
        <f aca="false">SUM('4.1.1'!E242:E244)/3</f>
        <v>112.58</v>
      </c>
      <c r="F88" s="34" t="n">
        <f aca="false">SUM('4.1.1'!F242:F244)/3</f>
        <v>123.78</v>
      </c>
      <c r="G88" s="34" t="n">
        <f aca="false">SUM('4.1.1'!G242:G244)/3</f>
        <v>58.4233333333333</v>
      </c>
      <c r="H88" s="34" t="n">
        <f aca="false">SUM('4.1.1'!H242:H244)/3</f>
        <v>65.3466666666667</v>
      </c>
      <c r="I88" s="36" t="n">
        <f aca="false">SUM('4.1.1'!I242:I244)/3</f>
        <v>119.393142924831</v>
      </c>
      <c r="J88" s="36" t="n">
        <f aca="false">F88-E88</f>
        <v>11.2</v>
      </c>
      <c r="K88" s="36" t="n">
        <v>208.858182653483</v>
      </c>
      <c r="L88" s="36" t="n">
        <v>327.433333333333</v>
      </c>
      <c r="M88" s="37"/>
    </row>
    <row r="89" customFormat="false" ht="14.25" hidden="false" customHeight="true" outlineLevel="0" collapsed="false">
      <c r="A89" s="32" t="n">
        <v>2008</v>
      </c>
      <c r="B89" s="32" t="s">
        <v>82</v>
      </c>
      <c r="C89" s="64"/>
      <c r="D89" s="34" t="n">
        <f aca="false">SUM('4.1.1'!D245:D247)/3</f>
        <v>120.966666666667</v>
      </c>
      <c r="E89" s="34" t="n">
        <f aca="false">SUM('4.1.1'!E245:E247)/3</f>
        <v>114.66</v>
      </c>
      <c r="F89" s="34" t="n">
        <f aca="false">SUM('4.1.1'!F245:F247)/3</f>
        <v>126.95</v>
      </c>
      <c r="G89" s="34" t="n">
        <f aca="false">SUM('4.1.1'!G245:G247)/3</f>
        <v>57.91</v>
      </c>
      <c r="H89" s="34" t="n">
        <f aca="false">SUM('4.1.1'!H245:H247)/3</f>
        <v>64.7166666666667</v>
      </c>
      <c r="I89" s="34" t="n">
        <f aca="false">SUM('4.1.1'!I245:I247)/3</f>
        <v>118.257504932226</v>
      </c>
      <c r="J89" s="36" t="n">
        <f aca="false">F89-E89</f>
        <v>12.29</v>
      </c>
      <c r="K89" s="34" t="n">
        <v>206.473373374171</v>
      </c>
      <c r="L89" s="36" t="n">
        <v>323.052587600279</v>
      </c>
      <c r="M89" s="37"/>
    </row>
    <row r="90" customFormat="false" ht="14.25" hidden="false" customHeight="true" outlineLevel="0" collapsed="false">
      <c r="A90" s="32" t="n">
        <v>2008</v>
      </c>
      <c r="B90" s="32" t="s">
        <v>83</v>
      </c>
      <c r="C90" s="64"/>
      <c r="D90" s="34" t="n">
        <f aca="false">SUM('4.1.1'!D248:D250)/3</f>
        <v>103.306666666667</v>
      </c>
      <c r="E90" s="34" t="n">
        <f aca="false">SUM('4.1.1'!E248:E250)/3</f>
        <v>96.54</v>
      </c>
      <c r="F90" s="34" t="n">
        <f aca="false">SUM('4.1.1'!F248:F250)/3</f>
        <v>109.08</v>
      </c>
      <c r="G90" s="34" t="n">
        <f aca="false">SUM('4.1.1'!G248:G250)/3</f>
        <v>42.5966666666667</v>
      </c>
      <c r="H90" s="34" t="n">
        <f aca="false">SUM('4.1.1'!H248:H250)/3</f>
        <v>50.7433333333333</v>
      </c>
      <c r="I90" s="34" t="n">
        <f aca="false">SUM('4.1.1'!I248:I250)/3</f>
        <v>69.0856177305784</v>
      </c>
      <c r="J90" s="36" t="n">
        <f aca="false">F90-E90</f>
        <v>12.54</v>
      </c>
      <c r="K90" s="34" t="n">
        <v>120.7402531472</v>
      </c>
      <c r="L90" s="36" t="n">
        <v>188.590283593126</v>
      </c>
      <c r="M90" s="37"/>
    </row>
    <row r="91" customFormat="false" ht="14.25" hidden="false" customHeight="true" outlineLevel="0" collapsed="false">
      <c r="A91" s="32" t="n">
        <v>2009</v>
      </c>
      <c r="B91" s="32" t="s">
        <v>80</v>
      </c>
      <c r="C91" s="64"/>
      <c r="D91" s="34" t="n">
        <f aca="false">SUM('4.1.1'!D251:D253)/3</f>
        <v>95.37</v>
      </c>
      <c r="E91" s="34" t="n">
        <f aca="false">SUM('4.1.1'!E251:E253)/3</f>
        <v>88.59</v>
      </c>
      <c r="F91" s="34" t="n">
        <f aca="false">SUM('4.1.1'!F251:F253)/3</f>
        <v>99.6266666666667</v>
      </c>
      <c r="G91" s="34" t="n">
        <f aca="false">SUM('4.1.1'!G251:G253)/3</f>
        <v>33.9</v>
      </c>
      <c r="H91" s="34" t="n">
        <f aca="false">SUM('4.1.1'!H251:H253)/3</f>
        <v>41.77</v>
      </c>
      <c r="I91" s="34" t="n">
        <f aca="false">SUM('4.1.1'!I251:I253)/3</f>
        <v>59.1826904791186</v>
      </c>
      <c r="J91" s="36" t="n">
        <f aca="false">F91-E91</f>
        <v>11.0366666666667</v>
      </c>
      <c r="K91" s="34" t="n">
        <v>103.5909495947</v>
      </c>
      <c r="L91" s="36" t="n">
        <v>162.204575310805</v>
      </c>
      <c r="M91" s="37"/>
    </row>
    <row r="92" customFormat="false" ht="14.25" hidden="false" customHeight="true" outlineLevel="0" collapsed="false">
      <c r="A92" s="32" t="n">
        <v>2009</v>
      </c>
      <c r="B92" s="32" t="s">
        <v>81</v>
      </c>
      <c r="C92" s="64"/>
      <c r="D92" s="34" t="n">
        <f aca="false">SUM('4.1.1'!D254:D256)/3</f>
        <v>103.54</v>
      </c>
      <c r="E92" s="34" t="n">
        <f aca="false">SUM('4.1.1'!E254:E256)/3</f>
        <v>97.4666666666667</v>
      </c>
      <c r="F92" s="34" t="n">
        <f aca="false">SUM('4.1.1'!F254:F256)/3</f>
        <v>103.08</v>
      </c>
      <c r="G92" s="34" t="n">
        <f aca="false">SUM('4.1.1'!G254:G256)/3</f>
        <v>34.6033333333333</v>
      </c>
      <c r="H92" s="34" t="n">
        <f aca="false">SUM('4.1.1'!H254:H256)/3</f>
        <v>42.2833333333333</v>
      </c>
      <c r="I92" s="34" t="n">
        <f aca="false">SUM('4.1.1'!I254:I256)/3</f>
        <v>72.5654954821113</v>
      </c>
      <c r="J92" s="36" t="n">
        <f aca="false">F92-E92</f>
        <v>5.61333333333334</v>
      </c>
      <c r="K92" s="34" t="n">
        <v>127.051695734353</v>
      </c>
      <c r="L92" s="36" t="n">
        <v>199.295925361462</v>
      </c>
      <c r="M92" s="37"/>
    </row>
    <row r="93" customFormat="false" ht="14.25" hidden="false" customHeight="true" outlineLevel="0" collapsed="false">
      <c r="A93" s="32" t="n">
        <v>2009</v>
      </c>
      <c r="B93" s="32" t="s">
        <v>82</v>
      </c>
      <c r="C93" s="64"/>
      <c r="D93" s="34" t="n">
        <f aca="false">SUM('4.1.1'!D257:D259)/3</f>
        <v>110.436666666667</v>
      </c>
      <c r="E93" s="34" t="n">
        <f aca="false">SUM('4.1.1'!E257:E259)/3</f>
        <v>104.106666666667</v>
      </c>
      <c r="F93" s="34" t="n">
        <f aca="false">SUM('4.1.1'!F257:F259)/3</f>
        <v>104.9</v>
      </c>
      <c r="G93" s="34" t="n">
        <f aca="false">SUM('4.1.1'!G257:G259)/3</f>
        <v>36.8166666666667</v>
      </c>
      <c r="H93" s="34" t="n">
        <f aca="false">SUM('4.1.1'!H257:H259)/3</f>
        <v>44.33</v>
      </c>
      <c r="I93" s="34" t="n">
        <f aca="false">SUM('4.1.1'!I257:I259)/3</f>
        <v>81.1464948873734</v>
      </c>
      <c r="J93" s="36" t="n">
        <f aca="false">F93-E93</f>
        <v>0.793333333333322</v>
      </c>
      <c r="K93" s="34" t="n">
        <v>141.962317809701</v>
      </c>
      <c r="L93" s="36" t="n">
        <v>222.428762632656</v>
      </c>
      <c r="M93" s="37"/>
    </row>
    <row r="94" customFormat="false" ht="14.25" hidden="false" customHeight="true" outlineLevel="0" collapsed="false">
      <c r="A94" s="32" t="n">
        <v>2009</v>
      </c>
      <c r="B94" s="32" t="s">
        <v>86</v>
      </c>
      <c r="C94" s="64"/>
      <c r="D94" s="34" t="n">
        <f aca="false">SUM('4.1.1'!D260:D262)/3</f>
        <v>113.499842784609</v>
      </c>
      <c r="E94" s="34" t="n">
        <f aca="false">SUM('4.1.1'!E260:E262)/3</f>
        <v>106.995007333333</v>
      </c>
      <c r="F94" s="34" t="n">
        <f aca="false">SUM('4.1.1'!F260:F262)/3</f>
        <v>108.113045184557</v>
      </c>
      <c r="G94" s="34" t="n">
        <f aca="false">SUM('4.1.1'!G260:G262)/3</f>
        <v>39.2608662046908</v>
      </c>
      <c r="H94" s="34" t="n">
        <f aca="false">SUM('4.1.1'!H260:H262)/3</f>
        <v>47.5987635629574</v>
      </c>
      <c r="I94" s="34" t="n">
        <f aca="false">SUM('4.1.1'!I260:I262)/3</f>
        <v>88.6993484349368</v>
      </c>
      <c r="J94" s="36" t="n">
        <f aca="false">F94-E94</f>
        <v>1.11803785122331</v>
      </c>
      <c r="K94" s="34" t="n">
        <v>155.185023508099</v>
      </c>
      <c r="L94" s="36" t="n">
        <v>242.287479258337</v>
      </c>
      <c r="M94" s="37"/>
    </row>
    <row r="95" customFormat="false" ht="14.25" hidden="false" customHeight="true" outlineLevel="0" collapsed="false">
      <c r="A95" s="32" t="n">
        <v>2010</v>
      </c>
      <c r="B95" s="32" t="s">
        <v>80</v>
      </c>
      <c r="C95" s="64"/>
      <c r="D95" s="34" t="n">
        <f aca="false">SUM('4.1.1'!D263:D265)/3</f>
        <v>119.642867864617</v>
      </c>
      <c r="E95" s="34" t="n">
        <f aca="false">SUM('4.1.1'!E263:E265)/3</f>
        <v>112.867847</v>
      </c>
      <c r="F95" s="34" t="n">
        <f aca="false">SUM('4.1.1'!F263:F265)/3</f>
        <v>114.300189152878</v>
      </c>
      <c r="G95" s="34" t="n">
        <f aca="false">SUM('4.1.1'!G263:G265)/3</f>
        <v>43.602052238806</v>
      </c>
      <c r="H95" s="34" t="n">
        <f aca="false">SUM('4.1.1'!H263:H265)/3</f>
        <v>51.0621239320861</v>
      </c>
      <c r="I95" s="34" t="n">
        <f aca="false">SUM('4.1.1'!I263:I265)/3</f>
        <v>95.4304801264611</v>
      </c>
      <c r="J95" s="36" t="n">
        <f aca="false">F95-E95</f>
        <v>1.43234215287796</v>
      </c>
      <c r="K95" s="36" t="n">
        <v>167.063050636235</v>
      </c>
      <c r="L95" s="64"/>
      <c r="M95" s="37"/>
    </row>
    <row r="96" customFormat="false" ht="14.25" hidden="false" customHeight="true" outlineLevel="0" collapsed="false">
      <c r="A96" s="32" t="n">
        <v>2010</v>
      </c>
      <c r="B96" s="32" t="s">
        <v>81</v>
      </c>
      <c r="C96" s="64"/>
      <c r="D96" s="34" t="n">
        <f aca="false">SUM('4.1.1'!D266:D268)/3</f>
        <v>126.010298765967</v>
      </c>
      <c r="E96" s="34" t="n">
        <f aca="false">SUM('4.1.1'!E266:E268)/3</f>
        <v>119.561018333333</v>
      </c>
      <c r="F96" s="34" t="n">
        <f aca="false">SUM('4.1.1'!F266:F268)/3</f>
        <v>121.285312544195</v>
      </c>
      <c r="G96" s="34" t="n">
        <f aca="false">SUM('4.1.1'!G266:G268)/3</f>
        <v>46.9494198649609</v>
      </c>
      <c r="H96" s="34" t="n">
        <f aca="false">SUM('4.1.1'!H266:H268)/3</f>
        <v>55.6313676507696</v>
      </c>
      <c r="I96" s="34" t="n">
        <f aca="false">SUM('4.1.1'!I266:I268)/3</f>
        <v>101.44341828633</v>
      </c>
      <c r="J96" s="36" t="n">
        <f aca="false">F96-E96</f>
        <v>1.72429421086127</v>
      </c>
      <c r="K96" s="36" t="n">
        <v>177.457494941062</v>
      </c>
      <c r="L96" s="64"/>
      <c r="M96" s="37"/>
    </row>
    <row r="97" customFormat="false" ht="14.25" hidden="false" customHeight="true" outlineLevel="0" collapsed="false">
      <c r="A97" s="32" t="n">
        <v>2010</v>
      </c>
      <c r="B97" s="32" t="s">
        <v>82</v>
      </c>
      <c r="C97" s="64"/>
      <c r="D97" s="34" t="n">
        <f aca="false">SUM('4.1.1'!D269:D271)/3</f>
        <v>123.188373385293</v>
      </c>
      <c r="E97" s="34" t="n">
        <f aca="false">SUM('4.1.1'!E269:E271)/3</f>
        <v>116.011186</v>
      </c>
      <c r="F97" s="34" t="n">
        <f aca="false">SUM('4.1.1'!F269:F271)/3</f>
        <v>118.509238438693</v>
      </c>
      <c r="G97" s="34" t="n">
        <f aca="false">SUM('4.1.1'!G269:G271)/3</f>
        <v>43.8550279850746</v>
      </c>
      <c r="H97" s="34" t="n">
        <f aca="false">SUM('4.1.1'!H269:H271)/3</f>
        <v>53.0673173281425</v>
      </c>
      <c r="I97" s="34" t="n">
        <f aca="false">SUM('4.1.1'!I269:I271)/3</f>
        <v>96.8845914880073</v>
      </c>
      <c r="J97" s="36" t="n">
        <f aca="false">F97-E97</f>
        <v>2.49805243869326</v>
      </c>
      <c r="K97" s="36" t="n">
        <v>169.499233811927</v>
      </c>
      <c r="L97" s="64"/>
      <c r="M97" s="37"/>
    </row>
    <row r="98" customFormat="false" ht="14.25" hidden="false" customHeight="true" outlineLevel="0" collapsed="false">
      <c r="A98" s="32" t="n">
        <v>2010</v>
      </c>
      <c r="B98" s="32" t="s">
        <v>86</v>
      </c>
      <c r="C98" s="64"/>
      <c r="D98" s="34" t="n">
        <f aca="false">SUM('4.1.1'!D272:D274)/3</f>
        <v>126.492580645161</v>
      </c>
      <c r="E98" s="34" t="n">
        <f aca="false">SUM('4.1.1'!E272:E274)/3</f>
        <v>119.170232666667</v>
      </c>
      <c r="F98" s="34" t="n">
        <f aca="false">SUM('4.1.1'!F272:F274)/3</f>
        <v>122.939769834535</v>
      </c>
      <c r="G98" s="34" t="n">
        <f aca="false">SUM('4.1.1'!G272:G274)/3</f>
        <v>47.3986167377399</v>
      </c>
      <c r="H98" s="34" t="n">
        <f aca="false">SUM('4.1.1'!H272:H274)/3</f>
        <v>56.8108593778162</v>
      </c>
      <c r="I98" s="34" t="n">
        <f aca="false">SUM('4.1.1'!I272:I274)/3</f>
        <v>106.241510099201</v>
      </c>
      <c r="J98" s="36" t="n">
        <f aca="false">F98-E98</f>
        <v>3.76953716786876</v>
      </c>
      <c r="K98" s="34" t="n">
        <v>185.85643005659</v>
      </c>
      <c r="L98" s="64"/>
      <c r="M98" s="37"/>
    </row>
    <row r="99" customFormat="false" ht="14.25" hidden="false" customHeight="true" outlineLevel="0" collapsed="false">
      <c r="A99" s="32" t="n">
        <v>2011</v>
      </c>
      <c r="B99" s="32" t="s">
        <v>80</v>
      </c>
      <c r="C99" s="64"/>
      <c r="D99" s="34" t="n">
        <f aca="false">SUM('4.1.1'!D275:D277)/3</f>
        <v>136.038430311231</v>
      </c>
      <c r="E99" s="34" t="n">
        <f aca="false">SUM('4.1.1'!E275:E277)/3</f>
        <v>129.261395713124</v>
      </c>
      <c r="F99" s="34" t="n">
        <f aca="false">SUM('4.1.1'!F275:F277)/3</f>
        <v>134.549949604032</v>
      </c>
      <c r="G99" s="34" t="n">
        <f aca="false">SUM('4.1.1'!G275:G277)/3</f>
        <v>56.1105017604238</v>
      </c>
      <c r="H99" s="34" t="n">
        <f aca="false">SUM('4.1.1'!H275:H277)/3</f>
        <v>64.3986391739906</v>
      </c>
      <c r="I99" s="34" t="n">
        <f aca="false">SUM('4.1.1'!I275:I277)/3</f>
        <v>127.259463725476</v>
      </c>
      <c r="J99" s="36" t="n">
        <f aca="false">F99-E99</f>
        <v>5.28855389090728</v>
      </c>
      <c r="K99" s="36" t="n">
        <v>222.582266039788</v>
      </c>
      <c r="L99" s="64"/>
      <c r="M99" s="37"/>
    </row>
    <row r="100" customFormat="false" ht="14.25" hidden="false" customHeight="true" outlineLevel="0" collapsed="false">
      <c r="A100" s="32" t="n">
        <v>2011</v>
      </c>
      <c r="B100" s="32" t="s">
        <v>81</v>
      </c>
      <c r="C100" s="64"/>
      <c r="D100" s="34" t="n">
        <f aca="false">SUM('4.1.1'!D278:D280)/3</f>
        <v>142.988836265223</v>
      </c>
      <c r="E100" s="34" t="n">
        <f aca="false">SUM('4.1.1'!E278:E280)/3</f>
        <v>135.671005690718</v>
      </c>
      <c r="F100" s="34" t="n">
        <f aca="false">SUM('4.1.1'!F278:F280)/3</f>
        <v>140.757468571745</v>
      </c>
      <c r="G100" s="34" t="n">
        <f aca="false">SUM('4.1.1'!G278:G280)/3</f>
        <v>60.1522801583204</v>
      </c>
      <c r="H100" s="34" t="n">
        <f aca="false">SUM('4.1.1'!H278:H280)/3</f>
        <v>69.5309921917071</v>
      </c>
      <c r="I100" s="34" t="n">
        <f aca="false">SUM('4.1.1'!I278:I280)/3</f>
        <v>140.967894991219</v>
      </c>
      <c r="J100" s="36" t="n">
        <f aca="false">F100-E100</f>
        <v>5.08646288102665</v>
      </c>
      <c r="K100" s="36" t="n">
        <v>246.670403593349</v>
      </c>
      <c r="L100" s="64"/>
      <c r="M100" s="37"/>
    </row>
    <row r="101" customFormat="false" ht="14.25" hidden="false" customHeight="true" outlineLevel="0" collapsed="false">
      <c r="A101" s="32" t="n">
        <v>2011</v>
      </c>
      <c r="B101" s="32" t="s">
        <v>82</v>
      </c>
      <c r="C101" s="64"/>
      <c r="D101" s="34" t="n">
        <f aca="false">SUM('4.1.1'!D281:D283)/3</f>
        <v>142.612043301759</v>
      </c>
      <c r="E101" s="34" t="n">
        <f aca="false">SUM('4.1.1'!E281:E283)/3</f>
        <v>135.067257747903</v>
      </c>
      <c r="F101" s="34" t="n">
        <f aca="false">SUM('4.1.1'!F281:F283)/3</f>
        <v>139.474744420446</v>
      </c>
      <c r="G101" s="34" t="n">
        <f aca="false">SUM('4.1.1'!G281:G283)/3</f>
        <v>57.8049457924626</v>
      </c>
      <c r="H101" s="34" t="n">
        <f aca="false">SUM('4.1.1'!H281:H283)/3</f>
        <v>68.1885837372106</v>
      </c>
      <c r="I101" s="34" t="n">
        <f aca="false">SUM('4.1.1'!I279:I281)/3</f>
        <v>138.290412410434</v>
      </c>
      <c r="J101" s="36" t="n">
        <f aca="false">F101-E101</f>
        <v>4.4074866725432</v>
      </c>
      <c r="K101" s="36" t="n">
        <v>242.190998505342</v>
      </c>
      <c r="L101" s="64"/>
      <c r="M101" s="37"/>
    </row>
    <row r="102" customFormat="false" ht="14.25" hidden="false" customHeight="true" outlineLevel="0" collapsed="false">
      <c r="A102" s="32" t="n">
        <v>2011</v>
      </c>
      <c r="B102" s="32" t="s">
        <v>83</v>
      </c>
      <c r="C102" s="64"/>
      <c r="D102" s="34" t="n">
        <f aca="false">SUM('4.1.1'!D284:D286)/3</f>
        <v>140.65647722147</v>
      </c>
      <c r="E102" s="34" t="n">
        <f aca="false">SUM('4.1.1'!E284:E286)/3</f>
        <v>133.075501556521</v>
      </c>
      <c r="F102" s="34" t="n">
        <f aca="false">SUM('4.1.1'!F284:F286)/3</f>
        <v>140.082345720035</v>
      </c>
      <c r="G102" s="34" t="n">
        <f aca="false">SUM('4.1.1'!G284:G286)/3</f>
        <v>58.6422629495784</v>
      </c>
      <c r="H102" s="34" t="n">
        <f aca="false">SUM('4.1.1'!H284:H286)/3</f>
        <v>70.2985554658051</v>
      </c>
      <c r="I102" s="34" t="n">
        <f aca="false">SUM('4.1.1'!I284:I286)/3</f>
        <v>137.330672541048</v>
      </c>
      <c r="J102" s="36" t="n">
        <f aca="false">F102-E102</f>
        <v>7.00684416351416</v>
      </c>
      <c r="K102" s="36" t="n">
        <v>240.248004045222</v>
      </c>
      <c r="L102" s="64"/>
      <c r="M102" s="37"/>
    </row>
    <row r="103" customFormat="false" ht="14.25" hidden="false" customHeight="true" outlineLevel="0" collapsed="false">
      <c r="A103" s="32" t="n">
        <v>2012</v>
      </c>
      <c r="B103" s="32" t="s">
        <v>80</v>
      </c>
      <c r="C103" s="64"/>
      <c r="D103" s="34" t="n">
        <f aca="false">SUM('4.1.1'!D287:D289)/3</f>
        <v>142.369824086604</v>
      </c>
      <c r="E103" s="34" t="n">
        <f aca="false">SUM('4.1.1'!E287:E289)/3</f>
        <v>135.039023853429</v>
      </c>
      <c r="F103" s="34" t="n">
        <f aca="false">SUM('4.1.1'!F287:F289)/3</f>
        <v>142.984338114489</v>
      </c>
      <c r="G103" s="34" t="n">
        <f aca="false">SUM('4.1.1'!G287:G289)/3</f>
        <v>61.9435619323885</v>
      </c>
      <c r="H103" s="34" t="n">
        <f aca="false">SUM('4.1.1'!H287:H289)/3</f>
        <v>71.9228868909649</v>
      </c>
      <c r="I103" s="34" t="n">
        <f aca="false">SUM('4.1.1'!I287:I289)/3</f>
        <v>146.117633426909</v>
      </c>
      <c r="J103" s="36" t="n">
        <f aca="false">F103-E103</f>
        <v>7.94531426105999</v>
      </c>
      <c r="K103" s="36" t="n">
        <v>255.372654160978</v>
      </c>
      <c r="L103" s="64"/>
      <c r="M103" s="37"/>
    </row>
    <row r="104" customFormat="false" ht="14.25" hidden="false" customHeight="true" outlineLevel="0" collapsed="false">
      <c r="A104" s="32" t="n">
        <v>2012</v>
      </c>
      <c r="B104" s="32" t="s">
        <v>81</v>
      </c>
      <c r="C104" s="64"/>
      <c r="D104" s="34" t="n">
        <f aca="false">SUM('4.1.1'!D290:D292)/3</f>
        <v>144.524252901572</v>
      </c>
      <c r="E104" s="34" t="n">
        <f aca="false">SUM('4.1.1'!E290:E292)/3</f>
        <v>137.016581748676</v>
      </c>
      <c r="F104" s="34" t="n">
        <f aca="false">SUM('4.1.1'!F290:F292)/3</f>
        <v>143.077091365131</v>
      </c>
      <c r="G104" s="34" t="n">
        <f aca="false">SUM('4.1.1'!G290:G292)/3</f>
        <v>59.3333693454637</v>
      </c>
      <c r="H104" s="34" t="n">
        <f aca="false">SUM('4.1.1'!H290:H292)/3</f>
        <v>70.0243412965635</v>
      </c>
      <c r="I104" s="34" t="n">
        <f aca="false">SUM('4.1.1'!I290:I292)/3</f>
        <v>134.674547367712</v>
      </c>
      <c r="J104" s="36" t="n">
        <f aca="false">F104-E104</f>
        <v>6.06050961645494</v>
      </c>
      <c r="K104" s="36" t="n">
        <v>235.476847846086</v>
      </c>
      <c r="L104" s="64"/>
      <c r="M104" s="37"/>
    </row>
    <row r="105" customFormat="false" ht="14.25" hidden="false" customHeight="true" outlineLevel="0" collapsed="false">
      <c r="A105" s="32" t="n">
        <v>2012</v>
      </c>
      <c r="B105" s="32" t="s">
        <v>82</v>
      </c>
      <c r="C105" s="64"/>
      <c r="D105" s="34" t="n">
        <f aca="false">SUM('4.1.1'!D293:D295)/3</f>
        <v>142.16168229818</v>
      </c>
      <c r="E105" s="34" t="n">
        <f aca="false">SUM('4.1.1'!E293:E295)/3</f>
        <v>134.782676</v>
      </c>
      <c r="F105" s="34" t="n">
        <f aca="false">SUM('4.1.1'!F293:F295)/3</f>
        <v>139.991997321279</v>
      </c>
      <c r="G105" s="34" t="n">
        <f aca="false">SUM('4.1.1'!G293:G295)/3</f>
        <v>57.4201042456406</v>
      </c>
      <c r="H105" s="34" t="n">
        <f aca="false">SUM('4.1.1'!H293:H295)/3</f>
        <v>70.4512222756667</v>
      </c>
      <c r="I105" s="34" t="n">
        <f aca="false">SUM('4.1.1'!I293:I295)/3</f>
        <v>132.91220057343</v>
      </c>
      <c r="J105" s="36" t="n">
        <f aca="false">F105-E105</f>
        <v>5.20932132127908</v>
      </c>
      <c r="K105" s="36" t="n">
        <v>232.892613700965</v>
      </c>
      <c r="L105" s="64"/>
      <c r="M105" s="37"/>
    </row>
    <row r="106" customFormat="false" ht="14.25" hidden="false" customHeight="true" outlineLevel="0" collapsed="false">
      <c r="A106" s="32" t="n">
        <v>2012</v>
      </c>
      <c r="B106" s="32" t="s">
        <v>83</v>
      </c>
      <c r="C106" s="64"/>
      <c r="D106" s="34" t="n">
        <f aca="false">SUM('4.1.1'!D296:D298)/3</f>
        <v>142.41951229679</v>
      </c>
      <c r="E106" s="34" t="n">
        <f aca="false">SUM('4.1.1'!E296:E298)/3</f>
        <v>134.723907333333</v>
      </c>
      <c r="F106" s="34" t="n">
        <f aca="false">SUM('4.1.1'!F296:F298)/3</f>
        <v>141.259612255148</v>
      </c>
      <c r="G106" s="34" t="n">
        <f aca="false">SUM('4.1.1'!G296:G298)/3</f>
        <v>58.4545969168562</v>
      </c>
      <c r="H106" s="34" t="n">
        <f aca="false">SUM('4.1.1'!H296:H298)/3</f>
        <v>70.6452204585538</v>
      </c>
      <c r="I106" s="34" t="n">
        <f aca="false">SUM('4.1.1'!I296:I298)/3</f>
        <v>133.48352058509</v>
      </c>
      <c r="J106" s="36" t="n">
        <f aca="false">F106-E106</f>
        <v>6.53570492181487</v>
      </c>
      <c r="K106" s="34" t="n">
        <v>233.400346853419</v>
      </c>
      <c r="L106" s="64"/>
      <c r="M106" s="37"/>
    </row>
    <row r="107" customFormat="false" ht="14.25" hidden="false" customHeight="true" outlineLevel="0" collapsed="false">
      <c r="A107" s="32" t="n">
        <v>2013</v>
      </c>
      <c r="B107" s="32" t="s">
        <v>80</v>
      </c>
      <c r="C107" s="64"/>
      <c r="D107" s="34" t="n">
        <f aca="false">SUM('4.1.1'!D299:D301)/3</f>
        <v>142.790785049326</v>
      </c>
      <c r="E107" s="34" t="n">
        <f aca="false">SUM('4.1.1'!E299:E301)/3</f>
        <v>135.108651333333</v>
      </c>
      <c r="F107" s="34" t="n">
        <f aca="false">SUM('4.1.1'!F299:F301)/3</f>
        <v>142.657283107316</v>
      </c>
      <c r="G107" s="34" t="n">
        <f aca="false">SUM('4.1.1'!G299:G301)/3</f>
        <v>61.7235557240334</v>
      </c>
      <c r="H107" s="34" t="n">
        <f aca="false">SUM('4.1.1'!H299:H301)/3</f>
        <v>72.0680107957886</v>
      </c>
      <c r="I107" s="34" t="n">
        <f aca="false">SUM('4.1.1'!I299:I301)/3</f>
        <v>141.127474557311</v>
      </c>
      <c r="J107" s="36" t="n">
        <f aca="false">F107-E107</f>
        <v>7.54863177398295</v>
      </c>
      <c r="K107" s="34" t="n">
        <v>246.302990150812</v>
      </c>
      <c r="L107" s="64"/>
      <c r="M107" s="37"/>
    </row>
    <row r="108" customFormat="false" ht="14.25" hidden="false" customHeight="true" outlineLevel="0" collapsed="false">
      <c r="A108" s="32" t="n">
        <v>2013</v>
      </c>
      <c r="B108" s="32" t="s">
        <v>81</v>
      </c>
      <c r="C108" s="64"/>
      <c r="D108" s="34" t="n">
        <f aca="false">SUM('4.1.1'!D302:D304)/3</f>
        <v>142.218823468112</v>
      </c>
      <c r="E108" s="34" t="n">
        <f aca="false">SUM('4.1.1'!E302:E304)/3</f>
        <v>134.538244666667</v>
      </c>
      <c r="F108" s="34" t="n">
        <f aca="false">SUM('4.1.1'!F302:F304)/3</f>
        <v>139.494766114181</v>
      </c>
      <c r="G108" s="34" t="n">
        <f aca="false">SUM('4.1.1'!G302:G304)/3</f>
        <v>56.046435430882</v>
      </c>
      <c r="H108" s="34" t="n">
        <f aca="false">SUM('4.1.1'!H302:H304)/3</f>
        <v>68.6602565335899</v>
      </c>
      <c r="I108" s="34" t="n">
        <f aca="false">SUM('4.1.1'!I302:I304)/3</f>
        <v>130.38094221005</v>
      </c>
      <c r="J108" s="36" t="n">
        <f aca="false">F108-E108</f>
        <v>4.95652144751384</v>
      </c>
      <c r="K108" s="34" t="n">
        <v>227.648555350453</v>
      </c>
      <c r="L108" s="64"/>
      <c r="M108" s="37"/>
    </row>
    <row r="109" customFormat="false" ht="14.25" hidden="false" customHeight="true" outlineLevel="0" collapsed="false">
      <c r="A109" s="32" t="n">
        <v>2013</v>
      </c>
      <c r="B109" s="32" t="s">
        <v>82</v>
      </c>
      <c r="C109" s="64"/>
      <c r="D109" s="34" t="n">
        <f aca="false">SUM('4.1.1'!D305:D307)/3</f>
        <v>143.906366606655</v>
      </c>
      <c r="E109" s="34" t="n">
        <f aca="false">SUM('4.1.1'!E305:E307)/3</f>
        <v>136.267065</v>
      </c>
      <c r="F109" s="34" t="n">
        <f aca="false">SUM('4.1.1'!F305:F307)/3</f>
        <v>141.193361666667</v>
      </c>
      <c r="G109" s="34" t="n">
        <f aca="false">SUM('4.1.1'!G305:G307)/3</f>
        <v>56.2991910010959</v>
      </c>
      <c r="H109" s="34" t="n">
        <f aca="false">SUM('4.1.1'!H305:H307)/3</f>
        <v>70.7639471410497</v>
      </c>
      <c r="I109" s="34" t="n">
        <f aca="false">SUM('4.1.1'!I305:I307)/3</f>
        <v>138.184340790801</v>
      </c>
      <c r="J109" s="36" t="n">
        <f aca="false">F109-E109</f>
        <v>4.92629666666667</v>
      </c>
      <c r="K109" s="34" t="n">
        <v>241.662333188029</v>
      </c>
      <c r="L109" s="64"/>
      <c r="M109" s="37"/>
    </row>
    <row r="110" customFormat="false" ht="14.25" hidden="false" customHeight="true" outlineLevel="0" collapsed="false">
      <c r="A110" s="32" t="n">
        <v>2013</v>
      </c>
      <c r="B110" s="32" t="s">
        <v>83</v>
      </c>
      <c r="C110" s="64"/>
      <c r="D110" s="34" t="n">
        <f aca="false">SUM('4.1.1'!D308:D310)/3</f>
        <v>138.080070014003</v>
      </c>
      <c r="E110" s="34" t="n">
        <f aca="false">SUM('4.1.1'!E308:E310)/3</f>
        <v>130.667151</v>
      </c>
      <c r="F110" s="34" t="n">
        <f aca="false">SUM('4.1.1'!F308:F310)/3</f>
        <v>138.275345666667</v>
      </c>
      <c r="G110" s="34" t="n">
        <f aca="false">SUM('4.1.1'!G308:G310)/3</f>
        <v>54.5070431251209</v>
      </c>
      <c r="H110" s="34" t="n">
        <f aca="false">SUM('4.1.1'!H308:H310)/3</f>
        <v>67.640664873985</v>
      </c>
      <c r="I110" s="34" t="n">
        <f aca="false">SUM('4.1.1'!I308:I310)/3</f>
        <v>131.586348639923</v>
      </c>
      <c r="J110" s="36" t="n">
        <f aca="false">F110-E110</f>
        <v>7.60819466666666</v>
      </c>
      <c r="K110" s="34" t="n">
        <v>229.964849764372</v>
      </c>
      <c r="L110" s="64"/>
      <c r="M110" s="37"/>
    </row>
    <row r="111" customFormat="false" ht="14.25" hidden="false" customHeight="true" outlineLevel="0" collapsed="false">
      <c r="A111" s="32" t="n">
        <v>2014</v>
      </c>
      <c r="B111" s="32" t="s">
        <v>80</v>
      </c>
      <c r="C111" s="64"/>
      <c r="D111" s="34" t="n">
        <f aca="false">SUM('4.1.1'!D311:D313)/3</f>
        <v>136.789903313996</v>
      </c>
      <c r="E111" s="34" t="n">
        <f aca="false">SUM('4.1.1'!E311:E313)/3</f>
        <v>129.259154666667</v>
      </c>
      <c r="F111" s="34" t="n">
        <f aca="false">SUM('4.1.1'!F311:F313)/3</f>
        <v>136.930083666667</v>
      </c>
      <c r="G111" s="34" t="n">
        <f aca="false">SUM('4.1.1'!G311:G313)/3</f>
        <v>53.3737439566815</v>
      </c>
      <c r="H111" s="34" t="n">
        <f aca="false">SUM('4.1.1'!H311:H313)/3</f>
        <v>66.030142887272</v>
      </c>
      <c r="I111" s="34" t="n">
        <f aca="false">SUM('4.1.1'!I311:I313)/3</f>
        <v>127.988274242076</v>
      </c>
      <c r="J111" s="36" t="n">
        <f aca="false">F111-E111</f>
        <v>7.670929</v>
      </c>
      <c r="K111" s="64"/>
      <c r="L111" s="64"/>
      <c r="M111" s="37"/>
    </row>
    <row r="112" customFormat="false" ht="14.25" hidden="false" customHeight="true" outlineLevel="0" collapsed="false">
      <c r="A112" s="32" t="n">
        <v>2014</v>
      </c>
      <c r="B112" s="32" t="s">
        <v>81</v>
      </c>
      <c r="C112" s="64"/>
      <c r="D112" s="34" t="n">
        <f aca="false">SUM('4.1.1'!D314:D316)/3</f>
        <v>136.947464826299</v>
      </c>
      <c r="E112" s="34" t="n">
        <f aca="false">SUM('4.1.1'!E314:E316)/3</f>
        <v>129.270659666667</v>
      </c>
      <c r="F112" s="34" t="n">
        <f aca="false">SUM('4.1.1'!F314:F316)/3</f>
        <v>135.795074666667</v>
      </c>
      <c r="G112" s="34" t="n">
        <f aca="false">SUM('4.1.1'!G314:G316)/3</f>
        <v>51.1057210081867</v>
      </c>
      <c r="H112" s="34" t="n">
        <f aca="false">SUM('4.1.1'!H314:H316)/3</f>
        <v>64.7906738373932</v>
      </c>
      <c r="I112" s="34" t="n">
        <f aca="false">SUM('4.1.1'!I314:I316)/3</f>
        <v>126.81449843758</v>
      </c>
      <c r="J112" s="36" t="n">
        <f aca="false">F112-E112</f>
        <v>6.52441500000001</v>
      </c>
      <c r="K112" s="64"/>
      <c r="L112" s="64"/>
      <c r="M112" s="37"/>
    </row>
    <row r="113" customFormat="false" ht="14.25" hidden="false" customHeight="true" outlineLevel="0" collapsed="false">
      <c r="A113" s="32" t="n">
        <v>2014</v>
      </c>
      <c r="B113" s="32" t="s">
        <v>82</v>
      </c>
      <c r="C113" s="64"/>
      <c r="D113" s="34" t="n">
        <f aca="false">SUM('4.1.1'!D317:D319)/3</f>
        <v>137.214730925753</v>
      </c>
      <c r="E113" s="34" t="n">
        <f aca="false">SUM('4.1.1'!E317:E319)/3</f>
        <v>129.634646343658</v>
      </c>
      <c r="F113" s="34" t="n">
        <f aca="false">SUM('4.1.1'!F317:F319)/3</f>
        <v>134.230999962662</v>
      </c>
      <c r="G113" s="34" t="n">
        <f aca="false">SUM('4.1.1'!G317:G319)/3</f>
        <v>51.1681163333333</v>
      </c>
      <c r="H113" s="34" t="n">
        <f aca="false">SUM('4.1.1'!H317:H319)/3</f>
        <v>62.354122</v>
      </c>
      <c r="I113" s="34" t="n">
        <f aca="false">SUM('4.1.1'!I317:I319)/3</f>
        <v>119.856446740963</v>
      </c>
      <c r="J113" s="36" t="n">
        <f aca="false">F113-E113</f>
        <v>4.59635361900362</v>
      </c>
      <c r="K113" s="64"/>
      <c r="L113" s="64"/>
      <c r="M113" s="37"/>
    </row>
    <row r="114" customFormat="false" ht="14.25" hidden="false" customHeight="true" outlineLevel="0" collapsed="false">
      <c r="A114" s="32" t="n">
        <v>2014</v>
      </c>
      <c r="B114" s="32" t="s">
        <v>83</v>
      </c>
      <c r="C114" s="64"/>
      <c r="D114" s="34" t="n">
        <f aca="false">SUM('4.1.1'!D320:D322)/3</f>
        <v>129.322842646023</v>
      </c>
      <c r="E114" s="34" t="n">
        <f aca="false">SUM('4.1.1'!E320:E322)/3</f>
        <v>121.818951074119</v>
      </c>
      <c r="F114" s="34" t="n">
        <f aca="false">SUM('4.1.1'!F320:F322)/3</f>
        <v>126.875837202486</v>
      </c>
      <c r="G114" s="34" t="n">
        <f aca="false">SUM('4.1.1'!G320:G322)/3</f>
        <v>44.932346</v>
      </c>
      <c r="H114" s="34" t="n">
        <f aca="false">SUM('4.1.1'!H320:H322)/3</f>
        <v>55.9525286666667</v>
      </c>
      <c r="I114" s="34" t="n">
        <f aca="false">SUM('4.1.1'!I320:I322)/3</f>
        <v>95.8350558521437</v>
      </c>
      <c r="J114" s="36" t="n">
        <f aca="false">F114-E114</f>
        <v>5.05688612836701</v>
      </c>
      <c r="K114" s="64"/>
      <c r="L114" s="64"/>
      <c r="M114" s="37"/>
    </row>
    <row r="115" customFormat="false" ht="14.25" hidden="false" customHeight="true" outlineLevel="0" collapsed="false">
      <c r="A115" s="32" t="n">
        <v>2015</v>
      </c>
      <c r="B115" s="32" t="s">
        <v>80</v>
      </c>
      <c r="C115" s="64"/>
      <c r="D115" s="34" t="n">
        <f aca="false">SUM('4.1.1'!D323:D325)/3</f>
        <v>116.615310455699</v>
      </c>
      <c r="E115" s="34" t="n">
        <f aca="false">SUM('4.1.1'!E323:E325)/3</f>
        <v>108.89413292432</v>
      </c>
      <c r="F115" s="34" t="n">
        <f aca="false">SUM('4.1.1'!F323:F325)/3</f>
        <v>116.220311751554</v>
      </c>
      <c r="G115" s="34" t="n">
        <f aca="false">SUM('4.1.1'!G323:G325)/3</f>
        <v>36.8489213333333</v>
      </c>
      <c r="H115" s="34" t="n">
        <f aca="false">SUM('4.1.1'!H323:H325)/3</f>
        <v>47.869544</v>
      </c>
      <c r="I115" s="34" t="n">
        <f aca="false">SUM('4.1.1'!I323:I325)/3</f>
        <v>69.5445251288032</v>
      </c>
      <c r="J115" s="36" t="n">
        <f aca="false">F115-E115</f>
        <v>7.32617882723422</v>
      </c>
      <c r="K115" s="64"/>
      <c r="L115" s="64"/>
      <c r="M115" s="37"/>
    </row>
    <row r="116" customFormat="false" ht="14.25" hidden="false" customHeight="true" outlineLevel="0" collapsed="false">
      <c r="A116" s="32" t="n">
        <v>2015</v>
      </c>
      <c r="B116" s="32" t="s">
        <v>81</v>
      </c>
      <c r="C116" s="64"/>
      <c r="D116" s="34" t="n">
        <f aca="false">SUM('4.1.1'!D326:D328)/3</f>
        <v>122.451572474192</v>
      </c>
      <c r="E116" s="34" t="n">
        <f aca="false">SUM('4.1.1'!E326:E328)/3</f>
        <v>114.897777889695</v>
      </c>
      <c r="F116" s="34" t="n">
        <f aca="false">SUM('4.1.1'!F326:F328)/3</f>
        <v>120.433605394248</v>
      </c>
      <c r="G116" s="34" t="n">
        <f aca="false">SUM('4.1.1'!G326:G328)/3</f>
        <v>36.8189286666667</v>
      </c>
      <c r="H116" s="34" t="n">
        <f aca="false">SUM('4.1.1'!H326:H328)/3</f>
        <v>49.123513</v>
      </c>
      <c r="I116" s="34" t="n">
        <f aca="false">SUM('4.1.1'!I326:I328)/3</f>
        <v>77.9773616029133</v>
      </c>
      <c r="J116" s="36" t="n">
        <f aca="false">F116-E116</f>
        <v>5.53582750455344</v>
      </c>
      <c r="K116" s="64"/>
      <c r="L116" s="64"/>
      <c r="M116" s="37"/>
    </row>
    <row r="117" customFormat="false" ht="14.25" hidden="false" customHeight="true" outlineLevel="0" collapsed="false">
      <c r="A117" s="32" t="n">
        <v>2015</v>
      </c>
      <c r="B117" s="32" t="s">
        <v>82</v>
      </c>
      <c r="C117" s="64"/>
      <c r="D117" s="34" t="n">
        <f aca="false">SUM('4.1.1'!D329:D331)/3</f>
        <v>121.757592205163</v>
      </c>
      <c r="E117" s="34" t="n">
        <f aca="false">SUM('4.1.1'!E329:E331)/3</f>
        <v>114.126281901723</v>
      </c>
      <c r="F117" s="34" t="n">
        <f aca="false">SUM('4.1.1'!F329:F331)/3</f>
        <v>113.415350015552</v>
      </c>
      <c r="G117" s="34" t="n">
        <f aca="false">SUM('4.1.1'!G329:G331)/3</f>
        <v>32.656509</v>
      </c>
      <c r="H117" s="34" t="n">
        <f aca="false">SUM('4.1.1'!H329:H331)/3</f>
        <v>44.9664603333333</v>
      </c>
      <c r="I117" s="34" t="n">
        <f aca="false">SUM('4.1.1'!I329:I331)/3</f>
        <v>64.0454901043854</v>
      </c>
      <c r="J117" s="36" t="n">
        <f aca="false">F117-E117</f>
        <v>-0.710931886170584</v>
      </c>
      <c r="K117" s="64"/>
      <c r="L117" s="64"/>
      <c r="M117" s="37"/>
    </row>
    <row r="118" customFormat="false" ht="14.25" hidden="false" customHeight="true" outlineLevel="0" collapsed="false">
      <c r="A118" s="32" t="n">
        <v>2015</v>
      </c>
      <c r="B118" s="32" t="s">
        <v>83</v>
      </c>
      <c r="C118" s="64"/>
      <c r="D118" s="34" t="n">
        <f aca="false">SUM('4.1.1'!D332:D334)/3</f>
        <v>115.072576848703</v>
      </c>
      <c r="E118" s="34" t="n">
        <f aca="false">SUM('4.1.1'!E332:E334)/3</f>
        <v>106.604847886998</v>
      </c>
      <c r="F118" s="34" t="n">
        <f aca="false">SUM('4.1.1'!F332:F334)/3</f>
        <v>109.524556333333</v>
      </c>
      <c r="G118" s="34" t="n">
        <f aca="false">SUM('4.1.1'!G332:G334)/3</f>
        <v>29.962</v>
      </c>
      <c r="H118" s="34" t="n">
        <f aca="false">SUM('4.1.1'!H332:H334)/3</f>
        <v>41.2326416666667</v>
      </c>
      <c r="I118" s="34" t="n">
        <f aca="false">SUM('4.1.1'!I332:I334)/3</f>
        <v>56.6518207677179</v>
      </c>
      <c r="J118" s="36" t="n">
        <f aca="false">F118-E118</f>
        <v>2.91970844633521</v>
      </c>
      <c r="K118" s="64"/>
      <c r="L118" s="64"/>
      <c r="M118" s="37"/>
    </row>
    <row r="119" customFormat="false" ht="14.25" hidden="false" customHeight="true" outlineLevel="0" collapsed="false">
      <c r="A119" s="32" t="n">
        <v>2016</v>
      </c>
      <c r="B119" s="32" t="s">
        <v>80</v>
      </c>
      <c r="C119" s="64"/>
      <c r="D119" s="34" t="n">
        <f aca="false">SUM('4.1.1'!D335:D337)/3</f>
        <v>110.163593051944</v>
      </c>
      <c r="E119" s="34" t="n">
        <f aca="false">SUM('4.1.1'!E335:E337)/3</f>
        <v>101.623927627351</v>
      </c>
      <c r="F119" s="34" t="n">
        <f aca="false">SUM('4.1.1'!F335:F337)/3</f>
        <v>101.980846333333</v>
      </c>
      <c r="G119" s="34" t="n">
        <f aca="false">SUM('4.1.1'!G335:G337)/3</f>
        <v>23.711</v>
      </c>
      <c r="H119" s="34" t="n">
        <f aca="false">SUM('4.1.1'!H335:H337)/3</f>
        <v>35.6197456666667</v>
      </c>
      <c r="I119" s="34" t="n">
        <f aca="false">SUM('4.1.1'!I335:I337)/3</f>
        <v>46.3874579878204</v>
      </c>
      <c r="J119" s="36" t="n">
        <f aca="false">F119-E119</f>
        <v>0.356918705982096</v>
      </c>
      <c r="K119" s="64"/>
      <c r="L119" s="64"/>
      <c r="M119" s="37"/>
    </row>
    <row r="120" customFormat="false" ht="14.25" hidden="false" customHeight="true" outlineLevel="0" collapsed="false">
      <c r="A120" s="32" t="n">
        <v>2016</v>
      </c>
      <c r="B120" s="32" t="s">
        <v>81</v>
      </c>
      <c r="C120" s="64"/>
      <c r="D120" s="34" t="n">
        <f aca="false">SUM('4.1.1'!D338:D340)/3</f>
        <v>117.306325931853</v>
      </c>
      <c r="E120" s="34" t="n">
        <f aca="false">SUM('4.1.1'!E338:E340)/3</f>
        <v>108.613457338221</v>
      </c>
      <c r="F120" s="34" t="n">
        <f aca="false">SUM('4.1.1'!F338:F340)/3</f>
        <v>109.290436</v>
      </c>
      <c r="G120" s="34" t="n">
        <f aca="false">SUM('4.1.1'!G338:G340)/3</f>
        <v>29.6536666666667</v>
      </c>
      <c r="H120" s="34" t="n">
        <f aca="false">SUM('4.1.1'!H338:H340)/3</f>
        <v>41.7379026666667</v>
      </c>
      <c r="I120" s="34" t="n">
        <f aca="false">SUM('4.1.1'!I338:I340)/3</f>
        <v>61.2499601028215</v>
      </c>
      <c r="J120" s="36" t="n">
        <f aca="false">F120-E120</f>
        <v>0.676978661779401</v>
      </c>
      <c r="K120" s="64"/>
      <c r="L120" s="64"/>
      <c r="M120" s="37"/>
    </row>
    <row r="121" customFormat="false" ht="14.25" hidden="false" customHeight="true" outlineLevel="0" collapsed="false">
      <c r="A121" s="32" t="n">
        <v>2016</v>
      </c>
      <c r="B121" s="32" t="s">
        <v>82</v>
      </c>
      <c r="C121" s="64"/>
      <c r="D121" s="34" t="n">
        <f aca="false">SUM('4.1.1'!D341:D343)/3</f>
        <v>119.646683336667</v>
      </c>
      <c r="E121" s="34" t="n">
        <f aca="false">SUM('4.1.1'!E341:E343)/3</f>
        <v>110.64120302173</v>
      </c>
      <c r="F121" s="34" t="n">
        <f aca="false">SUM('4.1.1'!F341:F343)/3</f>
        <v>112.189031666667</v>
      </c>
      <c r="G121" s="34" t="n">
        <f aca="false">SUM('4.1.1'!G341:G343)/3</f>
        <v>31.4516666666667</v>
      </c>
      <c r="H121" s="34" t="n">
        <f aca="false">SUM('4.1.1'!H341:H343)/3</f>
        <v>44.239951</v>
      </c>
      <c r="I121" s="34" t="n">
        <f aca="false">SUM('4.1.1'!I341:I343)/3</f>
        <v>67.8417981367246</v>
      </c>
      <c r="J121" s="36" t="n">
        <f aca="false">F121-E121</f>
        <v>1.54782864493639</v>
      </c>
      <c r="K121" s="64"/>
      <c r="L121" s="64"/>
      <c r="M121" s="37"/>
    </row>
    <row r="122" customFormat="false" ht="14.25" hidden="false" customHeight="true" outlineLevel="0" collapsed="false">
      <c r="A122" s="32" t="n">
        <v>2016</v>
      </c>
      <c r="B122" s="32" t="s">
        <v>83</v>
      </c>
      <c r="C122" s="64"/>
      <c r="D122" s="34" t="n">
        <f aca="false">SUM('4.1.1'!D344:D346)/3</f>
        <v>124.203733413349</v>
      </c>
      <c r="E122" s="34" t="n">
        <f aca="false">SUM('4.1.1'!E344:E346)/3</f>
        <v>114.503973275348</v>
      </c>
      <c r="F122" s="34" t="n">
        <f aca="false">SUM('4.1.1'!F344:F346)/3</f>
        <v>117.054207333333</v>
      </c>
      <c r="G122" s="34" t="n">
        <f aca="false">SUM('4.1.1'!G344:G346)/3</f>
        <v>37.1086666666667</v>
      </c>
      <c r="H122" s="34" t="n">
        <f aca="false">SUM('4.1.1'!H344:H346)/3</f>
        <v>48.7884353333334</v>
      </c>
      <c r="I122" s="34" t="n">
        <f aca="false">SUM('4.1.1'!I344:I346)/3</f>
        <v>76.6260902197368</v>
      </c>
      <c r="J122" s="36" t="n">
        <f aca="false">F122-E122</f>
        <v>2.55023405798507</v>
      </c>
      <c r="K122" s="64"/>
      <c r="L122" s="64"/>
      <c r="M122" s="37"/>
    </row>
    <row r="123" customFormat="false" ht="14.25" hidden="false" customHeight="true" outlineLevel="0" collapsed="false">
      <c r="A123" s="32" t="n">
        <v>2017</v>
      </c>
      <c r="B123" s="32" t="s">
        <v>80</v>
      </c>
      <c r="C123" s="64"/>
      <c r="D123" s="34" t="n">
        <f aca="false">SUM('4.1.1'!D347:D349)/3</f>
        <v>128.373329332533</v>
      </c>
      <c r="E123" s="34" t="n">
        <f aca="false">SUM('4.1.1'!E347:E349)/3</f>
        <v>119.315825211703</v>
      </c>
      <c r="F123" s="34" t="n">
        <f aca="false">SUM('4.1.1'!F347:F349)/3</f>
        <v>122.376822</v>
      </c>
      <c r="G123" s="34" t="n">
        <f aca="false">SUM('4.1.1'!G347:G349)/3</f>
        <v>40.2266666666667</v>
      </c>
      <c r="H123" s="34" t="n">
        <f aca="false">SUM('4.1.1'!H347:H349)/3</f>
        <v>51.94765</v>
      </c>
      <c r="I123" s="34" t="n">
        <f aca="false">SUM('4.1.1'!I347:I349)/3</f>
        <v>84.3481835954555</v>
      </c>
      <c r="J123" s="36" t="n">
        <f aca="false">F123-E123</f>
        <v>3.06099678829656</v>
      </c>
      <c r="K123" s="64"/>
      <c r="L123" s="64"/>
      <c r="M123" s="37"/>
    </row>
    <row r="124" customFormat="false" ht="14.25" hidden="false" customHeight="true" outlineLevel="0" collapsed="false">
      <c r="A124" s="32" t="n">
        <v>2017</v>
      </c>
      <c r="B124" s="32" t="s">
        <v>81</v>
      </c>
      <c r="C124" s="64"/>
      <c r="D124" s="34" t="n">
        <f aca="false">SUM('4.1.1'!D350:D352)/3</f>
        <v>125.55800960192</v>
      </c>
      <c r="E124" s="34" t="n">
        <f aca="false">SUM('4.1.1'!E350:E352)/3</f>
        <v>116.123746387018</v>
      </c>
      <c r="F124" s="34" t="n">
        <f aca="false">SUM('4.1.1'!F350:F352)/3</f>
        <v>118.275558333333</v>
      </c>
      <c r="G124" s="34" t="n">
        <f aca="false">SUM('4.1.1'!G350:G352)/3</f>
        <v>37.325</v>
      </c>
      <c r="H124" s="34" t="n">
        <f aca="false">SUM('4.1.1'!H350:H352)/3</f>
        <v>48.3218963333333</v>
      </c>
      <c r="I124" s="34" t="n">
        <f aca="false">SUM('4.1.1'!I350:I352)/3</f>
        <v>75.7657076520605</v>
      </c>
      <c r="J124" s="36" t="n">
        <f aca="false">F124-E124</f>
        <v>2.15181194631523</v>
      </c>
      <c r="K124" s="34"/>
      <c r="L124" s="37"/>
      <c r="M124" s="37"/>
    </row>
    <row r="125" customFormat="false" ht="14.25" hidden="false" customHeight="true" outlineLevel="0" collapsed="false">
      <c r="A125" s="32" t="n">
        <v>2017</v>
      </c>
      <c r="B125" s="32" t="s">
        <v>82</v>
      </c>
      <c r="C125" s="64"/>
      <c r="D125" s="34" t="n">
        <f aca="false">SUM('4.1.1'!D353:D355)/3</f>
        <v>125.595471094219</v>
      </c>
      <c r="E125" s="34" t="n">
        <f aca="false">SUM('4.1.1'!E353:E355)/3</f>
        <v>116.15967160801</v>
      </c>
      <c r="F125" s="34" t="n">
        <f aca="false">SUM('4.1.1'!F353:F355)/3</f>
        <v>117.753337666667</v>
      </c>
      <c r="G125" s="34" t="n">
        <f aca="false">SUM('4.1.1'!G353:G355)/3</f>
        <v>36.8016666666667</v>
      </c>
      <c r="H125" s="34" t="n">
        <f aca="false">SUM('4.1.1'!H353:H355)/3</f>
        <v>48.5836806666667</v>
      </c>
      <c r="I125" s="34" t="n">
        <f aca="false">SUM('4.1.1'!I353:I355)/3</f>
        <v>76.6865165834756</v>
      </c>
      <c r="J125" s="36" t="n">
        <f aca="false">F125-E125</f>
        <v>1.59366605865668</v>
      </c>
      <c r="K125" s="34"/>
      <c r="L125" s="37"/>
      <c r="M125" s="37"/>
    </row>
    <row r="126" customFormat="false" ht="14.25" hidden="false" customHeight="true" outlineLevel="0" collapsed="false">
      <c r="A126" s="32" t="n">
        <v>2017</v>
      </c>
      <c r="B126" s="32" t="s">
        <v>83</v>
      </c>
      <c r="C126" s="64"/>
      <c r="D126" s="34" t="n">
        <f aca="false">SUM('4.1.1'!D356:D358)/3</f>
        <v>128.289251686871</v>
      </c>
      <c r="E126" s="34" t="n">
        <f aca="false">SUM('4.1.1'!E356:E358)/3</f>
        <v>118.756287256447</v>
      </c>
      <c r="F126" s="34" t="n">
        <f aca="false">SUM('4.1.1'!F356:F358)/3</f>
        <v>122.191231333333</v>
      </c>
      <c r="G126" s="34" t="n">
        <f aca="false">SUM('4.1.1'!G356:G358)/3</f>
        <v>42.322</v>
      </c>
      <c r="H126" s="34" t="n">
        <f aca="false">SUM('4.1.1'!H356:H358)/3</f>
        <v>52.9902056666667</v>
      </c>
      <c r="I126" s="34" t="n">
        <f aca="false">SUM('4.1.1'!I356:I358)/3</f>
        <v>89.6538040199948</v>
      </c>
      <c r="J126" s="36" t="n">
        <f aca="false">F126-E126</f>
        <v>3.43494407688621</v>
      </c>
      <c r="K126" s="34"/>
      <c r="L126" s="37"/>
      <c r="M126" s="37"/>
    </row>
    <row r="127" customFormat="false" ht="14.25" hidden="false" customHeight="true" outlineLevel="0" collapsed="false">
      <c r="A127" s="32" t="n">
        <v>2018</v>
      </c>
      <c r="B127" s="32" t="s">
        <v>80</v>
      </c>
      <c r="C127" s="64"/>
      <c r="D127" s="34" t="n">
        <f aca="false">SUM('4.1.1'!D359:D361)/3</f>
        <v>130.203061</v>
      </c>
      <c r="E127" s="34" t="n">
        <f aca="false">SUM('4.1.1'!E359:E361)/3</f>
        <v>120.57074390414</v>
      </c>
      <c r="F127" s="34" t="n">
        <f aca="false">SUM('4.1.1'!F359:F361)/3</f>
        <v>124.003549666667</v>
      </c>
      <c r="G127" s="34" t="n">
        <f aca="false">SUM('4.1.1'!G359:G361)/3</f>
        <v>44.329</v>
      </c>
      <c r="H127" s="34" t="n">
        <f aca="false">SUM('4.1.1'!H359:H361)/3</f>
        <v>53.3180356666667</v>
      </c>
      <c r="I127" s="34" t="n">
        <f aca="false">SUM('4.1.1'!I359:I361)/3</f>
        <v>94.1672000966632</v>
      </c>
      <c r="J127" s="36" t="n">
        <f aca="false">F127-E127</f>
        <v>3.43280576252687</v>
      </c>
      <c r="K127" s="34"/>
      <c r="L127" s="37"/>
      <c r="M127" s="37"/>
    </row>
    <row r="128" customFormat="false" ht="14.25" hidden="false" customHeight="true" outlineLevel="0" collapsed="false">
      <c r="A128" s="32" t="n">
        <v>2018</v>
      </c>
      <c r="B128" s="32" t="s">
        <v>81</v>
      </c>
      <c r="C128" s="64"/>
      <c r="D128" s="34" t="n">
        <f aca="false">SUM('4.1.1'!D362:D364)/3</f>
        <v>134.209609</v>
      </c>
      <c r="E128" s="34" t="n">
        <f aca="false">SUM('4.1.1'!E362:E364)/3</f>
        <v>124.396176037246</v>
      </c>
      <c r="F128" s="34" t="n">
        <f aca="false">SUM('4.1.1'!F362:F364)/3</f>
        <v>128.108502333333</v>
      </c>
      <c r="G128" s="34" t="n">
        <f aca="false">SUM('4.1.1'!G362:G364)/3</f>
        <v>48.119</v>
      </c>
      <c r="H128" s="34" t="n">
        <f aca="false">SUM('4.1.1'!H362:H364)/3</f>
        <v>58.973552</v>
      </c>
      <c r="I128" s="34" t="n">
        <f aca="false">SUM('4.1.1'!I362:I364)/3</f>
        <v>105.916577255662</v>
      </c>
      <c r="J128" s="36" t="n">
        <f aca="false">F128-E128</f>
        <v>3.71232629608757</v>
      </c>
      <c r="K128" s="34"/>
      <c r="L128" s="37"/>
      <c r="M128" s="37"/>
    </row>
    <row r="129" customFormat="false" ht="14.25" hidden="false" customHeight="true" outlineLevel="0" collapsed="false">
      <c r="A129" s="32" t="n">
        <v>2018</v>
      </c>
      <c r="B129" s="32" t="s">
        <v>82</v>
      </c>
      <c r="C129" s="64"/>
      <c r="D129" s="34" t="n">
        <f aca="false">SUM('4.1.1'!D365:D367)/3</f>
        <v>139.103126</v>
      </c>
      <c r="E129" s="34" t="n">
        <f aca="false">SUM('4.1.1'!E365:E367)/3</f>
        <v>128.995051634258</v>
      </c>
      <c r="F129" s="34" t="n">
        <f aca="false">SUM('4.1.1'!F365:F367)/3</f>
        <v>132.923454</v>
      </c>
      <c r="G129" s="34" t="n">
        <f aca="false">SUM('4.1.1'!G365:G367)/3</f>
        <v>49.6203333333333</v>
      </c>
      <c r="H129" s="34" t="n">
        <f aca="false">SUM('4.1.1'!H365:H367)/3</f>
        <v>62.1754223333333</v>
      </c>
      <c r="I129" s="34" t="n">
        <f aca="false">SUM('4.1.1'!I365:I367)/3</f>
        <v>111.746465119496</v>
      </c>
      <c r="J129" s="36" t="n">
        <f aca="false">F129-E129</f>
        <v>3.92840236574236</v>
      </c>
      <c r="K129" s="34"/>
      <c r="L129" s="37"/>
      <c r="M129" s="37"/>
    </row>
    <row r="130" customFormat="false" ht="14.25" hidden="false" customHeight="true" outlineLevel="0" collapsed="false">
      <c r="A130" s="32" t="n">
        <v>2018</v>
      </c>
      <c r="B130" s="32" t="s">
        <v>83</v>
      </c>
      <c r="C130" s="64"/>
      <c r="D130" s="34" t="n">
        <f aca="false">SUM('4.1.1'!D368:D370)/3</f>
        <v>137.228997666667</v>
      </c>
      <c r="E130" s="34" t="n">
        <f aca="false">SUM('4.1.1'!E368:E370)/3</f>
        <v>126.821913221805</v>
      </c>
      <c r="F130" s="34" t="n">
        <f aca="false">SUM('4.1.1'!F368:F370)/3</f>
        <v>134.893159666667</v>
      </c>
      <c r="G130" s="34" t="n">
        <f aca="false">SUM('4.1.1'!G368:G370)/3</f>
        <v>50.7073333333333</v>
      </c>
      <c r="H130" s="34" t="n">
        <f aca="false">SUM('4.1.1'!H368:H370)/3</f>
        <v>63.086895</v>
      </c>
      <c r="I130" s="34" t="n">
        <f aca="false">SUM('4.1.1'!I368:I370)/3</f>
        <v>105.035443212855</v>
      </c>
      <c r="J130" s="36" t="n">
        <f aca="false">F130-E130</f>
        <v>8.07124644486132</v>
      </c>
      <c r="K130" s="34"/>
      <c r="L130" s="37"/>
      <c r="M130" s="37"/>
    </row>
    <row r="131" customFormat="false" ht="14.25" hidden="false" customHeight="true" outlineLevel="0" collapsed="false">
      <c r="A131" s="32" t="n">
        <v>2019</v>
      </c>
      <c r="B131" s="32" t="s">
        <v>80</v>
      </c>
      <c r="C131" s="64"/>
      <c r="D131" s="34" t="n">
        <f aca="false">SUM('4.1.1'!D371:D373)/3</f>
        <v>130.220221666667</v>
      </c>
      <c r="E131" s="34" t="n">
        <f aca="false">SUM('4.1.1'!E371:E373)/3</f>
        <v>119.574471369384</v>
      </c>
      <c r="F131" s="34" t="n">
        <f aca="false">SUM('4.1.1'!F371:F373)/3</f>
        <v>129.639776666667</v>
      </c>
      <c r="G131" s="34" t="n">
        <f aca="false">SUM('4.1.1'!G371:G373)/3</f>
        <v>46.799</v>
      </c>
      <c r="H131" s="34" t="n">
        <f aca="false">SUM('4.1.1'!H371:H373)/3</f>
        <v>58.067174</v>
      </c>
      <c r="I131" s="34" t="n">
        <f aca="false">SUM('4.1.1'!I371:I373)/3</f>
        <v>94.4159435607259</v>
      </c>
      <c r="J131" s="36" t="n">
        <f aca="false">F131-E131</f>
        <v>10.0653052972822</v>
      </c>
      <c r="K131" s="34"/>
      <c r="L131" s="37"/>
      <c r="M131" s="37"/>
    </row>
    <row r="132" customFormat="false" ht="14.25" hidden="false" customHeight="true" outlineLevel="0" collapsed="false">
      <c r="A132" s="32" t="n">
        <v>2019</v>
      </c>
      <c r="B132" s="32" t="s">
        <v>81</v>
      </c>
      <c r="C132" s="64"/>
      <c r="D132" s="34" t="n">
        <f aca="false">SUM('4.1.1'!D374:D376)/3</f>
        <v>137.885827333333</v>
      </c>
      <c r="E132" s="34" t="n">
        <f aca="false">SUM('4.1.1'!E374:E376)/3</f>
        <v>126.598389844418</v>
      </c>
      <c r="F132" s="34" t="n">
        <f aca="false">SUM('4.1.1'!F374:F376)/3</f>
        <v>133.85721</v>
      </c>
      <c r="G132" s="34" t="n">
        <f aca="false">SUM('4.1.1'!G374:G376)/3</f>
        <v>46.6576666666667</v>
      </c>
      <c r="H132" s="34" t="n">
        <f aca="false">SUM('4.1.1'!H374:H376)/3</f>
        <v>59.416411</v>
      </c>
      <c r="I132" s="34" t="n">
        <f aca="false">SUM('4.1.1'!I374:I376)/3</f>
        <v>105.232802434155</v>
      </c>
      <c r="J132" s="36" t="n">
        <f aca="false">F132-E132</f>
        <v>7.25882015558219</v>
      </c>
      <c r="K132" s="34"/>
      <c r="L132" s="37"/>
      <c r="M132" s="37"/>
    </row>
    <row r="133" customFormat="false" ht="14.25" hidden="false" customHeight="true" outlineLevel="0" collapsed="false">
      <c r="A133" s="32" t="n">
        <v>2019</v>
      </c>
      <c r="B133" s="32" t="s">
        <v>82</v>
      </c>
      <c r="C133" s="64"/>
      <c r="D133" s="34" t="n">
        <f aca="false">SUM('4.1.1'!D377:D379)/3</f>
        <v>138.977566666667</v>
      </c>
      <c r="E133" s="34" t="n">
        <f aca="false">SUM('4.1.1'!E377:E379)/3</f>
        <v>127.629545603713</v>
      </c>
      <c r="F133" s="34" t="n">
        <f aca="false">SUM('4.1.1'!F377:F379)/3</f>
        <v>131.869259666667</v>
      </c>
      <c r="G133" s="34" t="n">
        <f aca="false">SUM('4.1.1'!G377:G379)/3</f>
        <v>47.2053333333333</v>
      </c>
      <c r="H133" s="34" t="n">
        <f aca="false">SUM('4.1.1'!H377:H379)/3</f>
        <v>59.52053</v>
      </c>
      <c r="I133" s="34" t="n">
        <f aca="false">SUM('4.1.1'!I377:I379)/3</f>
        <v>99.1611008220585</v>
      </c>
      <c r="J133" s="36" t="n">
        <f aca="false">F133-E133</f>
        <v>4.23971406295406</v>
      </c>
      <c r="K133" s="34"/>
      <c r="L133" s="37"/>
      <c r="M133" s="37"/>
    </row>
    <row r="134" customFormat="false" ht="14.25" hidden="false" customHeight="true" outlineLevel="0" collapsed="false">
      <c r="A134" s="32" t="n">
        <v>2019</v>
      </c>
      <c r="B134" s="32" t="s">
        <v>83</v>
      </c>
      <c r="C134" s="64"/>
      <c r="D134" s="34" t="n">
        <f aca="false">SUM('4.1.1'!D380:D382)/3</f>
        <v>137.639938666667</v>
      </c>
      <c r="E134" s="34" t="n">
        <f aca="false">SUM('4.1.1'!E380:E382)/3</f>
        <v>125.709587165801</v>
      </c>
      <c r="F134" s="34" t="n">
        <f aca="false">SUM('4.1.1'!F380:F382)/3</f>
        <v>130.535605333333</v>
      </c>
      <c r="G134" s="34" t="n">
        <f aca="false">SUM('4.1.1'!G380:G382)/3</f>
        <v>47.0433333333333</v>
      </c>
      <c r="H134" s="34" t="n">
        <f aca="false">SUM('4.1.1'!H380:H382)/3</f>
        <v>58.3901613333333</v>
      </c>
      <c r="I134" s="34" t="n">
        <f aca="false">SUM('4.1.1'!I380:I382)/3</f>
        <v>97.284815494893</v>
      </c>
      <c r="J134" s="36" t="n">
        <f aca="false">F134-E134</f>
        <v>4.82601816753244</v>
      </c>
      <c r="K134" s="34"/>
      <c r="L134" s="37"/>
      <c r="M134" s="37"/>
    </row>
    <row r="135" customFormat="false" ht="14.25" hidden="false" customHeight="true" outlineLevel="0" collapsed="false">
      <c r="A135" s="32" t="n">
        <v>2020</v>
      </c>
      <c r="B135" s="32" t="s">
        <v>80</v>
      </c>
      <c r="C135" s="64"/>
      <c r="D135" s="34" t="n">
        <f aca="false">SUM('4.1.1'!D383:D385)/3</f>
        <v>136.016875666667</v>
      </c>
      <c r="E135" s="34" t="n">
        <f aca="false">SUM('4.1.1'!E383:E385)/3</f>
        <v>123.652277015814</v>
      </c>
      <c r="F135" s="34" t="n">
        <f aca="false">SUM('4.1.1'!F383:F385)/3</f>
        <v>128.170549</v>
      </c>
      <c r="G135" s="34" t="n">
        <f aca="false">SUM('4.1.1'!G383:G385)/3</f>
        <v>40.4</v>
      </c>
      <c r="H135" s="34" t="n">
        <f aca="false">SUM('4.1.1'!H383:H385)/3</f>
        <v>53.415167</v>
      </c>
      <c r="I135" s="34" t="n">
        <f aca="false">SUM('4.1.1'!I383:I385)/3</f>
        <v>83.101871602468</v>
      </c>
      <c r="J135" s="36" t="n">
        <f aca="false">F135-E135</f>
        <v>4.51827198418621</v>
      </c>
      <c r="K135" s="34"/>
      <c r="L135" s="37"/>
      <c r="M135" s="37"/>
    </row>
    <row r="136" customFormat="false" ht="14.25" hidden="false" customHeight="true" outlineLevel="0" collapsed="false">
      <c r="A136" s="32" t="n">
        <v>2020</v>
      </c>
      <c r="B136" s="32" t="s">
        <v>81</v>
      </c>
      <c r="C136" s="64"/>
      <c r="D136" s="34" t="n">
        <f aca="false">SUM('4.1.1'!D386:D388)/3</f>
        <v>120.68816</v>
      </c>
      <c r="E136" s="34" t="n">
        <f aca="false">SUM('4.1.1'!E386:E388)/3</f>
        <v>106.528179985643</v>
      </c>
      <c r="F136" s="34" t="n">
        <f aca="false">SUM('4.1.1'!F386:F388)/3</f>
        <v>113.110229</v>
      </c>
      <c r="G136" s="34" t="n">
        <f aca="false">SUM('4.1.1'!G386:G388)/3</f>
        <v>22.9653333333333</v>
      </c>
      <c r="H136" s="34" t="n">
        <f aca="false">SUM('4.1.1'!H386:H388)/3</f>
        <v>40.9540456666667</v>
      </c>
      <c r="I136" s="34" t="n">
        <f aca="false">SUM('4.1.1'!I386:I388)/3</f>
        <v>46.525920788237</v>
      </c>
      <c r="J136" s="36" t="n">
        <f aca="false">F136-E136</f>
        <v>6.58204901435654</v>
      </c>
      <c r="K136" s="34"/>
      <c r="L136" s="37"/>
      <c r="M136" s="37"/>
    </row>
    <row r="137" customFormat="false" ht="14.25" hidden="false" customHeight="true" outlineLevel="0" collapsed="false">
      <c r="A137" s="32" t="n">
        <v>2020</v>
      </c>
      <c r="B137" s="32" t="s">
        <v>82</v>
      </c>
      <c r="C137" s="64"/>
      <c r="D137" s="34" t="n">
        <f aca="false">SUM('4.1.1'!D389:D391)/3</f>
        <v>125.812852333333</v>
      </c>
      <c r="E137" s="34" t="n">
        <f aca="false">SUM('4.1.1'!E389:E391)/3</f>
        <v>112.374857525988</v>
      </c>
      <c r="F137" s="34" t="n">
        <f aca="false">SUM('4.1.1'!F389:F391)/3</f>
        <v>117.406385666667</v>
      </c>
      <c r="G137" s="34" t="n">
        <f aca="false">SUM('4.1.1'!G389:G391)/3</f>
        <v>26.647</v>
      </c>
      <c r="H137" s="34" t="n">
        <f aca="false">SUM('4.1.1'!H389:H391)/3</f>
        <v>44.8461066666667</v>
      </c>
      <c r="I137" s="34" t="n">
        <f aca="false">SUM('4.1.1'!I389:I391)/3</f>
        <v>66.0575843435094</v>
      </c>
      <c r="J137" s="36" t="n">
        <f aca="false">F137-E137</f>
        <v>5.03152814067852</v>
      </c>
      <c r="K137" s="34"/>
      <c r="L137" s="37"/>
      <c r="M137" s="37"/>
    </row>
    <row r="138" customFormat="false" ht="14.25" hidden="false" customHeight="true" outlineLevel="0" collapsed="false">
      <c r="A138" s="32" t="n">
        <v>2020</v>
      </c>
      <c r="B138" s="32" t="s">
        <v>83</v>
      </c>
      <c r="C138" s="64"/>
      <c r="D138" s="34" t="n">
        <f aca="false">SUM('4.1.1'!D392:D394)/3</f>
        <v>126.598200666667</v>
      </c>
      <c r="E138" s="34" t="n">
        <f aca="false">SUM('4.1.1'!E392:E394)/3</f>
        <v>113.233856634888</v>
      </c>
      <c r="F138" s="34" t="n">
        <f aca="false">SUM('4.1.1'!F392:F394)/3</f>
        <v>117.853729333333</v>
      </c>
      <c r="G138" s="34" t="n">
        <f aca="false">SUM('4.1.1'!G392:G394)/3</f>
        <v>28.3433333333333</v>
      </c>
      <c r="H138" s="34" t="n">
        <f aca="false">SUM('4.1.1'!H392:H394)/3</f>
        <v>45.1844653333333</v>
      </c>
      <c r="I138" s="34" t="n">
        <f aca="false">SUM('4.1.1'!I392:I394)/3</f>
        <v>64.5793191367363</v>
      </c>
      <c r="J138" s="36" t="n">
        <f aca="false">F138-E138</f>
        <v>4.61987269844536</v>
      </c>
      <c r="K138" s="34"/>
      <c r="L138" s="37"/>
      <c r="M138" s="37"/>
    </row>
    <row r="139" customFormat="false" ht="14.25" hidden="false" customHeight="true" outlineLevel="0" collapsed="false">
      <c r="A139" s="32" t="n">
        <v>2021</v>
      </c>
      <c r="B139" s="32" t="s">
        <v>80</v>
      </c>
      <c r="C139" s="64"/>
      <c r="D139" s="34" t="n">
        <f aca="false">SUM('4.1.1'!D395:D397)/3</f>
        <v>133.635443333333</v>
      </c>
      <c r="E139" s="34" t="n">
        <f aca="false">SUM('4.1.1'!E395:E397)/3</f>
        <v>120.660684872051</v>
      </c>
      <c r="F139" s="34" t="n">
        <f aca="false">SUM('4.1.1'!F395:F397)/3</f>
        <v>124.918565666667</v>
      </c>
      <c r="G139" s="34" t="n">
        <f aca="false">SUM('4.1.1'!G395:G397)/3</f>
        <v>36.8293333333333</v>
      </c>
      <c r="H139" s="34" t="n">
        <f aca="false">SUM('4.1.1'!H395:H397)/3</f>
        <v>52.8032056666667</v>
      </c>
      <c r="I139" s="34" t="n">
        <f aca="false">SUM('4.1.1'!I395:I397)/3</f>
        <v>84.3214077884137</v>
      </c>
      <c r="J139" s="36" t="n">
        <f aca="false">F139-E139</f>
        <v>4.25788079461593</v>
      </c>
      <c r="K139" s="34"/>
      <c r="L139" s="37"/>
      <c r="M139" s="37"/>
    </row>
    <row r="140" customFormat="false" ht="14.25" hidden="false" customHeight="true" outlineLevel="0" collapsed="false">
      <c r="A140" s="32" t="n">
        <v>2021</v>
      </c>
      <c r="B140" s="32" t="s">
        <v>81</v>
      </c>
      <c r="C140" s="64"/>
      <c r="D140" s="34" t="n">
        <f aca="false">SUM('4.1.1'!D398:D400)/3</f>
        <v>140.502677049667</v>
      </c>
      <c r="E140" s="34" t="n">
        <f aca="false">SUM('4.1.1'!E398:E400)/3</f>
        <v>127.366377269455</v>
      </c>
      <c r="F140" s="34" t="n">
        <f aca="false">SUM('4.1.1'!F398:F400)/3</f>
        <v>131.0213924</v>
      </c>
      <c r="G140" s="34" t="n">
        <f aca="false">SUM('4.1.1'!G398:G400)/3</f>
        <v>40.2286666666667</v>
      </c>
      <c r="H140" s="34" t="n">
        <f aca="false">SUM('4.1.1'!H398:H400)/3</f>
        <v>55.8019483333333</v>
      </c>
      <c r="I140" s="34" t="n">
        <f aca="false">SUM('4.1.1'!I398:I400)/3</f>
        <v>94.2645975061016</v>
      </c>
      <c r="J140" s="36" t="n">
        <f aca="false">F140-E140</f>
        <v>3.65501513054464</v>
      </c>
      <c r="K140" s="34"/>
      <c r="L140" s="37"/>
      <c r="M140" s="37"/>
    </row>
    <row r="141" customFormat="false" ht="14.25" hidden="false" customHeight="true" outlineLevel="0" collapsed="false">
      <c r="A141" s="32" t="n">
        <v>2021</v>
      </c>
      <c r="B141" s="32" t="s">
        <v>82</v>
      </c>
      <c r="C141" s="64"/>
      <c r="D141" s="34" t="n">
        <f aca="false">SUM('4.1.1'!D401:D403)/3</f>
        <v>147.575574563333</v>
      </c>
      <c r="E141" s="34" t="n">
        <f aca="false">SUM('4.1.1'!E401:E403)/3</f>
        <v>133.951839351859</v>
      </c>
      <c r="F141" s="34" t="n">
        <f aca="false">SUM('4.1.1'!F401:F403)/3</f>
        <v>136.377627688</v>
      </c>
      <c r="G141" s="34" t="n">
        <f aca="false">SUM('4.1.1'!G401:G403)/3</f>
        <v>40.989</v>
      </c>
      <c r="H141" s="34" t="n">
        <f aca="false">SUM('4.1.1'!H401:H403)/3</f>
        <v>58.3740273333333</v>
      </c>
      <c r="I141" s="34" t="n">
        <f aca="false">SUM('4.1.1'!I401:I403)/3</f>
        <v>102.477910771898</v>
      </c>
      <c r="J141" s="36" t="n">
        <f aca="false">F141-E141</f>
        <v>2.4257883361409</v>
      </c>
      <c r="K141" s="34"/>
      <c r="L141" s="37"/>
      <c r="M141" s="37"/>
    </row>
    <row r="142" customFormat="false" ht="14.25" hidden="false" customHeight="true" outlineLevel="0" collapsed="false">
      <c r="A142" s="32" t="n">
        <v>2021</v>
      </c>
      <c r="B142" s="32" t="s">
        <v>83</v>
      </c>
      <c r="C142" s="64"/>
      <c r="D142" s="34" t="n">
        <f aca="false">SUM('4.1.1'!D404:D406)/3</f>
        <v>157.754627118877</v>
      </c>
      <c r="E142" s="34" t="n">
        <f aca="false">SUM('4.1.1'!E404:E406)/3</f>
        <v>143.099414172469</v>
      </c>
      <c r="F142" s="34" t="n">
        <f aca="false">SUM('4.1.1'!F404:F406)/3</f>
        <v>147.430443666667</v>
      </c>
      <c r="G142" s="34" t="n">
        <f aca="false">SUM('4.1.1'!G404:G406)/3</f>
        <v>53.0516666666667</v>
      </c>
      <c r="H142" s="34" t="n">
        <f aca="false">SUM('4.1.1'!H404:H406)/3</f>
        <v>72.6384026666667</v>
      </c>
      <c r="I142" s="34" t="n">
        <f aca="false">SUM('4.1.1'!I404:I406)/3</f>
        <v>114.89118784156</v>
      </c>
      <c r="J142" s="36" t="n">
        <f aca="false">F142-E142</f>
        <v>4.33102949419771</v>
      </c>
      <c r="K142" s="34"/>
      <c r="L142" s="37"/>
      <c r="M142" s="37"/>
    </row>
    <row r="143" customFormat="false" ht="14.25" hidden="false" customHeight="true" outlineLevel="0" collapsed="false">
      <c r="A143" s="32" t="n">
        <v>2022</v>
      </c>
      <c r="B143" s="32" t="s">
        <v>80</v>
      </c>
      <c r="C143" s="64"/>
      <c r="D143" s="34" t="n">
        <f aca="false">SUM('4.1.1'!D407:D409)/3</f>
        <v>163.312239666667</v>
      </c>
      <c r="E143" s="34" t="n">
        <f aca="false">SUM('4.1.1'!E407:E409)/3</f>
        <v>151.262250463854</v>
      </c>
      <c r="F143" s="34" t="n">
        <f aca="false">SUM('4.1.1'!F407:F409)/3</f>
        <v>157.070029333333</v>
      </c>
      <c r="G143" s="34" t="n">
        <f aca="false">SUM('4.1.1'!G407:G409)/3</f>
        <v>65.967</v>
      </c>
      <c r="H143" s="34" t="n">
        <f aca="false">SUM('4.1.1'!H407:H409)/3</f>
        <v>90.2904023333333</v>
      </c>
      <c r="I143" s="34" t="n">
        <f aca="false">SUM('4.1.1'!I407:I409)/3</f>
        <v>145.667069244926</v>
      </c>
      <c r="J143" s="36" t="n">
        <f aca="false">F143-E143</f>
        <v>5.80777886947948</v>
      </c>
      <c r="K143" s="34"/>
      <c r="L143" s="37"/>
      <c r="M143" s="37"/>
    </row>
    <row r="144" customFormat="false" ht="14.25" hidden="false" customHeight="true" outlineLevel="0" collapsed="false">
      <c r="A144" s="32" t="n">
        <v>2022</v>
      </c>
      <c r="B144" s="32" t="s">
        <v>81</v>
      </c>
      <c r="C144" s="64"/>
      <c r="D144" s="34" t="n">
        <f aca="false">SUM('4.1.1'!D410:D412)/3</f>
        <v>181.26242917639</v>
      </c>
      <c r="E144" s="34" t="n">
        <f aca="false">SUM('4.1.1'!E410:E412)/3</f>
        <v>169.977454829273</v>
      </c>
      <c r="F144" s="34" t="n">
        <f aca="false">SUM('4.1.1'!F410:F412)/3</f>
        <v>181.818594666667</v>
      </c>
      <c r="G144" s="34" t="n">
        <f aca="false">SUM('4.1.1'!G410:G412)/3</f>
        <v>91.7246666666667</v>
      </c>
      <c r="H144" s="34" t="n">
        <f aca="false">SUM('4.1.1'!H410:H412)/3</f>
        <v>110.619995</v>
      </c>
      <c r="I144" s="34" t="n">
        <f aca="false">SUM('4.1.1'!I410:I412)/3</f>
        <v>180.452615939658</v>
      </c>
      <c r="J144" s="36" t="n">
        <f aca="false">F144-E144</f>
        <v>11.8411398373937</v>
      </c>
      <c r="K144" s="34"/>
      <c r="L144" s="37"/>
      <c r="M144" s="37"/>
    </row>
    <row r="145" customFormat="false" ht="14.25" hidden="false" customHeight="true" outlineLevel="0" collapsed="false">
      <c r="A145" s="32" t="n">
        <v>2022</v>
      </c>
      <c r="B145" s="32" t="s">
        <v>82</v>
      </c>
      <c r="C145" s="64"/>
      <c r="D145" s="34" t="n">
        <f aca="false">SUM('4.1.1'!D413:D415)/3</f>
        <v>187.44498544376</v>
      </c>
      <c r="E145" s="34" t="n">
        <f aca="false">SUM('4.1.1'!E413:E415)/3</f>
        <v>176.67880680514</v>
      </c>
      <c r="F145" s="34" t="n">
        <f aca="false">SUM('4.1.1'!F413:F415)/3</f>
        <v>188.182517</v>
      </c>
      <c r="G145" s="34" t="n">
        <f aca="false">SUM('4.1.1'!G413:G415)/3</f>
        <v>83.1326666666667</v>
      </c>
      <c r="H145" s="34" t="n">
        <f aca="false">SUM('4.1.1'!H413:H415)/3</f>
        <v>106.396737</v>
      </c>
      <c r="I145" s="34" t="n">
        <f aca="false">SUM('4.1.1'!I413:I415)/3</f>
        <v>175.746153300492</v>
      </c>
      <c r="J145" s="36" t="n">
        <f aca="false">F145-E145</f>
        <v>11.5037101948603</v>
      </c>
      <c r="K145" s="34"/>
      <c r="L145" s="37"/>
      <c r="M145" s="37"/>
    </row>
    <row r="146" customFormat="false" ht="14.25" hidden="false" customHeight="true" outlineLevel="0" collapsed="false">
      <c r="A146" s="32" t="n">
        <v>2022</v>
      </c>
      <c r="B146" s="32" t="s">
        <v>83</v>
      </c>
      <c r="C146" s="64"/>
      <c r="D146" s="34" t="n">
        <f aca="false">SUM('4.1.1'!D416:D418)/3</f>
        <v>173.538601017282</v>
      </c>
      <c r="E146" s="34" t="n">
        <f aca="false">SUM('4.1.1'!E416:E418)/3</f>
        <v>161.010584865686</v>
      </c>
      <c r="F146" s="34" t="n">
        <f aca="false">SUM('4.1.1'!F416:F418)/3</f>
        <v>183.561385666667</v>
      </c>
      <c r="G146" s="34" t="n">
        <f aca="false">SUM('4.1.1'!G416:G418)/3</f>
        <v>81.1693333333333</v>
      </c>
      <c r="H146" s="34" t="n">
        <f aca="false">SUM('4.1.1'!H416:H418)/3</f>
        <v>110.265768</v>
      </c>
      <c r="I146" s="34" t="n">
        <f aca="false">SUM('4.1.1'!I416:I418)/3</f>
        <v>150.860517668316</v>
      </c>
      <c r="J146" s="36" t="n">
        <f aca="false">F146-E146</f>
        <v>22.5508008009811</v>
      </c>
      <c r="K146" s="34"/>
      <c r="L146" s="37"/>
      <c r="M146" s="37"/>
    </row>
    <row r="147" customFormat="false" ht="14.25" hidden="false" customHeight="true" outlineLevel="0" collapsed="false">
      <c r="A147" s="32" t="n">
        <v>2023</v>
      </c>
      <c r="B147" s="32" t="s">
        <v>80</v>
      </c>
      <c r="C147" s="64"/>
      <c r="D147" s="34" t="n">
        <f aca="false">SUM('4.1.1'!D419:D421)/3</f>
        <v>160.808975073266</v>
      </c>
      <c r="E147" s="34" t="n">
        <f aca="false">SUM('4.1.1'!E419:E421)/3</f>
        <v>147.778372216043</v>
      </c>
      <c r="F147" s="34" t="n">
        <f aca="false">SUM('4.1.1'!F419:F421)/3</f>
        <v>169.198890333333</v>
      </c>
      <c r="G147" s="34" t="n">
        <f aca="false">SUM('4.1.1'!G419:G421)/3</f>
        <v>70.166</v>
      </c>
      <c r="H147" s="34" t="n">
        <f aca="false">SUM('4.1.1'!H419:H421)/3</f>
        <v>85.791853</v>
      </c>
      <c r="I147" s="34" t="n">
        <f aca="false">SUM('4.1.1'!I419:I421)/3</f>
        <v>132.340256608128</v>
      </c>
      <c r="J147" s="36" t="n">
        <f aca="false">F147-E147</f>
        <v>21.4205181172899</v>
      </c>
      <c r="K147" s="34"/>
      <c r="L147" s="37"/>
      <c r="M147" s="37"/>
    </row>
    <row r="148" customFormat="false" ht="14.25" hidden="false" customHeight="true" outlineLevel="0" collapsed="false">
      <c r="A148" s="32" t="n">
        <v>2023</v>
      </c>
      <c r="B148" s="32" t="s">
        <v>81</v>
      </c>
      <c r="C148" s="64"/>
      <c r="D148" s="34" t="n">
        <f aca="false">SUM('4.1.1'!D422:D424)/3</f>
        <v>157.417623614038</v>
      </c>
      <c r="E148" s="34" t="n">
        <f aca="false">SUM('4.1.1'!E422:E424)/3</f>
        <v>144.471012071912</v>
      </c>
      <c r="F148" s="34" t="n">
        <f aca="false">SUM('4.1.1'!F422:F424)/3</f>
        <v>154.281476666667</v>
      </c>
      <c r="G148" s="34" t="n">
        <f aca="false">SUM('4.1.1'!G422:G424)/3</f>
        <v>56.347</v>
      </c>
      <c r="H148" s="34" t="n">
        <f aca="false">SUM('4.1.1'!H422:H424)/3</f>
        <v>81.4534573333333</v>
      </c>
      <c r="I148" s="34" t="n">
        <f aca="false">SUM('4.1.1'!I422:I424)/3</f>
        <v>122.830743317636</v>
      </c>
      <c r="J148" s="36" t="n">
        <f aca="false">F148-E148</f>
        <v>9.81046459475454</v>
      </c>
      <c r="K148" s="34"/>
      <c r="L148" s="37"/>
      <c r="M148" s="37"/>
    </row>
    <row r="149" customFormat="false" ht="14.25" hidden="false" customHeight="true" outlineLevel="0" collapsed="false">
      <c r="A149" s="32" t="n">
        <v>2023</v>
      </c>
      <c r="B149" s="32" t="s">
        <v>82</v>
      </c>
      <c r="C149" s="64"/>
      <c r="D149" s="34" t="n">
        <f aca="false">SUM('4.1.1'!D425:D427)/3</f>
        <v>161.285396222419</v>
      </c>
      <c r="E149" s="34" t="n">
        <f aca="false">SUM('4.1.1'!E425:E427)/3</f>
        <v>148.318712138006</v>
      </c>
      <c r="F149" s="34" t="n">
        <f aca="false">SUM('4.1.1'!F425:F427)/3</f>
        <v>151.146224333333</v>
      </c>
      <c r="G149" s="34" t="n">
        <f aca="false">SUM('4.1.1'!G425:G427)/3</f>
        <v>66.8383333333333</v>
      </c>
      <c r="H149" s="34" t="n">
        <f aca="false">SUM('4.1.1'!H425:H427)/3</f>
        <v>85.491326</v>
      </c>
      <c r="I149" s="34" t="n">
        <f aca="false">SUM('4.1.1'!I425:I427)/3</f>
        <v>133.566964782197</v>
      </c>
      <c r="J149" s="36" t="n">
        <f aca="false">F149-E149</f>
        <v>2.82751219532716</v>
      </c>
      <c r="K149" s="34"/>
      <c r="L149" s="37"/>
      <c r="M149" s="37"/>
    </row>
    <row r="150" customFormat="false" ht="14.25" hidden="false" customHeight="true" outlineLevel="0" collapsed="false">
      <c r="A150" s="32" t="n">
        <v>2023</v>
      </c>
      <c r="B150" s="32" t="s">
        <v>83</v>
      </c>
      <c r="C150" s="64"/>
      <c r="D150" s="34" t="n">
        <f aca="false">SUM('4.1.1'!D428:D430)/3</f>
        <v>163.861720693048</v>
      </c>
      <c r="E150" s="34" t="n">
        <f aca="false">SUM('4.1.1'!E428:E430)/3</f>
        <v>150.417238088008</v>
      </c>
      <c r="F150" s="34" t="n">
        <f aca="false">SUM('4.1.1'!F428:F430)/3</f>
        <v>158.128253666667</v>
      </c>
      <c r="G150" s="34" t="n">
        <f aca="false">SUM('4.1.1'!G428:G430)/3</f>
        <v>68.2626666666667</v>
      </c>
      <c r="H150" s="34" t="n">
        <f aca="false">SUM('4.1.1'!H428:H430)/3</f>
        <v>80.9320463333334</v>
      </c>
      <c r="I150" s="34" t="n">
        <f aca="false">SUM('4.1.1'!I428:I430)/3</f>
        <v>137.693914575165</v>
      </c>
      <c r="J150" s="36" t="n">
        <f aca="false">F150-E150</f>
        <v>7.71101557865839</v>
      </c>
      <c r="K150" s="34"/>
      <c r="L150" s="37"/>
      <c r="M150" s="37"/>
    </row>
    <row r="151" customFormat="false" ht="14.25" hidden="false" customHeight="true" outlineLevel="0" collapsed="false">
      <c r="A151" s="32" t="n">
        <v>2024</v>
      </c>
      <c r="B151" s="32" t="s">
        <v>80</v>
      </c>
      <c r="C151" s="64"/>
      <c r="D151" s="34" t="n">
        <f aca="false">SUM('4.1.1'!D431:D433)/3</f>
        <v>154.982962657723</v>
      </c>
      <c r="E151" s="34" t="n">
        <f aca="false">SUM('4.1.1'!E431:E433)/3</f>
        <v>141.829747503582</v>
      </c>
      <c r="F151" s="34" t="n">
        <f aca="false">SUM('4.1.1'!F431:F433)/3</f>
        <v>150.669355333333</v>
      </c>
      <c r="G151" s="34" t="n">
        <f aca="false">SUM('4.1.1'!G431:G433)/3</f>
        <v>64.0986666666667</v>
      </c>
      <c r="H151" s="34" t="n">
        <f aca="false">SUM('4.1.1'!H431:H433)/3</f>
        <v>77.5547443333334</v>
      </c>
      <c r="I151" s="34" t="n">
        <f aca="false">SUM('4.1.1'!I431:I433)/3</f>
        <v>128.572244842145</v>
      </c>
      <c r="J151" s="36" t="n">
        <f aca="false">F151-E151</f>
        <v>8.8396078297518</v>
      </c>
      <c r="K151" s="34"/>
      <c r="L151" s="37"/>
      <c r="M151" s="37"/>
    </row>
    <row r="152" customFormat="false" ht="14.25" hidden="false" customHeight="true" outlineLevel="0" collapsed="false">
      <c r="A152" s="32" t="n">
        <v>2024</v>
      </c>
      <c r="B152" s="32" t="s">
        <v>81</v>
      </c>
      <c r="C152" s="64"/>
      <c r="D152" s="34" t="n">
        <f aca="false">SUM('4.1.1'!D434:D436)/3</f>
        <v>160.368261133873</v>
      </c>
      <c r="E152" s="34" t="n">
        <f aca="false">SUM('4.1.1'!E434:E436)/3</f>
        <v>147.75061781133</v>
      </c>
      <c r="F152" s="34" t="n">
        <f aca="false">SUM('4.1.1'!F434:F436)/3</f>
        <v>155.201147333333</v>
      </c>
      <c r="G152" s="34" t="n">
        <f aca="false">SUM('4.1.1'!G434:G436)/3</f>
        <v>60.7153333333333</v>
      </c>
      <c r="H152" s="34" t="n">
        <f aca="false">SUM('4.1.1'!H434:H436)/3</f>
        <v>74.6172466666667</v>
      </c>
      <c r="I152" s="34" t="n">
        <f aca="false">SUM('4.1.1'!I434:I436)/3</f>
        <v>132.622761175171</v>
      </c>
      <c r="J152" s="36" t="n">
        <f aca="false">F152-E152</f>
        <v>7.45052952200365</v>
      </c>
      <c r="K152" s="34"/>
      <c r="L152" s="37"/>
      <c r="M152" s="37"/>
    </row>
    <row r="153" customFormat="false" ht="12.75" hidden="false" customHeight="false" outlineLevel="0" collapsed="false">
      <c r="A153" s="32" t="n">
        <v>2024</v>
      </c>
      <c r="B153" s="32" t="s">
        <v>82</v>
      </c>
      <c r="C153" s="64"/>
      <c r="D153" s="34" t="n">
        <f aca="false">SUM('4.1.1'!D437:D439)/3</f>
        <v>155.031222893815</v>
      </c>
      <c r="E153" s="34" t="n">
        <f aca="false">SUM('4.1.1'!E437:E439)/3</f>
        <v>141.364580355154</v>
      </c>
      <c r="F153" s="34" t="n">
        <f aca="false">SUM('4.1.1'!F437:F439)/3</f>
        <v>146.817658666667</v>
      </c>
      <c r="G153" s="34" t="n">
        <f aca="false">SUM('4.1.1'!G437:G439)/3</f>
        <v>54.7856666666667</v>
      </c>
      <c r="H153" s="34" t="n">
        <f aca="false">SUM('4.1.1'!H437:H439)/3</f>
        <v>68.9470513333333</v>
      </c>
      <c r="I153" s="34" t="n">
        <f aca="false">SUM('4.1.1'!I437:I439)/3</f>
        <v>122.879047029091</v>
      </c>
      <c r="J153" s="36" t="n">
        <f aca="false">F153-E153</f>
        <v>5.4530783115128</v>
      </c>
      <c r="K153" s="34"/>
      <c r="L153" s="37"/>
      <c r="M153" s="37"/>
    </row>
    <row r="154" customFormat="false" ht="12.75" hidden="false" customHeight="false" outlineLevel="0" collapsed="false">
      <c r="A154" s="32" t="n">
        <v>2024</v>
      </c>
      <c r="B154" s="32" t="s">
        <v>83</v>
      </c>
      <c r="C154" s="64"/>
      <c r="D154" s="34" t="n">
        <f aca="false">SUM('4.1.1'!D440:D442)/3</f>
        <v>148.371063319685</v>
      </c>
      <c r="E154" s="34" t="n">
        <f aca="false">SUM('4.1.1'!E440:E442)/3</f>
        <v>134.965715956745</v>
      </c>
      <c r="F154" s="34" t="n">
        <f aca="false">SUM('4.1.1'!F440:F442)/3</f>
        <v>140.627378</v>
      </c>
      <c r="G154" s="34" t="n">
        <f aca="false">SUM('4.1.1'!G440:G442)/3</f>
        <v>53.375</v>
      </c>
      <c r="H154" s="34" t="n">
        <f aca="false">SUM('4.1.1'!H440:H442)/3</f>
        <v>68.1572843333334</v>
      </c>
      <c r="I154" s="34" t="n">
        <f aca="false">SUM('4.1.1'!I440:I442)/3</f>
        <v>115.316964703151</v>
      </c>
      <c r="J154" s="36" t="n">
        <f aca="false">F154-E154</f>
        <v>5.66166204325464</v>
      </c>
      <c r="K154" s="34"/>
      <c r="L154" s="37"/>
      <c r="M154" s="37"/>
    </row>
    <row r="155" customFormat="false" ht="12.75" hidden="false" customHeight="false" outlineLevel="0" collapsed="false">
      <c r="A155" s="32" t="n">
        <v>2025</v>
      </c>
      <c r="B155" s="32" t="s">
        <v>80</v>
      </c>
      <c r="C155" s="64"/>
      <c r="D155" s="34" t="n">
        <f aca="false">SUM('4.1.1'!D443:D445)/3</f>
        <v>150.855411629653</v>
      </c>
      <c r="E155" s="34" t="n">
        <f aca="false">SUM('4.1.1'!E443:E445)/3</f>
        <v>137.912038450456</v>
      </c>
      <c r="F155" s="34" t="n">
        <f aca="false">SUM('4.1.1'!F443:F445)/3</f>
        <v>144.966429</v>
      </c>
      <c r="G155" s="34" t="n">
        <f aca="false">SUM('4.1.1'!G443:G445)/3</f>
        <v>54.8973333333333</v>
      </c>
      <c r="H155" s="34" t="n">
        <f aca="false">SUM('4.1.1'!H443:H445)/3</f>
        <v>71.1230386666667</v>
      </c>
      <c r="I155" s="34" t="n">
        <f aca="false">SUM('4.1.1'!I443:I445)/3</f>
        <v>118.016014228142</v>
      </c>
      <c r="J155" s="36" t="n">
        <f aca="false">F155-E155</f>
        <v>7.05439054954417</v>
      </c>
      <c r="K155" s="34"/>
      <c r="L155" s="37"/>
      <c r="M155" s="37"/>
    </row>
    <row r="156" customFormat="false" ht="12.75" hidden="false" customHeight="false" outlineLevel="0" collapsed="false">
      <c r="A156" s="32" t="n">
        <v>2025</v>
      </c>
      <c r="B156" s="32" t="s">
        <v>81</v>
      </c>
      <c r="C156" s="64"/>
      <c r="D156" s="34" t="n">
        <f aca="false">SUM('4.1.1'!D446:D448)/3</f>
        <v>147.876357234721</v>
      </c>
      <c r="E156" s="34" t="n">
        <f aca="false">SUM('4.1.1'!E446:E448)/3</f>
        <v>132.864326339271</v>
      </c>
      <c r="F156" s="34" t="n">
        <f aca="false">SUM('4.1.1'!F446:F448)/3</f>
        <v>139.424149</v>
      </c>
      <c r="G156" s="34" t="n">
        <f aca="false">SUM('4.1.1'!G446:G448)/3</f>
        <v>48.8673333333333</v>
      </c>
      <c r="H156" s="34" t="n">
        <f aca="false">SUM('4.1.1'!H446:H448)/3</f>
        <v>63.5845673333333</v>
      </c>
      <c r="I156" s="34" t="n">
        <f aca="false">SUM('4.1.1'!I446:I448)/3</f>
        <v>99.5962218596562</v>
      </c>
      <c r="J156" s="36" t="n">
        <f aca="false">F156-E156</f>
        <v>6.55982266072866</v>
      </c>
      <c r="K156" s="34"/>
      <c r="L156" s="37"/>
      <c r="M156" s="37"/>
    </row>
    <row r="157" customFormat="false" ht="12.75" hidden="false" customHeight="false" outlineLevel="0" collapsed="false">
      <c r="A157" s="32" t="n">
        <v>2025</v>
      </c>
      <c r="B157" s="32" t="s">
        <v>82</v>
      </c>
      <c r="C157" s="64"/>
      <c r="D157" s="34" t="n">
        <f aca="false">SUM('4.1.1'!D449:D451)/3</f>
        <v>148.929550086196</v>
      </c>
      <c r="E157" s="34" t="n">
        <f aca="false">SUM('4.1.1'!E449:E451)/3</f>
        <v>134.078655244698</v>
      </c>
      <c r="F157" s="34" t="n">
        <f aca="false">SUM('4.1.1'!F449:F451)/3</f>
        <v>141.510886666667</v>
      </c>
      <c r="G157" s="34" t="n">
        <f aca="false">SUM('4.1.1'!G449:G451)/3</f>
        <v>51.264</v>
      </c>
      <c r="H157" s="34" t="n">
        <f aca="false">SUM('4.1.1'!H449:H451)/3</f>
        <v>67.2885393333334</v>
      </c>
      <c r="I157" s="34" t="n">
        <f aca="false">SUM('4.1.1'!I449:I451)/3</f>
        <v>102.382272140046</v>
      </c>
      <c r="J157" s="36" t="n">
        <f aca="false">F157-E157</f>
        <v>7.43223142196908</v>
      </c>
      <c r="K157" s="34"/>
      <c r="L157" s="37"/>
      <c r="M157" s="37"/>
    </row>
    <row r="158" customFormat="false" ht="12.75" hidden="false" customHeight="false" outlineLevel="0" collapsed="false">
      <c r="A158" s="32" t="n">
        <v>2025</v>
      </c>
      <c r="B158" s="32" t="s">
        <v>83</v>
      </c>
      <c r="C158" s="64"/>
      <c r="D158" s="34" t="n">
        <f aca="false">SUM('4.1.1'!D452:D454)/3</f>
        <v>150.640200119354</v>
      </c>
      <c r="E158" s="34" t="n">
        <f aca="false">SUM('4.1.1'!E452:E454)/3</f>
        <v>135.433821453539</v>
      </c>
      <c r="F158" s="34" t="n">
        <f aca="false">SUM('4.1.1'!F452:F454)/3</f>
        <v>144.292835666667</v>
      </c>
      <c r="G158" s="34" t="n">
        <f aca="false">SUM('4.1.1'!G452:G454)/3</f>
        <v>53.5483333333333</v>
      </c>
      <c r="H158" s="34" t="n">
        <f aca="false">SUM('4.1.1'!H452:H454)/3</f>
        <v>68.5092596666667</v>
      </c>
      <c r="I158" s="34" t="n">
        <f aca="false">SUM('4.1.1'!I452:I454)/3</f>
        <v>95.7224299165264</v>
      </c>
      <c r="J158" s="36" t="n">
        <f aca="false">F158-E158</f>
        <v>8.85901421312738</v>
      </c>
      <c r="K158" s="34"/>
      <c r="L158" s="37"/>
      <c r="M158" s="37"/>
    </row>
  </sheetData>
  <printOptions headings="false" gridLines="false" gridLinesSet="true" horizontalCentered="false" verticalCentered="false"/>
  <pageMargins left="0.196527777777778" right="0.157638888888889"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F81BD"/>
    <pageSetUpPr fitToPage="false"/>
  </sheetPr>
  <dimension ref="A1:L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3" topLeftCell="A18" activePane="bottomLeft" state="frozen"/>
      <selection pane="topLeft" activeCell="A1" activeCellId="0" sqref="A1"/>
      <selection pane="bottomLeft" activeCell="B3" activeCellId="0" sqref="B3"/>
    </sheetView>
  </sheetViews>
  <sheetFormatPr defaultColWidth="16.5703125" defaultRowHeight="12.75" customHeight="true" zeroHeight="false" outlineLevelRow="0" outlineLevelCol="0"/>
  <cols>
    <col collapsed="false" customWidth="true" hidden="false" outlineLevel="0" max="12" min="1" style="0" width="15.57"/>
  </cols>
  <sheetData>
    <row r="1" customFormat="false" ht="18" hidden="false" customHeight="true" outlineLevel="0" collapsed="false">
      <c r="A1" s="65" t="s">
        <v>87</v>
      </c>
      <c r="B1" s="66"/>
      <c r="C1" s="66"/>
      <c r="D1" s="66"/>
      <c r="E1" s="66"/>
      <c r="F1" s="66"/>
      <c r="G1" s="66"/>
      <c r="H1" s="66"/>
      <c r="J1" s="67"/>
      <c r="K1" s="68"/>
      <c r="L1" s="68"/>
    </row>
    <row r="2" customFormat="false" ht="18" hidden="false" customHeight="true" outlineLevel="0" collapsed="false">
      <c r="A2" s="69" t="s">
        <v>88</v>
      </c>
      <c r="B2" s="66"/>
      <c r="C2" s="66"/>
      <c r="D2" s="66"/>
      <c r="E2" s="66"/>
      <c r="F2" s="66"/>
      <c r="G2" s="66"/>
      <c r="H2" s="66"/>
      <c r="J2" s="67"/>
      <c r="K2" s="68"/>
      <c r="L2" s="68"/>
    </row>
    <row r="3" customFormat="false" ht="18" hidden="false" customHeight="true" outlineLevel="0" collapsed="false">
      <c r="A3" s="69" t="s">
        <v>89</v>
      </c>
      <c r="B3" s="66"/>
      <c r="C3" s="66"/>
      <c r="D3" s="66"/>
      <c r="E3" s="66"/>
      <c r="F3" s="66"/>
      <c r="G3" s="66"/>
      <c r="H3" s="66"/>
      <c r="J3" s="67"/>
      <c r="K3" s="68"/>
      <c r="L3" s="68"/>
    </row>
    <row r="4" customFormat="false" ht="18" hidden="false" customHeight="true" outlineLevel="0" collapsed="false">
      <c r="A4" s="69" t="s">
        <v>90</v>
      </c>
      <c r="B4" s="66"/>
      <c r="C4" s="66"/>
      <c r="D4" s="66"/>
      <c r="E4" s="66"/>
      <c r="F4" s="66"/>
      <c r="G4" s="66"/>
      <c r="H4" s="66"/>
      <c r="J4" s="67"/>
      <c r="K4" s="68"/>
      <c r="L4" s="68"/>
    </row>
    <row r="5" customFormat="false" ht="18" hidden="false" customHeight="true" outlineLevel="0" collapsed="false">
      <c r="A5" s="69" t="s">
        <v>91</v>
      </c>
      <c r="B5" s="66"/>
      <c r="C5" s="66"/>
      <c r="D5" s="66"/>
      <c r="E5" s="66"/>
      <c r="F5" s="66"/>
      <c r="G5" s="66"/>
      <c r="H5" s="66"/>
      <c r="J5" s="67"/>
      <c r="K5" s="68"/>
      <c r="L5" s="68"/>
    </row>
    <row r="6" customFormat="false" ht="18" hidden="false" customHeight="true" outlineLevel="0" collapsed="false">
      <c r="A6" s="69" t="s">
        <v>92</v>
      </c>
      <c r="B6" s="66"/>
      <c r="C6" s="66"/>
      <c r="D6" s="66"/>
      <c r="E6" s="66"/>
      <c r="F6" s="66"/>
      <c r="G6" s="66"/>
      <c r="H6" s="66"/>
      <c r="J6" s="67"/>
      <c r="K6" s="68"/>
      <c r="L6" s="68"/>
    </row>
    <row r="7" customFormat="false" ht="18" hidden="false" customHeight="true" outlineLevel="0" collapsed="false">
      <c r="A7" s="69" t="s">
        <v>93</v>
      </c>
      <c r="B7" s="66"/>
      <c r="C7" s="66"/>
      <c r="D7" s="66"/>
      <c r="E7" s="66"/>
      <c r="F7" s="66"/>
      <c r="G7" s="66"/>
      <c r="H7" s="66"/>
      <c r="J7" s="67"/>
      <c r="K7" s="68"/>
      <c r="L7" s="68"/>
    </row>
    <row r="8" customFormat="false" ht="18" hidden="false" customHeight="true" outlineLevel="0" collapsed="false">
      <c r="A8" s="69" t="s">
        <v>94</v>
      </c>
      <c r="B8" s="66"/>
      <c r="C8" s="66"/>
      <c r="D8" s="66"/>
      <c r="E8" s="66"/>
      <c r="F8" s="66"/>
      <c r="G8" s="66"/>
      <c r="H8" s="66"/>
      <c r="J8" s="67"/>
      <c r="K8" s="68"/>
      <c r="L8" s="68"/>
    </row>
    <row r="9" customFormat="false" ht="18" hidden="false" customHeight="true" outlineLevel="0" collapsed="false">
      <c r="A9" s="69" t="s">
        <v>95</v>
      </c>
      <c r="B9" s="66"/>
      <c r="C9" s="66"/>
      <c r="D9" s="66"/>
      <c r="E9" s="66"/>
      <c r="F9" s="66"/>
      <c r="G9" s="66"/>
      <c r="H9" s="66"/>
      <c r="J9" s="67"/>
      <c r="K9" s="68"/>
      <c r="L9" s="68"/>
    </row>
    <row r="10" customFormat="false" ht="18" hidden="false" customHeight="true" outlineLevel="0" collapsed="false">
      <c r="A10" s="17" t="s">
        <v>96</v>
      </c>
      <c r="B10" s="66"/>
      <c r="C10" s="66"/>
      <c r="D10" s="66"/>
      <c r="E10" s="66"/>
      <c r="F10" s="66"/>
      <c r="G10" s="66"/>
      <c r="H10" s="66"/>
      <c r="J10" s="67"/>
      <c r="K10" s="68"/>
      <c r="L10" s="68"/>
    </row>
    <row r="11" customFormat="false" ht="18" hidden="false" customHeight="true" outlineLevel="0" collapsed="false">
      <c r="A11" s="17" t="s">
        <v>43</v>
      </c>
      <c r="B11" s="66"/>
      <c r="C11" s="66"/>
      <c r="D11" s="66"/>
      <c r="E11" s="66"/>
      <c r="F11" s="66"/>
      <c r="G11" s="66"/>
      <c r="H11" s="66"/>
      <c r="J11" s="67"/>
      <c r="K11" s="68"/>
      <c r="L11" s="68"/>
    </row>
    <row r="12" customFormat="false" ht="15.75" hidden="false" customHeight="true" outlineLevel="0" collapsed="false">
      <c r="A12" s="17" t="s">
        <v>44</v>
      </c>
      <c r="B12" s="66"/>
      <c r="C12" s="66"/>
      <c r="D12" s="66"/>
      <c r="E12" s="66"/>
      <c r="F12" s="66"/>
      <c r="G12" s="66"/>
      <c r="H12" s="66"/>
      <c r="J12" s="67"/>
      <c r="K12" s="68"/>
      <c r="L12" s="68"/>
    </row>
    <row r="13" customFormat="false" ht="91.5" hidden="false" customHeight="true" outlineLevel="0" collapsed="false">
      <c r="A13" s="70" t="s">
        <v>45</v>
      </c>
      <c r="B13" s="71" t="s">
        <v>97</v>
      </c>
      <c r="C13" s="71" t="s">
        <v>98</v>
      </c>
      <c r="D13" s="71" t="s">
        <v>99</v>
      </c>
      <c r="E13" s="71" t="s">
        <v>100</v>
      </c>
      <c r="F13" s="71" t="s">
        <v>101</v>
      </c>
      <c r="G13" s="71" t="s">
        <v>102</v>
      </c>
      <c r="H13" s="72" t="s">
        <v>103</v>
      </c>
      <c r="I13" s="31" t="s">
        <v>54</v>
      </c>
      <c r="J13" s="30" t="s">
        <v>55</v>
      </c>
      <c r="K13" s="30" t="s">
        <v>56</v>
      </c>
      <c r="L13" s="30" t="s">
        <v>57</v>
      </c>
    </row>
    <row r="14" customFormat="false" ht="14.25" hidden="false" customHeight="true" outlineLevel="0" collapsed="false">
      <c r="A14" s="73" t="n">
        <v>1977</v>
      </c>
      <c r="B14" s="74" t="n">
        <v>17.64</v>
      </c>
      <c r="C14" s="74" t="s">
        <v>104</v>
      </c>
      <c r="D14" s="74" t="s">
        <v>104</v>
      </c>
      <c r="E14" s="74" t="n">
        <v>18.21</v>
      </c>
      <c r="F14" s="74" t="n">
        <v>8.4</v>
      </c>
      <c r="G14" s="74" t="n">
        <v>8.37</v>
      </c>
      <c r="H14" s="75" t="s">
        <v>104</v>
      </c>
      <c r="I14" s="75"/>
      <c r="J14" s="75"/>
      <c r="K14" s="76"/>
      <c r="L14" s="76"/>
    </row>
    <row r="15" customFormat="false" ht="14.25" hidden="false" customHeight="true" outlineLevel="0" collapsed="false">
      <c r="A15" s="73" t="n">
        <v>1978</v>
      </c>
      <c r="B15" s="74" t="n">
        <v>16.77</v>
      </c>
      <c r="C15" s="74" t="s">
        <v>104</v>
      </c>
      <c r="D15" s="74" t="s">
        <v>104</v>
      </c>
      <c r="E15" s="74" t="n">
        <v>18.46</v>
      </c>
      <c r="F15" s="74" t="n">
        <v>8.39</v>
      </c>
      <c r="G15" s="74" t="n">
        <v>8.42</v>
      </c>
      <c r="H15" s="75" t="s">
        <v>104</v>
      </c>
      <c r="I15" s="75"/>
      <c r="J15" s="75"/>
      <c r="K15" s="76"/>
      <c r="L15" s="76"/>
    </row>
    <row r="16" customFormat="false" ht="14.25" hidden="false" customHeight="true" outlineLevel="0" collapsed="false">
      <c r="A16" s="73" t="n">
        <v>1979</v>
      </c>
      <c r="B16" s="74" t="n">
        <v>22.66</v>
      </c>
      <c r="C16" s="74" t="s">
        <v>104</v>
      </c>
      <c r="D16" s="74" t="s">
        <v>104</v>
      </c>
      <c r="E16" s="74" t="n">
        <v>23.65</v>
      </c>
      <c r="F16" s="74" t="n">
        <v>10.89</v>
      </c>
      <c r="G16" s="74" t="n">
        <v>10.9</v>
      </c>
      <c r="H16" s="75" t="s">
        <v>104</v>
      </c>
      <c r="I16" s="75"/>
      <c r="J16" s="75"/>
      <c r="K16" s="76"/>
      <c r="L16" s="76"/>
    </row>
    <row r="17" customFormat="false" ht="14.25" hidden="false" customHeight="true" outlineLevel="0" collapsed="false">
      <c r="A17" s="73" t="n">
        <v>1980</v>
      </c>
      <c r="B17" s="74" t="n">
        <v>28.32</v>
      </c>
      <c r="C17" s="74" t="s">
        <v>104</v>
      </c>
      <c r="D17" s="74" t="s">
        <v>104</v>
      </c>
      <c r="E17" s="74" t="n">
        <v>29.67</v>
      </c>
      <c r="F17" s="74" t="n">
        <v>14.78</v>
      </c>
      <c r="G17" s="74" t="n">
        <v>14.77</v>
      </c>
      <c r="H17" s="75" t="s">
        <v>104</v>
      </c>
      <c r="I17" s="75"/>
      <c r="J17" s="75"/>
      <c r="K17" s="76"/>
      <c r="L17" s="76"/>
    </row>
    <row r="18" customFormat="false" ht="14.25" hidden="false" customHeight="true" outlineLevel="0" collapsed="false">
      <c r="A18" s="73" t="n">
        <v>1981</v>
      </c>
      <c r="B18" s="74" t="n">
        <v>34.29</v>
      </c>
      <c r="C18" s="74" t="s">
        <v>104</v>
      </c>
      <c r="D18" s="74" t="s">
        <v>104</v>
      </c>
      <c r="E18" s="74" t="n">
        <v>34.01</v>
      </c>
      <c r="F18" s="74" t="n">
        <v>18.01</v>
      </c>
      <c r="G18" s="74" t="n">
        <v>17.51</v>
      </c>
      <c r="H18" s="75" t="s">
        <v>104</v>
      </c>
      <c r="I18" s="75"/>
      <c r="J18" s="75"/>
      <c r="K18" s="76"/>
      <c r="L18" s="76"/>
    </row>
    <row r="19" customFormat="false" ht="14.25" hidden="false" customHeight="true" outlineLevel="0" collapsed="false">
      <c r="A19" s="73" t="n">
        <v>1982</v>
      </c>
      <c r="B19" s="74" t="n">
        <v>36.62</v>
      </c>
      <c r="C19" s="74" t="s">
        <v>104</v>
      </c>
      <c r="D19" s="74" t="s">
        <v>104</v>
      </c>
      <c r="E19" s="74" t="n">
        <v>35.86</v>
      </c>
      <c r="F19" s="74" t="n">
        <v>20.75</v>
      </c>
      <c r="G19" s="74" t="n">
        <v>20.11</v>
      </c>
      <c r="H19" s="75" t="s">
        <v>104</v>
      </c>
      <c r="I19" s="75"/>
      <c r="J19" s="75"/>
      <c r="K19" s="76"/>
      <c r="L19" s="76"/>
    </row>
    <row r="20" customFormat="false" ht="14.25" hidden="false" customHeight="true" outlineLevel="0" collapsed="false">
      <c r="A20" s="73" t="n">
        <v>1983</v>
      </c>
      <c r="B20" s="74" t="n">
        <v>39.28</v>
      </c>
      <c r="C20" s="74" t="s">
        <v>104</v>
      </c>
      <c r="D20" s="74" t="s">
        <v>104</v>
      </c>
      <c r="E20" s="74" t="n">
        <v>37.3</v>
      </c>
      <c r="F20" s="74" t="n">
        <v>21.19</v>
      </c>
      <c r="G20" s="74" t="n">
        <v>20.71</v>
      </c>
      <c r="H20" s="75" t="s">
        <v>104</v>
      </c>
      <c r="I20" s="75"/>
      <c r="J20" s="75"/>
      <c r="K20" s="76"/>
      <c r="L20" s="76"/>
    </row>
    <row r="21" customFormat="false" ht="14.25" hidden="false" customHeight="true" outlineLevel="0" collapsed="false">
      <c r="A21" s="73" t="n">
        <v>1984</v>
      </c>
      <c r="B21" s="74" t="n">
        <v>40.62</v>
      </c>
      <c r="C21" s="74" t="s">
        <v>104</v>
      </c>
      <c r="D21" s="74" t="s">
        <v>104</v>
      </c>
      <c r="E21" s="74" t="n">
        <v>38.33</v>
      </c>
      <c r="F21" s="74" t="n">
        <v>19.67</v>
      </c>
      <c r="G21" s="74" t="n">
        <v>20.44</v>
      </c>
      <c r="H21" s="75" t="s">
        <v>104</v>
      </c>
      <c r="I21" s="75"/>
      <c r="J21" s="75"/>
      <c r="K21" s="76"/>
      <c r="L21" s="76"/>
    </row>
    <row r="22" customFormat="false" ht="14.25" hidden="false" customHeight="true" outlineLevel="0" collapsed="false">
      <c r="A22" s="73" t="n">
        <v>1985</v>
      </c>
      <c r="B22" s="74" t="n">
        <v>43.14</v>
      </c>
      <c r="C22" s="74" t="s">
        <v>104</v>
      </c>
      <c r="D22" s="74" t="s">
        <v>104</v>
      </c>
      <c r="E22" s="74" t="n">
        <v>41.94</v>
      </c>
      <c r="F22" s="74" t="n">
        <v>21.12</v>
      </c>
      <c r="G22" s="74" t="n">
        <v>21.58</v>
      </c>
      <c r="H22" s="75" t="s">
        <v>104</v>
      </c>
      <c r="I22" s="75"/>
      <c r="J22" s="75"/>
      <c r="K22" s="76"/>
      <c r="L22" s="76"/>
    </row>
    <row r="23" customFormat="false" ht="14.25" hidden="false" customHeight="true" outlineLevel="0" collapsed="false">
      <c r="A23" s="73" t="n">
        <v>1986</v>
      </c>
      <c r="B23" s="74" t="n">
        <v>37.35</v>
      </c>
      <c r="C23" s="74" t="s">
        <v>104</v>
      </c>
      <c r="D23" s="74" t="s">
        <v>104</v>
      </c>
      <c r="E23" s="74" t="n">
        <v>35.6</v>
      </c>
      <c r="F23" s="74" t="n">
        <v>13.95</v>
      </c>
      <c r="G23" s="74" t="n">
        <v>13.77</v>
      </c>
      <c r="H23" s="75" t="s">
        <v>104</v>
      </c>
      <c r="I23" s="75"/>
      <c r="J23" s="75"/>
      <c r="K23" s="76"/>
      <c r="L23" s="76"/>
    </row>
    <row r="24" customFormat="false" ht="14.25" hidden="false" customHeight="true" outlineLevel="0" collapsed="false">
      <c r="A24" s="73" t="n">
        <v>1987</v>
      </c>
      <c r="B24" s="74" t="n">
        <v>37.9</v>
      </c>
      <c r="C24" s="74" t="s">
        <v>104</v>
      </c>
      <c r="D24" s="74" t="s">
        <v>104</v>
      </c>
      <c r="E24" s="74" t="n">
        <v>34.58</v>
      </c>
      <c r="F24" s="74" t="n">
        <v>12.55</v>
      </c>
      <c r="G24" s="74" t="n">
        <v>13.16</v>
      </c>
      <c r="H24" s="75" t="s">
        <v>104</v>
      </c>
      <c r="I24" s="75"/>
      <c r="J24" s="75"/>
      <c r="K24" s="76"/>
      <c r="L24" s="76"/>
    </row>
    <row r="25" customFormat="false" ht="14.25" hidden="false" customHeight="true" outlineLevel="0" collapsed="false">
      <c r="A25" s="73" t="n">
        <v>1988</v>
      </c>
      <c r="B25" s="74" t="n">
        <v>37.38</v>
      </c>
      <c r="C25" s="74" t="s">
        <v>104</v>
      </c>
      <c r="D25" s="74" t="s">
        <v>104</v>
      </c>
      <c r="E25" s="74" t="n">
        <v>34</v>
      </c>
      <c r="F25" s="74" t="n">
        <v>10.65</v>
      </c>
      <c r="G25" s="74" t="n">
        <v>10.88</v>
      </c>
      <c r="H25" s="75" t="s">
        <v>104</v>
      </c>
      <c r="I25" s="75"/>
      <c r="J25" s="75"/>
      <c r="K25" s="76"/>
      <c r="L25" s="76"/>
    </row>
    <row r="26" customFormat="false" ht="14.25" hidden="false" customHeight="true" outlineLevel="0" collapsed="false">
      <c r="A26" s="73" t="n">
        <v>1989</v>
      </c>
      <c r="B26" s="74" t="n">
        <v>40.39</v>
      </c>
      <c r="C26" s="74" t="s">
        <v>104</v>
      </c>
      <c r="D26" s="74" t="n">
        <f aca="false">SUM('4.1.1'!E11:E22)/12</f>
        <v>38.2875</v>
      </c>
      <c r="E26" s="74" t="n">
        <v>36.18</v>
      </c>
      <c r="F26" s="74" t="n">
        <v>12.04</v>
      </c>
      <c r="G26" s="74" t="n">
        <v>11.64</v>
      </c>
      <c r="H26" s="75" t="s">
        <v>104</v>
      </c>
      <c r="I26" s="75"/>
      <c r="J26" s="75"/>
      <c r="K26" s="76"/>
      <c r="L26" s="76"/>
    </row>
    <row r="27" customFormat="false" ht="14.25" hidden="false" customHeight="true" outlineLevel="0" collapsed="false">
      <c r="A27" s="73" t="n">
        <v>1990</v>
      </c>
      <c r="B27" s="74" t="n">
        <f aca="false">SUM('4.1.1'!C23:C34)/12</f>
        <v>44.8741666666667</v>
      </c>
      <c r="C27" s="74" t="s">
        <v>104</v>
      </c>
      <c r="D27" s="74" t="n">
        <f aca="false">SUM('4.1.1'!E23:E34)/12</f>
        <v>42.0316666666667</v>
      </c>
      <c r="E27" s="74" t="n">
        <f aca="false">SUM('4.1.1'!F23:F34)/12</f>
        <v>40.4816666666667</v>
      </c>
      <c r="F27" s="74" t="n">
        <f aca="false">SUM('4.1.1'!G23:G34)/12</f>
        <v>15.56</v>
      </c>
      <c r="G27" s="74" t="n">
        <f aca="false">SUM('4.1.1'!H23:H34)/12</f>
        <v>14.6391666666667</v>
      </c>
      <c r="H27" s="75" t="s">
        <v>104</v>
      </c>
      <c r="I27" s="77" t="n">
        <f aca="false">E27-D27</f>
        <v>-1.55</v>
      </c>
      <c r="J27" s="75"/>
      <c r="K27" s="76"/>
      <c r="L27" s="76"/>
    </row>
    <row r="28" customFormat="false" ht="14.25" hidden="false" customHeight="true" outlineLevel="0" collapsed="false">
      <c r="A28" s="73" t="n">
        <v>1991</v>
      </c>
      <c r="B28" s="74" t="n">
        <f aca="false">SUM('4.1.1'!C35:C46)/12</f>
        <v>48.4816666666667</v>
      </c>
      <c r="C28" s="74" t="n">
        <f aca="false">SUM('4.1.1'!D35:D46)/12</f>
        <v>47.3058333333333</v>
      </c>
      <c r="D28" s="74" t="n">
        <f aca="false">SUM('4.1.1'!E35:E46)/12</f>
        <v>45.0733333333333</v>
      </c>
      <c r="E28" s="74" t="n">
        <f aca="false">SUM('4.1.1'!F35:F46)/12</f>
        <v>43.8183333333333</v>
      </c>
      <c r="F28" s="74" t="n">
        <f aca="false">SUM('4.1.1'!G35:G46)/12</f>
        <v>14.1116666666667</v>
      </c>
      <c r="G28" s="74" t="n">
        <f aca="false">SUM('4.1.1'!H35:H46)/12</f>
        <v>13.65</v>
      </c>
      <c r="H28" s="75" t="s">
        <v>104</v>
      </c>
      <c r="I28" s="77" t="n">
        <f aca="false">E28-D28</f>
        <v>-1.255</v>
      </c>
      <c r="J28" s="75" t="n">
        <v>38.9228922801105</v>
      </c>
      <c r="K28" s="75" t="n">
        <v>61.037595218224</v>
      </c>
      <c r="L28" s="75" t="n">
        <f aca="false">SUM(chart_data!Q30:Q41)/12</f>
        <v>105.435833333333</v>
      </c>
    </row>
    <row r="29" customFormat="false" ht="14.25" hidden="false" customHeight="true" outlineLevel="0" collapsed="false">
      <c r="A29" s="73" t="n">
        <v>1992</v>
      </c>
      <c r="B29" s="74" t="n">
        <f aca="false">SUM('4.1.1'!C47:C58)/12</f>
        <v>50.28</v>
      </c>
      <c r="C29" s="74" t="n">
        <f aca="false">SUM('4.1.1'!D47:D58)/12</f>
        <v>48.3758333333333</v>
      </c>
      <c r="D29" s="74" t="n">
        <f aca="false">SUM('4.1.1'!E47:E58)/12</f>
        <v>46.0708333333333</v>
      </c>
      <c r="E29" s="74" t="n">
        <f aca="false">SUM('4.1.1'!F47:F58)/12</f>
        <v>45.0108333333333</v>
      </c>
      <c r="F29" s="74" t="n">
        <f aca="false">SUM('4.1.1'!G47:G58)/12</f>
        <v>13.055</v>
      </c>
      <c r="G29" s="74" t="n">
        <f aca="false">SUM('4.1.1'!H47:H58)/12</f>
        <v>12.4925</v>
      </c>
      <c r="H29" s="75" t="s">
        <v>104</v>
      </c>
      <c r="I29" s="77" t="n">
        <f aca="false">E29-D29</f>
        <v>-1.06</v>
      </c>
      <c r="J29" s="75" t="n">
        <v>36.7368385780764</v>
      </c>
      <c r="K29" s="75" t="n">
        <v>57.6094979424663</v>
      </c>
      <c r="L29" s="75" t="n">
        <f aca="false">SUM(chart_data!Q42:Q53)/12</f>
        <v>99.5141666666667</v>
      </c>
    </row>
    <row r="30" customFormat="false" ht="14.25" hidden="false" customHeight="true" outlineLevel="0" collapsed="false">
      <c r="A30" s="73" t="n">
        <v>1993</v>
      </c>
      <c r="B30" s="74" t="n">
        <f aca="false">SUM('4.1.1'!C59:C70)/12</f>
        <v>54.1208333333333</v>
      </c>
      <c r="C30" s="74" t="n">
        <f aca="false">SUM('4.1.1'!D59:D70)/12</f>
        <v>52.9058333333333</v>
      </c>
      <c r="D30" s="74" t="n">
        <f aca="false">SUM('4.1.1'!E59:E70)/12</f>
        <v>49.4433333333333</v>
      </c>
      <c r="E30" s="74" t="n">
        <f aca="false">SUM('4.1.1'!F59:F70)/12</f>
        <v>49.195</v>
      </c>
      <c r="F30" s="74" t="n">
        <f aca="false">SUM('4.1.1'!G59:G70)/12</f>
        <v>13.6375</v>
      </c>
      <c r="G30" s="74" t="n">
        <f aca="false">SUM('4.1.1'!H59:H70)/12</f>
        <v>13.4191666666667</v>
      </c>
      <c r="H30" s="75" t="s">
        <v>104</v>
      </c>
      <c r="I30" s="77" t="n">
        <f aca="false">E30-D30</f>
        <v>-0.248333333333335</v>
      </c>
      <c r="J30" s="75" t="n">
        <v>38.2562474205118</v>
      </c>
      <c r="K30" s="75" t="n">
        <v>59.9921847486818</v>
      </c>
      <c r="L30" s="75" t="n">
        <f aca="false">SUM(chart_data!Q54:Q65)/12</f>
        <v>103.63</v>
      </c>
    </row>
    <row r="31" customFormat="false" ht="14.25" hidden="false" customHeight="true" outlineLevel="0" collapsed="false">
      <c r="A31" s="73" t="n">
        <v>1994</v>
      </c>
      <c r="B31" s="74" t="n">
        <f aca="false">SUM('4.1.1'!C71:C82)/12</f>
        <v>56.8741666666667</v>
      </c>
      <c r="C31" s="74" t="n">
        <f aca="false">SUM('4.1.1'!D71:D82)/12</f>
        <v>55.9791666666667</v>
      </c>
      <c r="D31" s="74" t="n">
        <f aca="false">SUM('4.1.1'!E71:E82)/12</f>
        <v>51.5775</v>
      </c>
      <c r="E31" s="74" t="n">
        <f aca="false">SUM('4.1.1'!F71:F82)/12</f>
        <v>51.5308333333333</v>
      </c>
      <c r="F31" s="74" t="n">
        <f aca="false">SUM('4.1.1'!G71:G82)/12</f>
        <v>13.365</v>
      </c>
      <c r="G31" s="74" t="n">
        <f aca="false">SUM('4.1.1'!H71:H82)/12</f>
        <v>13.265</v>
      </c>
      <c r="H31" s="75" t="s">
        <v>104</v>
      </c>
      <c r="I31" s="77" t="n">
        <f aca="false">E31-D31</f>
        <v>-0.0466666666666598</v>
      </c>
      <c r="J31" s="75" t="n">
        <v>35.1048353569546</v>
      </c>
      <c r="K31" s="75" t="n">
        <v>55.0502443472094</v>
      </c>
      <c r="L31" s="75" t="n">
        <f aca="false">SUM(chart_data!Q66:Q77)/12</f>
        <v>95.0933333333333</v>
      </c>
    </row>
    <row r="32" customFormat="false" ht="14.25" hidden="false" customHeight="true" outlineLevel="0" collapsed="false">
      <c r="A32" s="73" t="n">
        <f aca="false">+chart_data!B78</f>
        <v>1995</v>
      </c>
      <c r="B32" s="74" t="n">
        <f aca="false">SUM('4.1.1'!C83:C94)/12</f>
        <v>59.6983333333333</v>
      </c>
      <c r="C32" s="74" t="n">
        <f aca="false">SUM('4.1.1'!D83:D94)/12</f>
        <v>58.5525</v>
      </c>
      <c r="D32" s="74" t="n">
        <f aca="false">SUM('4.1.1'!E83:E94)/12</f>
        <v>53.7691666666667</v>
      </c>
      <c r="E32" s="74" t="n">
        <f aca="false">SUM('4.1.1'!F83:F94)/12</f>
        <v>54.2408333333333</v>
      </c>
      <c r="F32" s="74" t="n">
        <f aca="false">SUM('4.1.1'!G83:G94)/12</f>
        <v>13.8</v>
      </c>
      <c r="G32" s="74" t="n">
        <f aca="false">SUM('4.1.1'!H83:H94)/12</f>
        <v>13.8708333333333</v>
      </c>
      <c r="H32" s="75" t="s">
        <v>104</v>
      </c>
      <c r="I32" s="77" t="n">
        <f aca="false">E32-D32</f>
        <v>0.47166666666665</v>
      </c>
      <c r="J32" s="75" t="n">
        <v>36.9161897331968</v>
      </c>
      <c r="K32" s="75" t="n">
        <v>57.890750505338</v>
      </c>
      <c r="L32" s="75" t="n">
        <f aca="false">SUM(chart_data!Q78:Q89)/12</f>
        <v>100</v>
      </c>
    </row>
    <row r="33" customFormat="false" ht="14.25" hidden="false" customHeight="true" outlineLevel="0" collapsed="false">
      <c r="A33" s="73" t="n">
        <f aca="false">+chart_data!B90</f>
        <v>1996</v>
      </c>
      <c r="B33" s="74" t="n">
        <f aca="false">SUM('4.1.1'!C95:C106)/12</f>
        <v>61.6316666666667</v>
      </c>
      <c r="C33" s="74" t="n">
        <f aca="false">SUM('4.1.1'!D95:D106)/12</f>
        <v>63.6741666666667</v>
      </c>
      <c r="D33" s="74" t="n">
        <f aca="false">SUM('4.1.1'!E95:E106)/12</f>
        <v>56.5208333333333</v>
      </c>
      <c r="E33" s="74" t="n">
        <f aca="false">SUM('4.1.1'!F95:F106)/12</f>
        <v>57.7058333333333</v>
      </c>
      <c r="F33" s="74" t="n">
        <f aca="false">SUM('4.1.1'!G95:G106)/12</f>
        <v>15.9316666666667</v>
      </c>
      <c r="G33" s="74" t="n">
        <f aca="false">SUM('4.1.1'!H95:H106)/12</f>
        <v>16.5291666666667</v>
      </c>
      <c r="H33" s="75" t="n">
        <f aca="false">SUM('4.1.1'!I95:I106)/12</f>
        <v>25.8779146637945</v>
      </c>
      <c r="I33" s="77" t="n">
        <f aca="false">E33-D33</f>
        <v>1.18500000000001</v>
      </c>
      <c r="J33" s="75" t="n">
        <v>45.2586643569079</v>
      </c>
      <c r="K33" s="75" t="n">
        <v>70.9731439085792</v>
      </c>
      <c r="L33" s="75" t="n">
        <f aca="false">SUM(chart_data!Q90:Q101)/12</f>
        <v>122.4575</v>
      </c>
    </row>
    <row r="34" customFormat="false" ht="14.25" hidden="false" customHeight="true" outlineLevel="0" collapsed="false">
      <c r="A34" s="73" t="n">
        <f aca="false">+chart_data!B102</f>
        <v>1997</v>
      </c>
      <c r="B34" s="74" t="n">
        <f aca="false">SUM('4.1.1'!C107:C118)/12</f>
        <v>67.2175</v>
      </c>
      <c r="C34" s="74" t="n">
        <f aca="false">SUM('4.1.1'!D107:D118)/12</f>
        <v>71.3066666666667</v>
      </c>
      <c r="D34" s="74" t="n">
        <f aca="false">SUM('4.1.1'!E107:E118)/12</f>
        <v>61.82</v>
      </c>
      <c r="E34" s="74" t="n">
        <f aca="false">SUM('4.1.1'!F107:F118)/12</f>
        <v>62.4716666666667</v>
      </c>
      <c r="F34" s="74" t="n">
        <f aca="false">SUM('4.1.1'!G107:G118)/12</f>
        <v>14.3558333333333</v>
      </c>
      <c r="G34" s="74" t="n">
        <f aca="false">SUM('4.1.1'!H107:H118)/12</f>
        <v>15.4508333333333</v>
      </c>
      <c r="H34" s="75" t="n">
        <f aca="false">SUM('4.1.1'!I107:I118)/12</f>
        <v>22.7228152898645</v>
      </c>
      <c r="I34" s="77" t="n">
        <f aca="false">E34-D34</f>
        <v>0.651666666666671</v>
      </c>
      <c r="J34" s="75" t="n">
        <v>39.7991407789266</v>
      </c>
      <c r="K34" s="75" t="n">
        <v>62.411699197867</v>
      </c>
      <c r="L34" s="75" t="n">
        <f aca="false">SUM(chart_data!Q102:Q113)/12</f>
        <v>107.8625</v>
      </c>
    </row>
    <row r="35" customFormat="false" ht="14.25" hidden="false" customHeight="true" outlineLevel="0" collapsed="false">
      <c r="A35" s="78" t="n">
        <f aca="false">+chart_data!B114</f>
        <v>1998</v>
      </c>
      <c r="B35" s="74" t="n">
        <f aca="false">SUM('4.1.1'!C119:C130)/12</f>
        <v>71.1066666666667</v>
      </c>
      <c r="C35" s="74" t="n">
        <f aca="false">SUM('4.1.1'!D119:D130)/12</f>
        <v>77.7966666666667</v>
      </c>
      <c r="D35" s="74" t="n">
        <f aca="false">SUM('4.1.1'!E119:E130)/12</f>
        <v>64.7958333333333</v>
      </c>
      <c r="E35" s="74" t="n">
        <f aca="false">SUM('4.1.1'!F119:F130)/12</f>
        <v>65.5033333333333</v>
      </c>
      <c r="F35" s="74" t="n">
        <f aca="false">SUM('4.1.1'!G119:G130)/12</f>
        <v>11.2475</v>
      </c>
      <c r="G35" s="74" t="n">
        <f aca="false">SUM('4.1.1'!H119:H130)/12</f>
        <v>12.4683333333333</v>
      </c>
      <c r="H35" s="75" t="n">
        <f aca="false">SUM('4.1.1'!I119:I130)/12</f>
        <v>14.7978748219482</v>
      </c>
      <c r="I35" s="77" t="n">
        <f aca="false">E35-D35</f>
        <v>0.70750000000001</v>
      </c>
      <c r="J35" s="75" t="n">
        <v>25.9669264670527</v>
      </c>
      <c r="K35" s="75" t="n">
        <v>40.7204771770586</v>
      </c>
      <c r="L35" s="75" t="n">
        <f aca="false">SUM(chart_data!Q114:Q125)/12</f>
        <v>70.4833333333333</v>
      </c>
    </row>
    <row r="36" customFormat="false" ht="14.25" hidden="false" customHeight="true" outlineLevel="0" collapsed="false">
      <c r="A36" s="73" t="n">
        <f aca="false">+chart_data!B126</f>
        <v>1999</v>
      </c>
      <c r="B36" s="74" t="n">
        <f aca="false">SUM('4.1.1'!C131:C142)/12</f>
        <v>77.2025</v>
      </c>
      <c r="C36" s="74" t="n">
        <f aca="false">SUM('4.1.1'!D131:D142)/12</f>
        <v>82.9225</v>
      </c>
      <c r="D36" s="74" t="n">
        <f aca="false">SUM('4.1.1'!E131:E142)/12</f>
        <v>70.1616666666667</v>
      </c>
      <c r="E36" s="74" t="n">
        <f aca="false">SUM('4.1.1'!F131:F142)/12</f>
        <v>72.4858333333333</v>
      </c>
      <c r="F36" s="74" t="n">
        <f aca="false">SUM('4.1.1'!G131:G142)/12</f>
        <v>12.7291666666667</v>
      </c>
      <c r="G36" s="74" t="n">
        <f aca="false">SUM('4.1.1'!H131:H142)/12</f>
        <v>13.8925</v>
      </c>
      <c r="H36" s="75" t="n">
        <f aca="false">SUM('4.1.1'!I131:I142)/12</f>
        <v>21.3065811000182</v>
      </c>
      <c r="I36" s="77" t="n">
        <f aca="false">E36-D36</f>
        <v>2.32416666666666</v>
      </c>
      <c r="J36" s="75" t="n">
        <v>37.2661028758006</v>
      </c>
      <c r="K36" s="75" t="n">
        <v>58.4394727484356</v>
      </c>
      <c r="L36" s="75" t="n">
        <f aca="false">SUM(chart_data!Q126:Q137)/12</f>
        <v>100.774166666667</v>
      </c>
    </row>
    <row r="37" customFormat="false" ht="14.25" hidden="false" customHeight="true" outlineLevel="0" collapsed="false">
      <c r="A37" s="78" t="s">
        <v>105</v>
      </c>
      <c r="B37" s="74" t="n">
        <f aca="false">SUM('4.1.1'!C143:C154)/12</f>
        <v>84.8925</v>
      </c>
      <c r="C37" s="74" t="n">
        <f aca="false">SUM('4.1.1'!D143:D154)/12</f>
        <v>87.3158333333333</v>
      </c>
      <c r="D37" s="74" t="n">
        <f aca="false">SUM('4.1.1'!E143:E154)/12</f>
        <v>79.9266666666667</v>
      </c>
      <c r="E37" s="74" t="n">
        <f aca="false">SUM('4.1.1'!F143:F154)/12</f>
        <v>81.3433333333334</v>
      </c>
      <c r="F37" s="74" t="n">
        <f aca="false">SUM('4.1.1'!G143:G154)/12</f>
        <v>20.5725</v>
      </c>
      <c r="G37" s="74" t="n">
        <f aca="false">SUM('4.1.1'!H143:H154)/12</f>
        <v>21.5108333333333</v>
      </c>
      <c r="H37" s="75" t="n">
        <f aca="false">SUM('4.1.1'!I143:I154)/12</f>
        <v>36.4536143321518</v>
      </c>
      <c r="I37" s="77" t="n">
        <f aca="false">E37-D37</f>
        <v>1.41666666666669</v>
      </c>
      <c r="J37" s="75" t="n">
        <v>63.7674394223175</v>
      </c>
      <c r="K37" s="75" t="n">
        <v>99.9979941765774</v>
      </c>
      <c r="L37" s="75" t="n">
        <f aca="false">SUM(chart_data!Q138:Q149)/12</f>
        <v>172.739166666667</v>
      </c>
    </row>
    <row r="38" customFormat="false" ht="14.25" hidden="false" customHeight="true" outlineLevel="0" collapsed="false">
      <c r="A38" s="73" t="n">
        <v>2001</v>
      </c>
      <c r="B38" s="74" t="n">
        <f aca="false">SUM('4.1.1'!C155:C166)/12</f>
        <v>79.7141666666667</v>
      </c>
      <c r="C38" s="74" t="n">
        <f aca="false">SUM('4.1.1'!D155:D166)/12</f>
        <v>82.7416666666667</v>
      </c>
      <c r="D38" s="74" t="n">
        <f aca="false">SUM('4.1.1'!E155:E166)/12</f>
        <v>75.7166666666667</v>
      </c>
      <c r="E38" s="74" t="n">
        <f aca="false">SUM('4.1.1'!F155:F166)/12</f>
        <v>77.8358333333333</v>
      </c>
      <c r="F38" s="74" t="n">
        <f aca="false">SUM('4.1.1'!G155:G166)/12</f>
        <v>18.1275</v>
      </c>
      <c r="G38" s="74" t="n">
        <f aca="false">SUM('4.1.1'!H155:H166)/12</f>
        <v>19.115</v>
      </c>
      <c r="H38" s="75" t="n">
        <f aca="false">SUM('4.1.1'!I155:I166)/12</f>
        <v>32.7918524662231</v>
      </c>
      <c r="I38" s="77" t="n">
        <f aca="false">E38-D38</f>
        <v>2.11916666666667</v>
      </c>
      <c r="J38" s="75" t="n">
        <v>57.3527167864625</v>
      </c>
      <c r="K38" s="75" t="n">
        <v>89.9386378248765</v>
      </c>
      <c r="L38" s="75" t="n">
        <f aca="false">SUM(chart_data!Q150:Q161)/12</f>
        <v>155.451666666667</v>
      </c>
    </row>
    <row r="39" customFormat="false" ht="14.25" hidden="false" customHeight="true" outlineLevel="0" collapsed="false">
      <c r="A39" s="73" t="n">
        <v>2002</v>
      </c>
      <c r="B39" s="74" t="n">
        <f aca="false">SUM('4.1.1'!C167:C178)/12</f>
        <v>77.0341666666667</v>
      </c>
      <c r="C39" s="74" t="n">
        <f aca="false">SUM('4.1.1'!D167:D178)/12</f>
        <v>79.7883333333333</v>
      </c>
      <c r="D39" s="74" t="n">
        <f aca="false">SUM('4.1.1'!E167:E178)/12</f>
        <v>73.2366666666667</v>
      </c>
      <c r="E39" s="74" t="n">
        <f aca="false">SUM('4.1.1'!F167:F178)/12</f>
        <v>75.4591666666667</v>
      </c>
      <c r="F39" s="74" t="n">
        <f aca="false">SUM('4.1.1'!G167:G178)/12</f>
        <v>15.6566666666667</v>
      </c>
      <c r="G39" s="74" t="n">
        <f aca="false">SUM('4.1.1'!H167:H178)/12</f>
        <v>15.9308333333333</v>
      </c>
      <c r="H39" s="75" t="n">
        <f aca="false">SUM('4.1.1'!I167:I178)/12</f>
        <v>31.61399457253</v>
      </c>
      <c r="I39" s="77" t="n">
        <f aca="false">E39-D39</f>
        <v>2.22249999999998</v>
      </c>
      <c r="J39" s="75" t="n">
        <v>55.3520669377068</v>
      </c>
      <c r="K39" s="75" t="n">
        <v>86.8012847535029</v>
      </c>
      <c r="L39" s="75" t="n">
        <f aca="false">SUM(chart_data!Q162:Q173)/12</f>
        <v>149.891666666667</v>
      </c>
    </row>
    <row r="40" customFormat="false" ht="14.25" hidden="false" customHeight="true" outlineLevel="0" collapsed="false">
      <c r="A40" s="73" t="n">
        <v>2003</v>
      </c>
      <c r="B40" s="74" t="n">
        <f aca="false">SUM('4.1.1'!C179:C190)/12</f>
        <v>79.9416666666667</v>
      </c>
      <c r="C40" s="74" t="n">
        <f aca="false">SUM('4.1.1'!D179:D190)/12</f>
        <v>81.3641666666667</v>
      </c>
      <c r="D40" s="74" t="n">
        <f aca="false">SUM('4.1.1'!E179:E190)/12</f>
        <v>76.0391666666667</v>
      </c>
      <c r="E40" s="74" t="n">
        <f aca="false">SUM('4.1.1'!F179:F190)/12</f>
        <v>77.9191666666667</v>
      </c>
      <c r="F40" s="74" t="n">
        <f aca="false">SUM('4.1.1'!G179:G190)/12</f>
        <v>17.5708333333333</v>
      </c>
      <c r="G40" s="74" t="n">
        <f aca="false">SUM('4.1.1'!H179:H190)/12</f>
        <v>18.5816666666667</v>
      </c>
      <c r="H40" s="79" t="n">
        <f aca="false">SUM('4.1.1'!I179:I190)/12</f>
        <v>34.2610678319089</v>
      </c>
      <c r="I40" s="77" t="n">
        <f aca="false">E40-D40</f>
        <v>1.88</v>
      </c>
      <c r="J40" s="75" t="n">
        <v>59.955045744084</v>
      </c>
      <c r="K40" s="75" t="n">
        <v>94.0136216474694</v>
      </c>
      <c r="L40" s="76"/>
    </row>
    <row r="41" customFormat="false" ht="14.25" hidden="false" customHeight="true" outlineLevel="0" collapsed="false">
      <c r="A41" s="73" t="n">
        <v>2004</v>
      </c>
      <c r="B41" s="74" t="n">
        <f aca="false">SUM('4.1.1'!C191:C202)/12</f>
        <v>84.4183333333333</v>
      </c>
      <c r="C41" s="74" t="n">
        <f aca="false">SUM('4.1.1'!D191:D202)/12</f>
        <v>85.75</v>
      </c>
      <c r="D41" s="74" t="n">
        <f aca="false">SUM('4.1.1'!E191:E202)/12</f>
        <v>80.2241666666667</v>
      </c>
      <c r="E41" s="74" t="n">
        <f aca="false">SUM('4.1.1'!F191:F202)/12</f>
        <v>81.9125</v>
      </c>
      <c r="F41" s="74" t="n">
        <f aca="false">SUM('4.1.1'!G191:G202)/12</f>
        <v>21.2641666666667</v>
      </c>
      <c r="G41" s="74" t="n">
        <f aca="false">SUM('4.1.1'!H191:H202)/12</f>
        <v>21.96</v>
      </c>
      <c r="H41" s="75" t="n">
        <f aca="false">SUM('4.1.1'!I191:I202)/12</f>
        <v>39.7318837483621</v>
      </c>
      <c r="I41" s="77" t="n">
        <f aca="false">E41-D41</f>
        <v>1.68833333333336</v>
      </c>
      <c r="J41" s="75" t="n">
        <v>69.5721026532837</v>
      </c>
      <c r="K41" s="75" t="n">
        <v>109.1</v>
      </c>
      <c r="L41" s="76"/>
    </row>
    <row r="42" customFormat="false" ht="14.25" hidden="false" customHeight="true" outlineLevel="0" collapsed="false">
      <c r="A42" s="73" t="n">
        <v>2005</v>
      </c>
      <c r="B42" s="80"/>
      <c r="C42" s="74" t="n">
        <f aca="false">SUM('4.1.1'!D203:D214)/12</f>
        <v>93.4041666666667</v>
      </c>
      <c r="D42" s="74" t="n">
        <f aca="false">SUM('4.1.1'!E203:E214)/12</f>
        <v>86.745</v>
      </c>
      <c r="E42" s="74" t="n">
        <f aca="false">SUM('4.1.1'!F203:F214)/12</f>
        <v>90.86</v>
      </c>
      <c r="F42" s="74" t="n">
        <f aca="false">SUM('4.1.1'!G203:G214)/12</f>
        <v>29.0316666666667</v>
      </c>
      <c r="G42" s="74" t="n">
        <f aca="false">SUM('4.1.1'!H203:H214)/12</f>
        <v>30.5291666666667</v>
      </c>
      <c r="H42" s="75" t="n">
        <f aca="false">SUM('4.1.1'!I203:I214)/12</f>
        <v>57.1135546059096</v>
      </c>
      <c r="I42" s="77" t="n">
        <f aca="false">E42-D42</f>
        <v>4.11500000000002</v>
      </c>
      <c r="J42" s="75" t="n">
        <v>100.000070606918</v>
      </c>
      <c r="K42" s="75" t="n">
        <v>156.816666666667</v>
      </c>
      <c r="L42" s="76"/>
    </row>
    <row r="43" customFormat="false" ht="14.25" hidden="false" customHeight="true" outlineLevel="0" collapsed="false">
      <c r="A43" s="73" t="n">
        <v>2006</v>
      </c>
      <c r="B43" s="80"/>
      <c r="C43" s="74" t="n">
        <f aca="false">SUM('4.1.1'!D215:D226)/12</f>
        <v>98.0483333333333</v>
      </c>
      <c r="D43" s="74" t="n">
        <f aca="false">SUM('4.1.1'!E215:E226)/12</f>
        <v>91.3191666666667</v>
      </c>
      <c r="E43" s="74" t="n">
        <f aca="false">SUM('4.1.1'!F215:F226)/12</f>
        <v>95.2091666666667</v>
      </c>
      <c r="F43" s="74" t="n">
        <f aca="false">SUM('4.1.1'!G215:G226)/12</f>
        <v>33.6591666666667</v>
      </c>
      <c r="G43" s="74" t="n">
        <f aca="false">SUM('4.1.1'!H215:H226)/12</f>
        <v>36.5791666666667</v>
      </c>
      <c r="H43" s="75" t="n">
        <f aca="false">SUM('4.1.1'!I215:I226)/12</f>
        <v>67.6602549660843</v>
      </c>
      <c r="I43" s="77" t="n">
        <f aca="false">E43-D43</f>
        <v>3.89</v>
      </c>
      <c r="J43" s="75" t="n">
        <v>118.441737027475</v>
      </c>
      <c r="K43" s="75" t="n">
        <v>185.773160702076</v>
      </c>
      <c r="L43" s="76"/>
    </row>
    <row r="44" customFormat="false" ht="14.25" hidden="false" customHeight="true" outlineLevel="0" collapsed="false">
      <c r="A44" s="73" t="n">
        <v>2007</v>
      </c>
      <c r="B44" s="80"/>
      <c r="C44" s="74" t="n">
        <f aca="false">SUM('4.1.1'!D227:D238)/12</f>
        <v>100.396666666667</v>
      </c>
      <c r="D44" s="74" t="n">
        <f aca="false">SUM('4.1.1'!E227:E238)/12</f>
        <v>94.2441666666667</v>
      </c>
      <c r="E44" s="74" t="n">
        <f aca="false">SUM('4.1.1'!F227:F238)/12</f>
        <v>96.8483333333333</v>
      </c>
      <c r="F44" s="74" t="n">
        <f aca="false">SUM('4.1.1'!G227:G238)/12</f>
        <v>35.0333333333333</v>
      </c>
      <c r="G44" s="74" t="n">
        <f aca="false">SUM('4.1.1'!H227:H238)/12</f>
        <v>40.025</v>
      </c>
      <c r="H44" s="75" t="n">
        <f aca="false">SUM('4.1.1'!I227:I238)/12</f>
        <v>70.0902909119492</v>
      </c>
      <c r="I44" s="77" t="n">
        <f aca="false">E44-D44</f>
        <v>2.60416666666666</v>
      </c>
      <c r="J44" s="75" t="n">
        <v>122.601609289501</v>
      </c>
      <c r="K44" s="75" t="n">
        <v>192.436863576745</v>
      </c>
      <c r="L44" s="76"/>
    </row>
    <row r="45" customFormat="false" ht="14.25" hidden="false" customHeight="true" outlineLevel="0" collapsed="false">
      <c r="A45" s="73" t="n">
        <v>2008</v>
      </c>
      <c r="B45" s="80"/>
      <c r="C45" s="74" t="n">
        <f aca="false">SUM('4.1.1'!D239:D250)/12</f>
        <v>113.469166666667</v>
      </c>
      <c r="D45" s="74" t="n">
        <f aca="false">SUM('4.1.1'!E239:E250)/12</f>
        <v>107.075833333333</v>
      </c>
      <c r="E45" s="74" t="n">
        <f aca="false">SUM('4.1.1'!F239:F250)/12</f>
        <v>117.510833333333</v>
      </c>
      <c r="F45" s="74" t="n">
        <f aca="false">SUM('4.1.1'!G239:G250)/12</f>
        <v>51.0466666666667</v>
      </c>
      <c r="G45" s="74" t="n">
        <f aca="false">SUM('4.1.1'!H239:H250)/12</f>
        <v>58.4166666666667</v>
      </c>
      <c r="H45" s="75" t="n">
        <f aca="false">SUM('4.1.1'!I239:I250)/12</f>
        <v>100.409547262977</v>
      </c>
      <c r="I45" s="77" t="n">
        <f aca="false">E45-D45</f>
        <v>10.435</v>
      </c>
      <c r="J45" s="75" t="n">
        <v>175.533751457536</v>
      </c>
      <c r="K45" s="75" t="n">
        <v>274.819051131685</v>
      </c>
      <c r="L45" s="76"/>
    </row>
    <row r="46" customFormat="false" ht="14.25" hidden="false" customHeight="true" outlineLevel="0" collapsed="false">
      <c r="A46" s="73" t="n">
        <v>2009</v>
      </c>
      <c r="B46" s="80"/>
      <c r="C46" s="74" t="n">
        <f aca="false">SUM('4.1.1'!D251:D262)/12</f>
        <v>105.711627362819</v>
      </c>
      <c r="D46" s="74" t="n">
        <f aca="false">SUM('4.1.1'!E251:E262)/12</f>
        <v>99.2895851666667</v>
      </c>
      <c r="E46" s="74" t="n">
        <f aca="false">SUM('4.1.1'!F251:F262)/12</f>
        <v>103.929927962806</v>
      </c>
      <c r="F46" s="74" t="n">
        <f aca="false">SUM('4.1.1'!G251:G262)/12</f>
        <v>36.1452165511727</v>
      </c>
      <c r="G46" s="74" t="n">
        <f aca="false">SUM('4.1.1'!H251:H262)/12</f>
        <v>43.9955242240727</v>
      </c>
      <c r="H46" s="75" t="n">
        <f aca="false">SUM('4.1.1'!I251:I262)/12</f>
        <v>75.398507320885</v>
      </c>
      <c r="I46" s="77" t="n">
        <f aca="false">E46-D46</f>
        <v>4.64034279613917</v>
      </c>
      <c r="J46" s="75" t="n">
        <v>131.947496661713</v>
      </c>
      <c r="K46" s="75" t="n">
        <v>206.554185640815</v>
      </c>
      <c r="L46" s="76"/>
    </row>
    <row r="47" customFormat="false" ht="14.25" hidden="false" customHeight="true" outlineLevel="0" collapsed="false">
      <c r="A47" s="73" t="n">
        <v>2010</v>
      </c>
      <c r="B47" s="80"/>
      <c r="C47" s="74" t="n">
        <f aca="false">SUM('4.1.1'!D263:D274)/12</f>
        <v>123.833530165259</v>
      </c>
      <c r="D47" s="74" t="n">
        <f aca="false">SUM('4.1.1'!E263:E274)/12</f>
        <v>116.902571</v>
      </c>
      <c r="E47" s="74" t="n">
        <f aca="false">SUM('4.1.1'!F263:F274)/12</f>
        <v>119.258627492575</v>
      </c>
      <c r="F47" s="74" t="n">
        <f aca="false">SUM('4.1.1'!G263:G274)/12</f>
        <v>45.4512792066453</v>
      </c>
      <c r="G47" s="74" t="n">
        <f aca="false">SUM('4.1.1'!H263:H274)/12</f>
        <v>54.1429170722036</v>
      </c>
      <c r="H47" s="75" t="n">
        <f aca="false">SUM('4.1.1'!I263:I274)/12</f>
        <v>100</v>
      </c>
      <c r="I47" s="77" t="n">
        <f aca="false">E47-D47</f>
        <v>2.35605649257532</v>
      </c>
      <c r="J47" s="75" t="n">
        <v>174.969052361453</v>
      </c>
      <c r="K47" s="75"/>
      <c r="L47" s="76"/>
    </row>
    <row r="48" customFormat="false" ht="14.25" hidden="false" customHeight="true" outlineLevel="0" collapsed="false">
      <c r="A48" s="73" t="n">
        <v>2011</v>
      </c>
      <c r="B48" s="80"/>
      <c r="C48" s="74" t="n">
        <f aca="false">SUM('4.1.1'!D275:D286)/12</f>
        <v>140.573946774921</v>
      </c>
      <c r="D48" s="74" t="n">
        <f aca="false">SUM('4.1.1'!E275:E286)/12</f>
        <v>133.268790177067</v>
      </c>
      <c r="E48" s="74" t="n">
        <f aca="false">SUM('4.1.1'!F275:F286)/12</f>
        <v>138.716127079064</v>
      </c>
      <c r="F48" s="74" t="n">
        <f aca="false">SUM('4.1.1'!G275:G286)/12</f>
        <v>58.1774976651963</v>
      </c>
      <c r="G48" s="74" t="n">
        <f aca="false">SUM('4.1.1'!H275:H286)/12</f>
        <v>68.1041926421783</v>
      </c>
      <c r="H48" s="75" t="n">
        <f aca="false">SUM('4.1.1'!I275:I286)/12</f>
        <v>135.731195649478</v>
      </c>
      <c r="I48" s="77" t="n">
        <f aca="false">E48-D48</f>
        <v>5.4473369019978</v>
      </c>
      <c r="J48" s="75" t="n">
        <v>237.51179133229</v>
      </c>
      <c r="K48" s="75"/>
      <c r="L48" s="76"/>
    </row>
    <row r="49" customFormat="false" ht="14.25" hidden="false" customHeight="true" outlineLevel="0" collapsed="false">
      <c r="A49" s="73" t="n">
        <v>2012</v>
      </c>
      <c r="B49" s="80"/>
      <c r="C49" s="74" t="n">
        <f aca="false">SUM('4.1.1'!D287:D298)/12</f>
        <v>142.868817895786</v>
      </c>
      <c r="D49" s="74" t="n">
        <f aca="false">SUM('4.1.1'!E287:E298)/12</f>
        <v>135.39054723386</v>
      </c>
      <c r="E49" s="74" t="n">
        <f aca="false">SUM('4.1.1'!F287:F298)/12</f>
        <v>141.828259764012</v>
      </c>
      <c r="F49" s="74" t="n">
        <f aca="false">SUM('4.1.1'!G287:G298)/12</f>
        <v>59.2879081100873</v>
      </c>
      <c r="G49" s="74" t="n">
        <f aca="false">SUM('4.1.1'!H287:H298)/12</f>
        <v>70.7609177304372</v>
      </c>
      <c r="H49" s="75" t="n">
        <f aca="false">SUM('4.1.1'!I287:I298)/12</f>
        <v>136.796975488285</v>
      </c>
      <c r="I49" s="77" t="n">
        <f aca="false">E49-D49</f>
        <v>6.43771253015223</v>
      </c>
      <c r="J49" s="75" t="n">
        <v>239.285615640362</v>
      </c>
      <c r="K49" s="75"/>
      <c r="L49" s="76"/>
    </row>
    <row r="50" customFormat="false" ht="14.25" hidden="false" customHeight="true" outlineLevel="0" collapsed="false">
      <c r="A50" s="73" t="n">
        <v>2013</v>
      </c>
      <c r="B50" s="80"/>
      <c r="C50" s="74" t="n">
        <f aca="false">SUM('4.1.1'!D299:D310)/12</f>
        <v>141.749011284524</v>
      </c>
      <c r="D50" s="74" t="n">
        <f aca="false">SUM('4.1.1'!E299:E310)/12</f>
        <v>134.145278</v>
      </c>
      <c r="E50" s="74" t="n">
        <f aca="false">SUM('4.1.1'!F299:F310)/12</f>
        <v>140.405189138708</v>
      </c>
      <c r="F50" s="74" t="n">
        <f aca="false">SUM('4.1.1'!G299:G310)/12</f>
        <v>57.144056320283</v>
      </c>
      <c r="G50" s="74" t="n">
        <f aca="false">SUM('4.1.1'!H299:H310)/12</f>
        <v>69.7832198361033</v>
      </c>
      <c r="H50" s="75" t="n">
        <f aca="false">SUM('4.1.1'!I299:I310)/12</f>
        <v>135.319776549521</v>
      </c>
      <c r="I50" s="77" t="n">
        <f aca="false">E50-D50</f>
        <v>6.25991113870751</v>
      </c>
      <c r="J50" s="75" t="n">
        <v>236.394682113417</v>
      </c>
      <c r="K50" s="75"/>
      <c r="L50" s="76"/>
    </row>
    <row r="51" customFormat="false" ht="14.25" hidden="false" customHeight="true" outlineLevel="0" collapsed="false">
      <c r="A51" s="73" t="n">
        <v>2014</v>
      </c>
      <c r="B51" s="80"/>
      <c r="C51" s="74" t="n">
        <f aca="false">SUM('4.1.1'!D311:D322)/12</f>
        <v>135.068735428018</v>
      </c>
      <c r="D51" s="74" t="n">
        <f aca="false">SUM('4.1.1'!E311:E322)/12</f>
        <v>127.495852937778</v>
      </c>
      <c r="E51" s="74" t="n">
        <f aca="false">SUM('4.1.1'!F311:F322)/12</f>
        <v>133.45799887462</v>
      </c>
      <c r="F51" s="74" t="n">
        <f aca="false">SUM('4.1.1'!G311:G322)/12</f>
        <v>50.1449818245504</v>
      </c>
      <c r="G51" s="74" t="n">
        <f aca="false">SUM('4.1.1'!H311:H322)/12</f>
        <v>62.281866847833</v>
      </c>
      <c r="H51" s="75" t="n">
        <f aca="false">SUM('4.1.1'!I311:I322)/12</f>
        <v>117.623568818191</v>
      </c>
      <c r="I51" s="77" t="n">
        <f aca="false">E51-D51</f>
        <v>5.96214593684266</v>
      </c>
      <c r="J51" s="75"/>
      <c r="K51" s="75"/>
      <c r="L51" s="76"/>
    </row>
    <row r="52" customFormat="false" ht="14.25" hidden="false" customHeight="true" outlineLevel="0" collapsed="false">
      <c r="A52" s="73" t="n">
        <v>2015</v>
      </c>
      <c r="B52" s="80"/>
      <c r="C52" s="74" t="n">
        <f aca="false">SUM('4.1.1'!D323:D334)/12</f>
        <v>118.974262995939</v>
      </c>
      <c r="D52" s="74" t="n">
        <f aca="false">SUM('4.1.1'!E323:E334)/12</f>
        <v>111.130760150684</v>
      </c>
      <c r="E52" s="74" t="n">
        <f aca="false">SUM('4.1.1'!F323:F334)/12</f>
        <v>114.898455873672</v>
      </c>
      <c r="F52" s="74" t="n">
        <f aca="false">SUM('4.1.1'!G323:G334)/12</f>
        <v>34.07158975</v>
      </c>
      <c r="G52" s="74" t="n">
        <f aca="false">SUM('4.1.1'!H323:H334)/12</f>
        <v>45.79803975</v>
      </c>
      <c r="H52" s="75" t="n">
        <f aca="false">SUM('4.1.1'!I323:I334)/12</f>
        <v>67.054799400955</v>
      </c>
      <c r="I52" s="77" t="n">
        <f aca="false">E52-D52</f>
        <v>3.76769572298804</v>
      </c>
      <c r="J52" s="75"/>
      <c r="K52" s="75"/>
      <c r="L52" s="76"/>
    </row>
    <row r="53" customFormat="false" ht="14.25" hidden="false" customHeight="true" outlineLevel="0" collapsed="false">
      <c r="A53" s="73" t="n">
        <v>2016</v>
      </c>
      <c r="B53" s="80"/>
      <c r="C53" s="74" t="n">
        <f aca="false">SUM('4.1.1'!D335:D346)/12</f>
        <v>117.830083933453</v>
      </c>
      <c r="D53" s="74" t="n">
        <f aca="false">SUM('4.1.1'!E335:E346)/12</f>
        <v>108.845640315663</v>
      </c>
      <c r="E53" s="74" t="n">
        <f aca="false">SUM('4.1.1'!F335:F346)/12</f>
        <v>110.128630333333</v>
      </c>
      <c r="F53" s="74" t="n">
        <f aca="false">SUM('4.1.1'!G335:G346)/12</f>
        <v>30.48125</v>
      </c>
      <c r="G53" s="74" t="n">
        <f aca="false">SUM('4.1.1'!H335:H346)/12</f>
        <v>42.5965086666667</v>
      </c>
      <c r="H53" s="79" t="n">
        <f aca="false">SUM('4.1.1'!I335:I346)/12</f>
        <v>63.0263266117758</v>
      </c>
      <c r="I53" s="77" t="n">
        <f aca="false">E53-D53</f>
        <v>1.28299001767074</v>
      </c>
      <c r="J53" s="75"/>
      <c r="K53" s="75"/>
      <c r="L53" s="81"/>
    </row>
    <row r="54" customFormat="false" ht="14.25" hidden="false" customHeight="true" outlineLevel="0" collapsed="false">
      <c r="A54" s="73" t="n">
        <v>2017</v>
      </c>
      <c r="B54" s="80"/>
      <c r="C54" s="74" t="n">
        <f aca="false">SUM('4.1.1'!D347:D358)/12</f>
        <v>126.954015428886</v>
      </c>
      <c r="D54" s="74" t="n">
        <f aca="false">SUM('4.1.1'!E347:E358)/12</f>
        <v>117.588882615795</v>
      </c>
      <c r="E54" s="74" t="n">
        <f aca="false">SUM('4.1.1'!F347:F358)/12</f>
        <v>120.149237333333</v>
      </c>
      <c r="F54" s="74" t="n">
        <f aca="false">SUM('4.1.1'!G347:G358)/12</f>
        <v>39.1688333333333</v>
      </c>
      <c r="G54" s="74" t="n">
        <f aca="false">SUM('4.1.1'!H347:H358)/12</f>
        <v>50.4608581666667</v>
      </c>
      <c r="H54" s="79" t="n">
        <f aca="false">SUM('4.1.1'!I347:I358)/12</f>
        <v>81.6135529627466</v>
      </c>
      <c r="I54" s="77" t="n">
        <f aca="false">E54-D54</f>
        <v>2.56035471753869</v>
      </c>
      <c r="J54" s="75"/>
      <c r="K54" s="75"/>
      <c r="L54" s="81"/>
    </row>
    <row r="55" customFormat="false" ht="14.25" hidden="false" customHeight="true" outlineLevel="0" collapsed="false">
      <c r="A55" s="73" t="n">
        <v>2018</v>
      </c>
      <c r="B55" s="80"/>
      <c r="C55" s="74" t="n">
        <f aca="false">SUM('4.1.1'!D359:D370)/12</f>
        <v>135.186198416667</v>
      </c>
      <c r="D55" s="74" t="n">
        <f aca="false">SUM('4.1.1'!E359:E370)/12</f>
        <v>125.195971199362</v>
      </c>
      <c r="E55" s="74" t="n">
        <f aca="false">SUM('4.1.1'!F359:F370)/12</f>
        <v>129.982166416667</v>
      </c>
      <c r="F55" s="74" t="n">
        <f aca="false">SUM('4.1.1'!G359:G370)/12</f>
        <v>48.1939166666667</v>
      </c>
      <c r="G55" s="74" t="n">
        <f aca="false">SUM('4.1.1'!H359:H370)/12</f>
        <v>59.38847625</v>
      </c>
      <c r="H55" s="79" t="n">
        <f aca="false">SUM('4.1.1'!I359:I370)/12</f>
        <v>104.216421421169</v>
      </c>
      <c r="I55" s="77" t="n">
        <f aca="false">E55-D55</f>
        <v>4.78619521730452</v>
      </c>
      <c r="J55" s="75"/>
      <c r="K55" s="75"/>
      <c r="L55" s="81"/>
    </row>
    <row r="56" customFormat="false" ht="14.25" hidden="false" customHeight="true" outlineLevel="0" collapsed="false">
      <c r="A56" s="73" t="n">
        <v>2019</v>
      </c>
      <c r="B56" s="80"/>
      <c r="C56" s="74" t="n">
        <f aca="false">SUM('4.1.1'!D371:D382)/12</f>
        <v>136.180888583333</v>
      </c>
      <c r="D56" s="74" t="n">
        <f aca="false">SUM('4.1.1'!E371:E382)/12</f>
        <v>124.877998495829</v>
      </c>
      <c r="E56" s="74" t="n">
        <f aca="false">SUM('4.1.1'!F371:F382)/12</f>
        <v>131.475462916667</v>
      </c>
      <c r="F56" s="74" t="n">
        <f aca="false">SUM('4.1.1'!G371:G382)/12</f>
        <v>46.9263333333333</v>
      </c>
      <c r="G56" s="74" t="n">
        <f aca="false">SUM('4.1.1'!H371:H382)/12</f>
        <v>58.8485690833333</v>
      </c>
      <c r="H56" s="79" t="n">
        <f aca="false">SUM('4.1.1'!I371:I382)/12</f>
        <v>99.0236655779581</v>
      </c>
      <c r="I56" s="77" t="n">
        <f aca="false">E56-D56</f>
        <v>6.59746442083768</v>
      </c>
      <c r="J56" s="75"/>
      <c r="K56" s="75"/>
      <c r="L56" s="81"/>
    </row>
    <row r="57" customFormat="false" ht="14.25" hidden="false" customHeight="true" outlineLevel="0" collapsed="false">
      <c r="A57" s="73" t="n">
        <v>2020</v>
      </c>
      <c r="B57" s="80"/>
      <c r="C57" s="34" t="n">
        <f aca="false">SUM('4.1.1'!D383:D394)/12</f>
        <v>127.279022166667</v>
      </c>
      <c r="D57" s="34" t="n">
        <f aca="false">SUM('4.1.1'!E383:E394)/12</f>
        <v>113.947292790583</v>
      </c>
      <c r="E57" s="34" t="n">
        <f aca="false">SUM('4.1.1'!F383:F394)/12</f>
        <v>119.13522325</v>
      </c>
      <c r="F57" s="34" t="n">
        <f aca="false">SUM('4.1.1'!G383:G394)/12</f>
        <v>29.5889166666667</v>
      </c>
      <c r="G57" s="34" t="n">
        <f aca="false">SUM('4.1.1'!H383:H394)/12</f>
        <v>46.0999461666667</v>
      </c>
      <c r="H57" s="79" t="n">
        <f aca="false">SUM('4.1.1'!I383:I394)/12</f>
        <v>65.0661739677377</v>
      </c>
      <c r="I57" s="77" t="n">
        <f aca="false">E57-D57</f>
        <v>5.18793045941669</v>
      </c>
      <c r="J57" s="75"/>
      <c r="K57" s="75"/>
      <c r="L57" s="81"/>
    </row>
    <row r="58" customFormat="false" ht="14.25" hidden="false" customHeight="true" outlineLevel="0" collapsed="false">
      <c r="A58" s="73" t="n">
        <v>2021</v>
      </c>
      <c r="B58" s="80"/>
      <c r="C58" s="34" t="n">
        <f aca="false">SUM('4.1.1'!D395:D406)/12</f>
        <v>144.867080516303</v>
      </c>
      <c r="D58" s="34" t="n">
        <f aca="false">SUM('4.1.1'!E395:E406)/12</f>
        <v>131.269578916459</v>
      </c>
      <c r="E58" s="34" t="n">
        <f aca="false">SUM('4.1.1'!F395:F406)/12</f>
        <v>134.937007355333</v>
      </c>
      <c r="F58" s="34" t="n">
        <f aca="false">SUM('4.1.1'!G395:G406)/12</f>
        <v>42.7746666666667</v>
      </c>
      <c r="G58" s="34" t="n">
        <f aca="false">SUM('4.1.1'!H395:H406)/12</f>
        <v>59.904396</v>
      </c>
      <c r="H58" s="79" t="n">
        <f aca="false">SUM('4.1.1'!I395:I406)/12</f>
        <v>98.9887759769933</v>
      </c>
      <c r="I58" s="36" t="n">
        <f aca="false">E58-D58</f>
        <v>3.66742843887477</v>
      </c>
      <c r="J58" s="75"/>
      <c r="K58" s="75"/>
      <c r="L58" s="81"/>
    </row>
    <row r="59" customFormat="false" ht="14.25" hidden="false" customHeight="true" outlineLevel="0" collapsed="false">
      <c r="A59" s="73" t="n">
        <v>2022</v>
      </c>
      <c r="B59" s="80"/>
      <c r="C59" s="34" t="n">
        <f aca="false">SUM('4.1.1'!D407:D418)/12</f>
        <v>176.389563826024</v>
      </c>
      <c r="D59" s="34" t="n">
        <f aca="false">SUM('4.1.1'!E407:E418)/12</f>
        <v>164.732274240988</v>
      </c>
      <c r="E59" s="34" t="n">
        <f aca="false">SUM('4.1.1'!F407:F418)/12</f>
        <v>177.658131666667</v>
      </c>
      <c r="F59" s="34" t="n">
        <f aca="false">SUM('4.1.1'!G407:G418)/12</f>
        <v>80.4984166666667</v>
      </c>
      <c r="G59" s="34" t="n">
        <f aca="false">SUM('4.1.1'!H407:H418)/12</f>
        <v>104.393225583333</v>
      </c>
      <c r="H59" s="79" t="n">
        <f aca="false">SUM('4.1.1'!I407:I418)/12</f>
        <v>163.181589038348</v>
      </c>
      <c r="I59" s="77" t="n">
        <f aca="false">E59-D59</f>
        <v>12.9258574256787</v>
      </c>
      <c r="J59" s="75"/>
      <c r="K59" s="75"/>
      <c r="L59" s="82"/>
    </row>
    <row r="60" customFormat="false" ht="14.25" hidden="false" customHeight="true" outlineLevel="0" collapsed="false">
      <c r="A60" s="73" t="n">
        <v>2023</v>
      </c>
      <c r="B60" s="80"/>
      <c r="C60" s="34" t="n">
        <f aca="false">SUM('4.1.1'!D419:D430)/12</f>
        <v>160.843428900693</v>
      </c>
      <c r="D60" s="34" t="n">
        <f aca="false">SUM('4.1.1'!E419:E430)/12</f>
        <v>147.746333628493</v>
      </c>
      <c r="E60" s="34" t="n">
        <f aca="false">SUM('4.1.1'!F419:F430)/12</f>
        <v>158.18871125</v>
      </c>
      <c r="F60" s="34" t="n">
        <f aca="false">SUM('4.1.1'!G419:G430)/12</f>
        <v>65.4035</v>
      </c>
      <c r="G60" s="34" t="n">
        <f aca="false">SUM('4.1.1'!H419:H430)/12</f>
        <v>83.4171706666667</v>
      </c>
      <c r="H60" s="79" t="n">
        <f aca="false">SUM('4.1.1'!I419:I430)/12</f>
        <v>131.607969820782</v>
      </c>
      <c r="I60" s="77" t="n">
        <f aca="false">E60-D60</f>
        <v>10.4423776215075</v>
      </c>
      <c r="J60" s="75"/>
      <c r="K60" s="75"/>
      <c r="L60" s="82"/>
    </row>
    <row r="61" customFormat="false" ht="12.75" hidden="false" customHeight="false" outlineLevel="0" collapsed="false">
      <c r="A61" s="73" t="n">
        <v>2024</v>
      </c>
      <c r="B61" s="80"/>
      <c r="C61" s="34" t="n">
        <f aca="false">SUM('4.1.1'!D431:D442)/12</f>
        <v>154.688377501274</v>
      </c>
      <c r="D61" s="34" t="n">
        <f aca="false">SUM('4.1.1'!E431:E442)/12</f>
        <v>141.477665406703</v>
      </c>
      <c r="E61" s="34" t="n">
        <f aca="false">SUM('4.1.1'!F431:F442)/12</f>
        <v>148.328884833333</v>
      </c>
      <c r="F61" s="34" t="n">
        <f aca="false">SUM('4.1.1'!G431:G442)/12</f>
        <v>58.2436666666667</v>
      </c>
      <c r="G61" s="34" t="n">
        <f aca="false">SUM('4.1.1'!H431:H442)/12</f>
        <v>72.3190816666667</v>
      </c>
      <c r="H61" s="79" t="n">
        <f aca="false">SUM('4.1.1'!I431:I442)/12</f>
        <v>124.84775443739</v>
      </c>
      <c r="I61" s="77" t="n">
        <f aca="false">E61-D61</f>
        <v>6.85121942663074</v>
      </c>
      <c r="J61" s="75"/>
      <c r="K61" s="75"/>
      <c r="L61" s="83"/>
    </row>
    <row r="62" customFormat="false" ht="12.75" hidden="false" customHeight="false" outlineLevel="0" collapsed="false">
      <c r="A62" s="73" t="n">
        <v>2025</v>
      </c>
      <c r="B62" s="80"/>
      <c r="C62" s="34" t="n">
        <f aca="false">SUM('4.1.1'!D443:D454)/12</f>
        <v>149.575379767481</v>
      </c>
      <c r="D62" s="34" t="n">
        <f aca="false">SUM('4.1.1'!E443:E454)/12</f>
        <v>135.072210371991</v>
      </c>
      <c r="E62" s="34" t="n">
        <f aca="false">SUM('4.1.1'!F443:F454)/12</f>
        <v>142.548575083333</v>
      </c>
      <c r="F62" s="34" t="n">
        <f aca="false">SUM('4.1.1'!G443:G454)/12</f>
        <v>52.14425</v>
      </c>
      <c r="G62" s="34" t="n">
        <f aca="false">SUM('4.1.1'!H443:H454)/12</f>
        <v>67.62635125</v>
      </c>
      <c r="H62" s="79" t="n">
        <f aca="false">SUM('4.1.1'!I443:I454)/12</f>
        <v>103.929234536093</v>
      </c>
      <c r="I62" s="77" t="n">
        <f aca="false">E62-D62</f>
        <v>7.47636471134229</v>
      </c>
      <c r="J62" s="75"/>
      <c r="K62" s="75"/>
      <c r="L62" s="8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F81BD"/>
    <pageSetUpPr fitToPage="true"/>
  </sheetPr>
  <dimension ref="A1:W4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381" activePane="bottomLeft" state="frozen"/>
      <selection pane="topLeft" activeCell="A1" activeCellId="0" sqref="A1"/>
      <selection pane="bottomLeft" activeCell="A1" activeCellId="0" sqref="A1"/>
    </sheetView>
  </sheetViews>
  <sheetFormatPr defaultColWidth="12.5703125" defaultRowHeight="12.75" customHeight="true" zeroHeight="false" outlineLevelRow="0" outlineLevelCol="0"/>
  <cols>
    <col collapsed="false" customWidth="true" hidden="false" outlineLevel="0" max="23" min="1" style="0" width="15.57"/>
  </cols>
  <sheetData>
    <row r="1" customFormat="false" ht="18" hidden="false" customHeight="true" outlineLevel="0" collapsed="false">
      <c r="A1" s="23" t="s">
        <v>106</v>
      </c>
      <c r="B1" s="23"/>
      <c r="C1" s="23"/>
      <c r="D1" s="23"/>
      <c r="E1" s="23"/>
      <c r="F1" s="23"/>
      <c r="G1" s="23"/>
      <c r="H1" s="23"/>
      <c r="I1" s="23"/>
      <c r="J1" s="23"/>
      <c r="K1" s="23"/>
      <c r="L1" s="23"/>
      <c r="M1" s="23"/>
      <c r="N1" s="55"/>
      <c r="O1" s="55"/>
      <c r="Q1" s="55"/>
      <c r="R1" s="55"/>
      <c r="S1" s="84"/>
      <c r="T1" s="85"/>
      <c r="U1" s="85"/>
      <c r="V1" s="85"/>
      <c r="W1" s="85"/>
    </row>
    <row r="2" customFormat="false" ht="18" hidden="false" customHeight="true" outlineLevel="0" collapsed="false">
      <c r="A2" s="17" t="s">
        <v>107</v>
      </c>
      <c r="B2" s="23"/>
      <c r="C2" s="23"/>
      <c r="D2" s="23"/>
      <c r="E2" s="23"/>
      <c r="F2" s="23"/>
      <c r="G2" s="23"/>
      <c r="H2" s="23"/>
      <c r="I2" s="23"/>
      <c r="J2" s="23"/>
      <c r="K2" s="23"/>
      <c r="L2" s="23"/>
      <c r="M2" s="23"/>
      <c r="N2" s="55"/>
      <c r="O2" s="55"/>
      <c r="Q2" s="55"/>
      <c r="R2" s="55"/>
      <c r="S2" s="84"/>
      <c r="T2" s="85"/>
      <c r="U2" s="85"/>
      <c r="V2" s="85"/>
      <c r="W2" s="85"/>
    </row>
    <row r="3" customFormat="false" ht="18" hidden="false" customHeight="true" outlineLevel="0" collapsed="false">
      <c r="A3" s="26" t="s">
        <v>42</v>
      </c>
    </row>
    <row r="4" customFormat="false" ht="18" hidden="false" customHeight="true" outlineLevel="0" collapsed="false">
      <c r="A4" s="17" t="s">
        <v>43</v>
      </c>
      <c r="B4" s="23"/>
      <c r="C4" s="23"/>
      <c r="D4" s="23"/>
      <c r="E4" s="23"/>
      <c r="F4" s="23"/>
      <c r="G4" s="23"/>
      <c r="H4" s="23"/>
      <c r="I4" s="23"/>
      <c r="J4" s="23"/>
      <c r="K4" s="23"/>
      <c r="L4" s="23"/>
      <c r="M4" s="23"/>
      <c r="N4" s="55"/>
      <c r="O4" s="55"/>
      <c r="Q4" s="55"/>
      <c r="R4" s="55"/>
      <c r="S4" s="84"/>
      <c r="T4" s="85"/>
      <c r="U4" s="85"/>
      <c r="V4" s="85"/>
      <c r="W4" s="85"/>
    </row>
    <row r="5" customFormat="false" ht="18" hidden="false" customHeight="true" outlineLevel="0" collapsed="false">
      <c r="A5" s="17" t="s">
        <v>44</v>
      </c>
      <c r="B5" s="23"/>
      <c r="C5" s="23"/>
      <c r="D5" s="23"/>
      <c r="E5" s="23"/>
      <c r="F5" s="23"/>
      <c r="G5" s="23"/>
      <c r="H5" s="23"/>
      <c r="I5" s="23"/>
      <c r="J5" s="23"/>
      <c r="K5" s="23"/>
      <c r="L5" s="23"/>
      <c r="M5" s="23"/>
      <c r="N5" s="55"/>
      <c r="O5" s="55"/>
      <c r="Q5" s="55"/>
      <c r="R5" s="55"/>
      <c r="S5" s="84"/>
      <c r="T5" s="85"/>
      <c r="U5" s="85"/>
      <c r="V5" s="85"/>
      <c r="W5" s="85"/>
    </row>
    <row r="6" customFormat="false" ht="91.5" hidden="false" customHeight="true" outlineLevel="0" collapsed="false">
      <c r="A6" s="86" t="s">
        <v>45</v>
      </c>
      <c r="B6" s="86" t="s">
        <v>46</v>
      </c>
      <c r="C6" s="29" t="s">
        <v>108</v>
      </c>
      <c r="D6" s="29" t="s">
        <v>109</v>
      </c>
      <c r="E6" s="29" t="s">
        <v>110</v>
      </c>
      <c r="F6" s="29" t="s">
        <v>111</v>
      </c>
      <c r="G6" s="29" t="s">
        <v>112</v>
      </c>
      <c r="H6" s="29" t="s">
        <v>113</v>
      </c>
      <c r="I6" s="29" t="s">
        <v>114</v>
      </c>
      <c r="J6" s="29" t="s">
        <v>115</v>
      </c>
      <c r="K6" s="29" t="s">
        <v>116</v>
      </c>
      <c r="L6" s="29" t="s">
        <v>117</v>
      </c>
      <c r="M6" s="29" t="s">
        <v>118</v>
      </c>
      <c r="N6" s="29" t="s">
        <v>119</v>
      </c>
      <c r="O6" s="29" t="s">
        <v>120</v>
      </c>
      <c r="P6" s="29" t="s">
        <v>121</v>
      </c>
      <c r="Q6" s="29" t="s">
        <v>122</v>
      </c>
      <c r="R6" s="29" t="s">
        <v>123</v>
      </c>
      <c r="S6" s="31" t="s">
        <v>54</v>
      </c>
      <c r="T6" s="29" t="s">
        <v>124</v>
      </c>
      <c r="U6" s="29" t="s">
        <v>125</v>
      </c>
      <c r="V6" s="29" t="s">
        <v>126</v>
      </c>
      <c r="W6" s="29" t="s">
        <v>127</v>
      </c>
    </row>
    <row r="7" customFormat="false" ht="14.25" hidden="false" customHeight="true" outlineLevel="0" collapsed="false">
      <c r="A7" s="85" t="n">
        <v>1990</v>
      </c>
      <c r="B7" s="56" t="n">
        <v>32874</v>
      </c>
      <c r="C7" s="56"/>
      <c r="D7" s="55" t="n">
        <v>35.58</v>
      </c>
      <c r="E7" s="55" t="n">
        <v>15.14</v>
      </c>
      <c r="F7" s="55"/>
      <c r="G7" s="55" t="n">
        <v>34.1</v>
      </c>
      <c r="H7" s="55" t="n">
        <v>16.81</v>
      </c>
      <c r="I7" s="55"/>
      <c r="J7" s="55" t="n">
        <v>33.37</v>
      </c>
      <c r="K7" s="55" t="n">
        <v>15.65</v>
      </c>
      <c r="L7" s="55"/>
      <c r="M7" s="55" t="n">
        <f aca="false">'4.1.1'!G23</f>
        <v>15.45</v>
      </c>
      <c r="N7" s="55" t="n">
        <f aca="false">M7-0</f>
        <v>15.45</v>
      </c>
      <c r="O7" s="55"/>
      <c r="P7" s="55" t="n">
        <f aca="false">'4.1.1'!H23</f>
        <v>15.46</v>
      </c>
      <c r="Q7" s="55" t="n">
        <f aca="false">P7-1.1</f>
        <v>14.36</v>
      </c>
      <c r="R7" s="55"/>
      <c r="S7" s="84"/>
      <c r="T7" s="85"/>
      <c r="U7" s="85"/>
      <c r="V7" s="85"/>
      <c r="W7" s="85"/>
    </row>
    <row r="8" customFormat="false" ht="14.25" hidden="false" customHeight="true" outlineLevel="0" collapsed="false">
      <c r="A8" s="85" t="n">
        <v>1990</v>
      </c>
      <c r="B8" s="56" t="n">
        <v>32905</v>
      </c>
      <c r="C8" s="56"/>
      <c r="D8" s="55" t="n">
        <v>35.52</v>
      </c>
      <c r="E8" s="55" t="n">
        <v>15.08</v>
      </c>
      <c r="F8" s="55"/>
      <c r="G8" s="55" t="n">
        <v>32.71</v>
      </c>
      <c r="H8" s="55" t="n">
        <v>15.42</v>
      </c>
      <c r="I8" s="55"/>
      <c r="J8" s="55" t="n">
        <v>33.27</v>
      </c>
      <c r="K8" s="55" t="n">
        <v>15.55</v>
      </c>
      <c r="L8" s="55"/>
      <c r="M8" s="55" t="n">
        <f aca="false">'4.1.1'!G24</f>
        <v>13.64</v>
      </c>
      <c r="N8" s="55" t="n">
        <f aca="false">M8-0</f>
        <v>13.64</v>
      </c>
      <c r="O8" s="55"/>
      <c r="P8" s="55" t="n">
        <f aca="false">'4.1.1'!H24</f>
        <v>12.96</v>
      </c>
      <c r="Q8" s="55" t="n">
        <f aca="false">P8-1.1</f>
        <v>11.86</v>
      </c>
      <c r="R8" s="55"/>
      <c r="S8" s="84"/>
      <c r="T8" s="85"/>
      <c r="U8" s="85"/>
      <c r="V8" s="85"/>
      <c r="W8" s="85"/>
    </row>
    <row r="9" customFormat="false" ht="14.25" hidden="false" customHeight="true" outlineLevel="0" collapsed="false">
      <c r="A9" s="85" t="n">
        <v>1990</v>
      </c>
      <c r="B9" s="56" t="n">
        <v>32933</v>
      </c>
      <c r="C9" s="56"/>
      <c r="D9" s="55" t="n">
        <v>35.56</v>
      </c>
      <c r="E9" s="55" t="n">
        <v>15.13</v>
      </c>
      <c r="F9" s="55" t="n">
        <f aca="false">SUM(E7:E9)/3</f>
        <v>15.1166666666667</v>
      </c>
      <c r="G9" s="55" t="n">
        <v>32.5</v>
      </c>
      <c r="H9" s="55" t="n">
        <v>15.21</v>
      </c>
      <c r="I9" s="55" t="n">
        <f aca="false">SUM(H7:H9)/3</f>
        <v>15.8133333333333</v>
      </c>
      <c r="J9" s="55" t="n">
        <v>33.29</v>
      </c>
      <c r="K9" s="55" t="n">
        <v>15.57</v>
      </c>
      <c r="L9" s="55" t="n">
        <f aca="false">SUM(K7:K9)/3</f>
        <v>15.59</v>
      </c>
      <c r="M9" s="55" t="n">
        <f aca="false">'4.1.1'!G25</f>
        <v>13.04</v>
      </c>
      <c r="N9" s="55" t="n">
        <f aca="false">M9-0</f>
        <v>13.04</v>
      </c>
      <c r="O9" s="55" t="n">
        <f aca="false">SUM(N7:N9)/3</f>
        <v>14.0433333333333</v>
      </c>
      <c r="P9" s="55" t="n">
        <f aca="false">'4.1.1'!H25</f>
        <v>12.56</v>
      </c>
      <c r="Q9" s="55" t="n">
        <f aca="false">P9-1.1</f>
        <v>11.46</v>
      </c>
      <c r="R9" s="55" t="n">
        <f aca="false">SUM(Q7:Q9)/3</f>
        <v>12.56</v>
      </c>
      <c r="S9" s="84"/>
      <c r="T9" s="85"/>
      <c r="U9" s="85"/>
      <c r="V9" s="85"/>
      <c r="W9" s="85"/>
    </row>
    <row r="10" customFormat="false" ht="14.25" hidden="false" customHeight="true" outlineLevel="0" collapsed="false">
      <c r="A10" s="85" t="n">
        <v>1990</v>
      </c>
      <c r="B10" s="56" t="n">
        <v>32964</v>
      </c>
      <c r="C10" s="56"/>
      <c r="D10" s="55" t="n">
        <v>38.5</v>
      </c>
      <c r="E10" s="55" t="n">
        <v>16.02</v>
      </c>
      <c r="F10" s="55"/>
      <c r="G10" s="55" t="n">
        <v>34.08</v>
      </c>
      <c r="H10" s="55" t="n">
        <v>12.21</v>
      </c>
      <c r="I10" s="55"/>
      <c r="J10" s="55" t="n">
        <v>35.97</v>
      </c>
      <c r="K10" s="55" t="n">
        <v>16.48</v>
      </c>
      <c r="L10" s="55"/>
      <c r="M10" s="55" t="n">
        <f aca="false">'4.1.1'!G26</f>
        <v>12.47</v>
      </c>
      <c r="N10" s="55" t="n">
        <f aca="false">M10-0</f>
        <v>12.47</v>
      </c>
      <c r="O10" s="55"/>
      <c r="P10" s="55" t="n">
        <f aca="false">'4.1.1'!H26</f>
        <v>12.37</v>
      </c>
      <c r="Q10" s="55" t="n">
        <f aca="false">P10-1.8</f>
        <v>10.57</v>
      </c>
      <c r="R10" s="55"/>
      <c r="S10" s="84"/>
      <c r="T10" s="85"/>
      <c r="U10" s="85"/>
      <c r="V10" s="85"/>
      <c r="W10" s="85"/>
    </row>
    <row r="11" customFormat="false" ht="14.25" hidden="false" customHeight="true" outlineLevel="0" collapsed="false">
      <c r="A11" s="85" t="n">
        <v>1990</v>
      </c>
      <c r="B11" s="56" t="n">
        <v>32994</v>
      </c>
      <c r="C11" s="56"/>
      <c r="D11" s="55" t="n">
        <v>38.12</v>
      </c>
      <c r="E11" s="55" t="n">
        <v>15.64</v>
      </c>
      <c r="F11" s="55"/>
      <c r="G11" s="55" t="n">
        <v>34.5</v>
      </c>
      <c r="H11" s="55" t="n">
        <v>12.63</v>
      </c>
      <c r="I11" s="55"/>
      <c r="J11" s="55" t="n">
        <v>35.63</v>
      </c>
      <c r="K11" s="55" t="n">
        <v>16.15</v>
      </c>
      <c r="L11" s="55"/>
      <c r="M11" s="55" t="n">
        <f aca="false">'4.1.1'!G27</f>
        <v>12.19</v>
      </c>
      <c r="N11" s="55" t="n">
        <f aca="false">M11-0</f>
        <v>12.19</v>
      </c>
      <c r="O11" s="55"/>
      <c r="P11" s="55" t="n">
        <f aca="false">'4.1.1'!H27</f>
        <v>11.92</v>
      </c>
      <c r="Q11" s="55" t="n">
        <f aca="false">P11-1.8</f>
        <v>10.12</v>
      </c>
      <c r="R11" s="55"/>
      <c r="S11" s="84"/>
      <c r="T11" s="85"/>
      <c r="U11" s="85"/>
      <c r="V11" s="85"/>
      <c r="W11" s="85"/>
    </row>
    <row r="12" customFormat="false" ht="14.25" hidden="false" customHeight="true" outlineLevel="0" collapsed="false">
      <c r="A12" s="85" t="n">
        <v>1990</v>
      </c>
      <c r="B12" s="56" t="n">
        <v>33025</v>
      </c>
      <c r="C12" s="56"/>
      <c r="D12" s="55" t="n">
        <v>38.03</v>
      </c>
      <c r="E12" s="55" t="n">
        <v>15.55</v>
      </c>
      <c r="F12" s="55" t="n">
        <f aca="false">SUM(E10:E12)/3</f>
        <v>15.7366666666667</v>
      </c>
      <c r="G12" s="55" t="n">
        <v>33.16</v>
      </c>
      <c r="H12" s="55" t="n">
        <v>11.29</v>
      </c>
      <c r="I12" s="55" t="n">
        <f aca="false">SUM(H10:H12)/3</f>
        <v>12.0433333333333</v>
      </c>
      <c r="J12" s="55" t="n">
        <v>35.5</v>
      </c>
      <c r="K12" s="55" t="n">
        <v>16.01</v>
      </c>
      <c r="L12" s="55" t="n">
        <f aca="false">SUM(K10:K12)/3</f>
        <v>16.2133333333333</v>
      </c>
      <c r="M12" s="55" t="n">
        <f aca="false">'4.1.1'!G28</f>
        <v>11.84</v>
      </c>
      <c r="N12" s="55" t="n">
        <f aca="false">M12-0</f>
        <v>11.84</v>
      </c>
      <c r="O12" s="55" t="n">
        <f aca="false">SUM(N10:N12)/3</f>
        <v>12.1666666666667</v>
      </c>
      <c r="P12" s="55" t="n">
        <f aca="false">'4.1.1'!H28</f>
        <v>11.51</v>
      </c>
      <c r="Q12" s="55" t="n">
        <f aca="false">P12-1.8</f>
        <v>9.71</v>
      </c>
      <c r="R12" s="55" t="n">
        <f aca="false">SUM(Q10:Q12)/3</f>
        <v>10.1333333333333</v>
      </c>
      <c r="S12" s="84"/>
      <c r="T12" s="85"/>
      <c r="U12" s="85"/>
      <c r="V12" s="85"/>
      <c r="W12" s="85"/>
    </row>
    <row r="13" customFormat="false" ht="14.25" hidden="false" customHeight="true" outlineLevel="0" collapsed="false">
      <c r="A13" s="85" t="n">
        <v>1990</v>
      </c>
      <c r="B13" s="56" t="n">
        <v>33055</v>
      </c>
      <c r="C13" s="56"/>
      <c r="D13" s="55" t="n">
        <v>37.62</v>
      </c>
      <c r="E13" s="55" t="n">
        <v>15.14</v>
      </c>
      <c r="F13" s="55"/>
      <c r="G13" s="55" t="n">
        <v>32.68</v>
      </c>
      <c r="H13" s="55" t="n">
        <v>10.81</v>
      </c>
      <c r="I13" s="55"/>
      <c r="J13" s="55" t="n">
        <v>35.07</v>
      </c>
      <c r="K13" s="55" t="n">
        <v>15.58</v>
      </c>
      <c r="L13" s="55"/>
      <c r="M13" s="55" t="n">
        <f aca="false">'4.1.1'!G29</f>
        <v>12.17</v>
      </c>
      <c r="N13" s="55" t="n">
        <f aca="false">M13-0</f>
        <v>12.17</v>
      </c>
      <c r="O13" s="55"/>
      <c r="P13" s="55" t="n">
        <f aca="false">'4.1.1'!H29</f>
        <v>11.9</v>
      </c>
      <c r="Q13" s="55" t="n">
        <f aca="false">P13-1.8</f>
        <v>10.1</v>
      </c>
      <c r="R13" s="55"/>
      <c r="S13" s="84"/>
      <c r="T13" s="85"/>
      <c r="U13" s="85"/>
      <c r="V13" s="85"/>
      <c r="W13" s="85"/>
    </row>
    <row r="14" customFormat="false" ht="14.25" hidden="false" customHeight="true" outlineLevel="0" collapsed="false">
      <c r="A14" s="85" t="n">
        <v>1990</v>
      </c>
      <c r="B14" s="56" t="n">
        <v>33086</v>
      </c>
      <c r="C14" s="56"/>
      <c r="D14" s="55" t="n">
        <v>40.71</v>
      </c>
      <c r="E14" s="55" t="n">
        <v>18.23</v>
      </c>
      <c r="F14" s="55"/>
      <c r="G14" s="55" t="n">
        <v>35.01</v>
      </c>
      <c r="H14" s="55" t="n">
        <v>13.14</v>
      </c>
      <c r="I14" s="55"/>
      <c r="J14" s="55" t="n">
        <v>38.17</v>
      </c>
      <c r="K14" s="55" t="n">
        <v>18.67</v>
      </c>
      <c r="L14" s="55"/>
      <c r="M14" s="55" t="n">
        <f aca="false">'4.1.1'!G30</f>
        <v>15.39</v>
      </c>
      <c r="N14" s="55" t="n">
        <f aca="false">M14-0</f>
        <v>15.39</v>
      </c>
      <c r="O14" s="55"/>
      <c r="P14" s="55" t="n">
        <f aca="false">'4.1.1'!H30</f>
        <v>14.93</v>
      </c>
      <c r="Q14" s="55" t="n">
        <f aca="false">P14-1.8</f>
        <v>13.13</v>
      </c>
      <c r="R14" s="55"/>
      <c r="S14" s="84"/>
      <c r="T14" s="85"/>
      <c r="U14" s="85"/>
      <c r="V14" s="85"/>
      <c r="W14" s="85"/>
    </row>
    <row r="15" customFormat="false" ht="14.25" hidden="false" customHeight="true" outlineLevel="0" collapsed="false">
      <c r="A15" s="85" t="n">
        <v>1990</v>
      </c>
      <c r="B15" s="56" t="n">
        <v>33117</v>
      </c>
      <c r="C15" s="56"/>
      <c r="D15" s="55" t="n">
        <v>44.03</v>
      </c>
      <c r="E15" s="55" t="n">
        <v>21.56</v>
      </c>
      <c r="F15" s="55" t="n">
        <f aca="false">SUM(E13:E15)/3</f>
        <v>18.31</v>
      </c>
      <c r="G15" s="55" t="n">
        <v>37.1</v>
      </c>
      <c r="H15" s="55" t="n">
        <v>15.23</v>
      </c>
      <c r="I15" s="55" t="n">
        <f aca="false">SUM(H13:H15)/3</f>
        <v>13.06</v>
      </c>
      <c r="J15" s="55" t="n">
        <v>41.49</v>
      </c>
      <c r="K15" s="55" t="n">
        <v>22</v>
      </c>
      <c r="L15" s="55" t="n">
        <f aca="false">SUM(K13:K15)/3</f>
        <v>18.75</v>
      </c>
      <c r="M15" s="55" t="n">
        <f aca="false">'4.1.1'!G31</f>
        <v>18.31</v>
      </c>
      <c r="N15" s="55" t="n">
        <f aca="false">M15-0</f>
        <v>18.31</v>
      </c>
      <c r="O15" s="55" t="n">
        <f aca="false">SUM(N13:N15)/3</f>
        <v>15.29</v>
      </c>
      <c r="P15" s="55" t="n">
        <f aca="false">'4.1.1'!H31</f>
        <v>16.94</v>
      </c>
      <c r="Q15" s="55" t="n">
        <f aca="false">P15-1.8</f>
        <v>15.14</v>
      </c>
      <c r="R15" s="55" t="n">
        <f aca="false">SUM(Q13:Q15)/3</f>
        <v>12.79</v>
      </c>
      <c r="S15" s="84"/>
      <c r="T15" s="85"/>
      <c r="U15" s="85"/>
      <c r="V15" s="85"/>
      <c r="W15" s="85"/>
    </row>
    <row r="16" customFormat="false" ht="14.25" hidden="false" customHeight="true" outlineLevel="0" collapsed="false">
      <c r="A16" s="85" t="n">
        <v>1990</v>
      </c>
      <c r="B16" s="56" t="n">
        <v>33147</v>
      </c>
      <c r="C16" s="56"/>
      <c r="D16" s="55" t="n">
        <v>44.74</v>
      </c>
      <c r="E16" s="55" t="n">
        <v>22.26</v>
      </c>
      <c r="F16" s="55"/>
      <c r="G16" s="55" t="n">
        <v>39.87</v>
      </c>
      <c r="H16" s="55" t="n">
        <v>18</v>
      </c>
      <c r="I16" s="55"/>
      <c r="J16" s="55" t="n">
        <v>42.19</v>
      </c>
      <c r="K16" s="55" t="n">
        <v>22.7</v>
      </c>
      <c r="L16" s="55"/>
      <c r="M16" s="55" t="n">
        <f aca="false">'4.1.1'!G32</f>
        <v>23.91</v>
      </c>
      <c r="N16" s="55" t="n">
        <f aca="false">M16-0</f>
        <v>23.91</v>
      </c>
      <c r="O16" s="55"/>
      <c r="P16" s="55" t="n">
        <f aca="false">'4.1.1'!H32</f>
        <v>19.66</v>
      </c>
      <c r="Q16" s="55" t="n">
        <f aca="false">P16-1.8</f>
        <v>17.86</v>
      </c>
      <c r="R16" s="55"/>
      <c r="S16" s="84"/>
      <c r="T16" s="85"/>
      <c r="U16" s="85"/>
      <c r="V16" s="85"/>
      <c r="W16" s="85"/>
    </row>
    <row r="17" customFormat="false" ht="14.25" hidden="false" customHeight="true" outlineLevel="0" collapsed="false">
      <c r="A17" s="85" t="n">
        <v>1990</v>
      </c>
      <c r="B17" s="56" t="n">
        <v>33178</v>
      </c>
      <c r="C17" s="56"/>
      <c r="D17" s="55" t="n">
        <v>41.33</v>
      </c>
      <c r="E17" s="55" t="n">
        <v>18.85</v>
      </c>
      <c r="F17" s="55"/>
      <c r="G17" s="55" t="n">
        <v>38.71</v>
      </c>
      <c r="H17" s="55" t="n">
        <v>16.84</v>
      </c>
      <c r="I17" s="55"/>
      <c r="J17" s="55" t="n">
        <v>38.74</v>
      </c>
      <c r="K17" s="55" t="n">
        <v>19.25</v>
      </c>
      <c r="L17" s="55"/>
      <c r="M17" s="55" t="n">
        <f aca="false">'4.1.1'!G33</f>
        <v>20.64</v>
      </c>
      <c r="N17" s="55" t="n">
        <f aca="false">M17-0</f>
        <v>20.64</v>
      </c>
      <c r="O17" s="55"/>
      <c r="P17" s="55" t="n">
        <f aca="false">'4.1.1'!H33</f>
        <v>18.11</v>
      </c>
      <c r="Q17" s="55" t="n">
        <f aca="false">P17-1.8</f>
        <v>16.31</v>
      </c>
      <c r="R17" s="55"/>
      <c r="S17" s="84"/>
      <c r="T17" s="85"/>
      <c r="U17" s="85"/>
      <c r="V17" s="85"/>
      <c r="W17" s="85"/>
    </row>
    <row r="18" customFormat="false" ht="14.25" hidden="false" customHeight="true" outlineLevel="0" collapsed="false">
      <c r="A18" s="85" t="n">
        <v>1990</v>
      </c>
      <c r="B18" s="56" t="n">
        <v>33208</v>
      </c>
      <c r="C18" s="56"/>
      <c r="D18" s="55" t="n">
        <v>38.5</v>
      </c>
      <c r="E18" s="55" t="n">
        <v>16.02</v>
      </c>
      <c r="F18" s="55" t="n">
        <f aca="false">SUM(E16:E18)/3</f>
        <v>19.0433333333333</v>
      </c>
      <c r="G18" s="55" t="n">
        <v>38</v>
      </c>
      <c r="H18" s="55" t="n">
        <v>16.13</v>
      </c>
      <c r="I18" s="55" t="n">
        <f aca="false">SUM(H16:H18)/3</f>
        <v>16.99</v>
      </c>
      <c r="J18" s="55" t="n">
        <v>35.9</v>
      </c>
      <c r="K18" s="55" t="n">
        <v>16.41</v>
      </c>
      <c r="L18" s="55" t="n">
        <f aca="false">SUM(K16:K18)/3</f>
        <v>19.4533333333333</v>
      </c>
      <c r="M18" s="55" t="n">
        <f aca="false">'4.1.1'!G34</f>
        <v>17.67</v>
      </c>
      <c r="N18" s="55" t="n">
        <f aca="false">M18-0</f>
        <v>17.67</v>
      </c>
      <c r="O18" s="55" t="n">
        <f aca="false">SUM(N16:N18)/3</f>
        <v>20.74</v>
      </c>
      <c r="P18" s="55" t="n">
        <f aca="false">'4.1.1'!H34</f>
        <v>17.35</v>
      </c>
      <c r="Q18" s="55" t="n">
        <f aca="false">P18-1.8</f>
        <v>15.55</v>
      </c>
      <c r="R18" s="55" t="n">
        <f aca="false">SUM(Q16:Q18)/3</f>
        <v>16.5733333333333</v>
      </c>
      <c r="S18" s="84"/>
      <c r="T18" s="85"/>
      <c r="U18" s="85"/>
      <c r="V18" s="85"/>
      <c r="W18" s="85"/>
    </row>
    <row r="19" customFormat="false" ht="14.25" hidden="false" customHeight="true" outlineLevel="0" collapsed="false">
      <c r="A19" s="85" t="n">
        <v>1991</v>
      </c>
      <c r="B19" s="56" t="n">
        <v>33239</v>
      </c>
      <c r="C19" s="56"/>
      <c r="D19" s="55" t="n">
        <v>39.24</v>
      </c>
      <c r="E19" s="55" t="n">
        <v>16.76</v>
      </c>
      <c r="F19" s="55"/>
      <c r="G19" s="55" t="n">
        <v>37.66</v>
      </c>
      <c r="H19" s="55" t="n">
        <v>15.79</v>
      </c>
      <c r="I19" s="55"/>
      <c r="J19" s="55" t="n">
        <v>36.64</v>
      </c>
      <c r="K19" s="55" t="n">
        <v>17.15</v>
      </c>
      <c r="L19" s="55"/>
      <c r="M19" s="55" t="n">
        <f aca="false">'4.1.1'!G35</f>
        <v>17.52</v>
      </c>
      <c r="N19" s="55" t="n">
        <f aca="false">M19-0</f>
        <v>17.52</v>
      </c>
      <c r="O19" s="55"/>
      <c r="P19" s="55" t="n">
        <f aca="false">'4.1.1'!H35</f>
        <v>17.13</v>
      </c>
      <c r="Q19" s="55" t="n">
        <f aca="false">P19-1.8</f>
        <v>15.33</v>
      </c>
      <c r="R19" s="55"/>
      <c r="S19" s="84"/>
      <c r="T19" s="85"/>
      <c r="U19" s="85"/>
      <c r="V19" s="85"/>
      <c r="W19" s="85"/>
    </row>
    <row r="20" customFormat="false" ht="14.25" hidden="false" customHeight="true" outlineLevel="0" collapsed="false">
      <c r="A20" s="85" t="n">
        <v>1991</v>
      </c>
      <c r="B20" s="56" t="n">
        <v>33270</v>
      </c>
      <c r="C20" s="56"/>
      <c r="D20" s="55" t="n">
        <v>37.93</v>
      </c>
      <c r="E20" s="55" t="n">
        <v>15.45</v>
      </c>
      <c r="F20" s="55"/>
      <c r="G20" s="55" t="n">
        <v>37.56</v>
      </c>
      <c r="H20" s="55" t="n">
        <v>15.69</v>
      </c>
      <c r="I20" s="55"/>
      <c r="J20" s="55" t="n">
        <v>35.31</v>
      </c>
      <c r="K20" s="55" t="n">
        <v>15.82</v>
      </c>
      <c r="L20" s="55"/>
      <c r="M20" s="55" t="n">
        <f aca="false">'4.1.1'!G36</f>
        <v>16.68</v>
      </c>
      <c r="N20" s="55" t="n">
        <f aca="false">M20-0</f>
        <v>16.68</v>
      </c>
      <c r="O20" s="55"/>
      <c r="P20" s="55" t="n">
        <f aca="false">'4.1.1'!H36</f>
        <v>15.39</v>
      </c>
      <c r="Q20" s="55" t="n">
        <f aca="false">P20-1.8</f>
        <v>13.59</v>
      </c>
      <c r="R20" s="55"/>
      <c r="S20" s="84"/>
      <c r="T20" s="85"/>
      <c r="U20" s="85"/>
      <c r="V20" s="85"/>
      <c r="W20" s="85"/>
    </row>
    <row r="21" customFormat="false" ht="14.25" hidden="false" customHeight="true" outlineLevel="0" collapsed="false">
      <c r="A21" s="85" t="n">
        <v>1991</v>
      </c>
      <c r="B21" s="56" t="n">
        <v>33298</v>
      </c>
      <c r="C21" s="56"/>
      <c r="D21" s="55" t="n">
        <v>38.9</v>
      </c>
      <c r="E21" s="55" t="n">
        <v>16.42</v>
      </c>
      <c r="F21" s="55" t="n">
        <f aca="false">SUM(E19:E21)/3</f>
        <v>16.21</v>
      </c>
      <c r="G21" s="55" t="n">
        <v>35.05</v>
      </c>
      <c r="H21" s="55" t="n">
        <v>13.18</v>
      </c>
      <c r="I21" s="55" t="n">
        <f aca="false">SUM(H19:H21)/3</f>
        <v>14.8866666666667</v>
      </c>
      <c r="J21" s="55" t="n">
        <v>36.23</v>
      </c>
      <c r="K21" s="55" t="n">
        <v>16.74</v>
      </c>
      <c r="L21" s="55" t="n">
        <f aca="false">SUM(K19:K21)/3</f>
        <v>16.57</v>
      </c>
      <c r="M21" s="55" t="n">
        <f aca="false">'4.1.1'!G37</f>
        <v>13.54</v>
      </c>
      <c r="N21" s="55" t="n">
        <f aca="false">M21-0</f>
        <v>13.54</v>
      </c>
      <c r="O21" s="55" t="n">
        <f aca="false">SUM(N19:N21)/3</f>
        <v>15.9133333333333</v>
      </c>
      <c r="P21" s="55" t="n">
        <f aca="false">'4.1.1'!H37</f>
        <v>13.4</v>
      </c>
      <c r="Q21" s="55" t="n">
        <f aca="false">P21-1.8</f>
        <v>11.6</v>
      </c>
      <c r="R21" s="55" t="n">
        <f aca="false">SUM(Q19:Q21)/3</f>
        <v>13.5066666666667</v>
      </c>
      <c r="S21" s="84"/>
      <c r="T21" s="85"/>
      <c r="U21" s="85"/>
      <c r="V21" s="85"/>
      <c r="W21" s="85"/>
    </row>
    <row r="22" customFormat="false" ht="14.25" hidden="false" customHeight="true" outlineLevel="0" collapsed="false">
      <c r="A22" s="85" t="n">
        <v>1991</v>
      </c>
      <c r="B22" s="56" t="n">
        <v>33329</v>
      </c>
      <c r="C22" s="56"/>
      <c r="D22" s="55" t="n">
        <v>41.73</v>
      </c>
      <c r="E22" s="55" t="n">
        <v>15.88</v>
      </c>
      <c r="F22" s="55"/>
      <c r="G22" s="55" t="n">
        <v>36.94</v>
      </c>
      <c r="H22" s="55" t="n">
        <v>15.07</v>
      </c>
      <c r="I22" s="55"/>
      <c r="J22" s="55" t="n">
        <v>38.65</v>
      </c>
      <c r="K22" s="55" t="n">
        <v>16.24</v>
      </c>
      <c r="L22" s="55"/>
      <c r="M22" s="55" t="n">
        <f aca="false">'4.1.1'!G38</f>
        <v>12.49</v>
      </c>
      <c r="N22" s="55" t="n">
        <f aca="false">M22-0</f>
        <v>12.49</v>
      </c>
      <c r="O22" s="55"/>
      <c r="P22" s="55" t="n">
        <f aca="false">'4.1.1'!H38</f>
        <v>12.16</v>
      </c>
      <c r="Q22" s="55" t="n">
        <f aca="false">P22-1.29</f>
        <v>10.87</v>
      </c>
      <c r="R22" s="55"/>
      <c r="S22" s="84"/>
      <c r="T22" s="85"/>
      <c r="U22" s="85"/>
      <c r="V22" s="85"/>
      <c r="W22" s="85"/>
    </row>
    <row r="23" customFormat="false" ht="14.25" hidden="false" customHeight="true" outlineLevel="0" collapsed="false">
      <c r="A23" s="85" t="n">
        <v>1991</v>
      </c>
      <c r="B23" s="56" t="n">
        <v>33359</v>
      </c>
      <c r="C23" s="56"/>
      <c r="D23" s="55" t="n">
        <v>42.69</v>
      </c>
      <c r="E23" s="55" t="n">
        <v>16.84</v>
      </c>
      <c r="F23" s="55"/>
      <c r="G23" s="55" t="n">
        <v>37.14</v>
      </c>
      <c r="H23" s="55" t="n">
        <v>15.27</v>
      </c>
      <c r="I23" s="55"/>
      <c r="J23" s="55" t="n">
        <v>39.69</v>
      </c>
      <c r="K23" s="55" t="n">
        <v>17.28</v>
      </c>
      <c r="L23" s="55"/>
      <c r="M23" s="55" t="n">
        <f aca="false">'4.1.1'!G39</f>
        <v>13.15</v>
      </c>
      <c r="N23" s="55" t="n">
        <f aca="false">M23-0</f>
        <v>13.15</v>
      </c>
      <c r="O23" s="55"/>
      <c r="P23" s="55" t="n">
        <f aca="false">'4.1.1'!H39</f>
        <v>12.91</v>
      </c>
      <c r="Q23" s="55" t="n">
        <f aca="false">P23-1.29</f>
        <v>11.62</v>
      </c>
      <c r="R23" s="55"/>
      <c r="S23" s="84"/>
      <c r="T23" s="85"/>
      <c r="U23" s="85"/>
      <c r="V23" s="85"/>
      <c r="W23" s="85"/>
    </row>
    <row r="24" customFormat="false" ht="14.25" hidden="false" customHeight="true" outlineLevel="0" collapsed="false">
      <c r="A24" s="85" t="n">
        <v>1991</v>
      </c>
      <c r="B24" s="56" t="n">
        <v>33390</v>
      </c>
      <c r="C24" s="56"/>
      <c r="D24" s="55" t="n">
        <v>42.59</v>
      </c>
      <c r="E24" s="55" t="n">
        <v>16.74</v>
      </c>
      <c r="F24" s="55" t="n">
        <f aca="false">SUM(E22:E24)/3</f>
        <v>16.4866666666667</v>
      </c>
      <c r="G24" s="55" t="n">
        <v>37.14</v>
      </c>
      <c r="H24" s="55" t="n">
        <v>15.27</v>
      </c>
      <c r="I24" s="55" t="n">
        <f aca="false">SUM(H22:H24)/3</f>
        <v>15.2033333333333</v>
      </c>
      <c r="J24" s="55" t="n">
        <v>39.6</v>
      </c>
      <c r="K24" s="55" t="n">
        <v>17.19</v>
      </c>
      <c r="L24" s="55" t="n">
        <f aca="false">SUM(K22:K24)/3</f>
        <v>16.9033333333333</v>
      </c>
      <c r="M24" s="55" t="n">
        <f aca="false">'4.1.1'!G40</f>
        <v>13.38</v>
      </c>
      <c r="N24" s="55" t="n">
        <f aca="false">M24-0</f>
        <v>13.38</v>
      </c>
      <c r="O24" s="55" t="n">
        <f aca="false">SUM(N22:N24)/3</f>
        <v>13.0066666666667</v>
      </c>
      <c r="P24" s="55" t="n">
        <f aca="false">'4.1.1'!H40</f>
        <v>13.05</v>
      </c>
      <c r="Q24" s="55" t="n">
        <f aca="false">P24-1.29</f>
        <v>11.76</v>
      </c>
      <c r="R24" s="55" t="n">
        <f aca="false">SUM(Q22:Q24)/3</f>
        <v>11.4166666666667</v>
      </c>
      <c r="S24" s="84"/>
      <c r="T24" s="85"/>
      <c r="U24" s="85"/>
      <c r="V24" s="85"/>
      <c r="W24" s="85"/>
    </row>
    <row r="25" customFormat="false" ht="14.25" hidden="false" customHeight="true" outlineLevel="0" collapsed="false">
      <c r="A25" s="85" t="n">
        <v>1991</v>
      </c>
      <c r="B25" s="56" t="n">
        <v>33420</v>
      </c>
      <c r="C25" s="56"/>
      <c r="D25" s="55" t="n">
        <v>43.11</v>
      </c>
      <c r="E25" s="55" t="n">
        <v>17.26</v>
      </c>
      <c r="F25" s="55"/>
      <c r="G25" s="55" t="n">
        <v>37.67</v>
      </c>
      <c r="H25" s="55" t="n">
        <v>15.8</v>
      </c>
      <c r="I25" s="55"/>
      <c r="J25" s="55" t="n">
        <v>40.07</v>
      </c>
      <c r="K25" s="55" t="n">
        <v>17.66</v>
      </c>
      <c r="L25" s="55"/>
      <c r="M25" s="55" t="n">
        <f aca="false">'4.1.1'!G41</f>
        <v>13.67</v>
      </c>
      <c r="N25" s="55" t="n">
        <f aca="false">M25-0</f>
        <v>13.67</v>
      </c>
      <c r="O25" s="55"/>
      <c r="P25" s="55" t="n">
        <f aca="false">'4.1.1'!H41</f>
        <v>12.97</v>
      </c>
      <c r="Q25" s="55" t="n">
        <f aca="false">P25-1.29</f>
        <v>11.68</v>
      </c>
      <c r="R25" s="55"/>
      <c r="S25" s="84"/>
      <c r="T25" s="85"/>
      <c r="U25" s="85"/>
      <c r="V25" s="85"/>
      <c r="W25" s="85"/>
    </row>
    <row r="26" customFormat="false" ht="14.25" hidden="false" customHeight="true" outlineLevel="0" collapsed="false">
      <c r="A26" s="85" t="n">
        <v>1991</v>
      </c>
      <c r="B26" s="56" t="n">
        <v>33451</v>
      </c>
      <c r="C26" s="56"/>
      <c r="D26" s="55" t="n">
        <v>42.75</v>
      </c>
      <c r="E26" s="55" t="n">
        <v>16.9</v>
      </c>
      <c r="F26" s="55"/>
      <c r="G26" s="55" t="n">
        <v>37.59</v>
      </c>
      <c r="H26" s="55" t="n">
        <v>15.72</v>
      </c>
      <c r="I26" s="55"/>
      <c r="J26" s="55" t="n">
        <v>39.75</v>
      </c>
      <c r="K26" s="55" t="n">
        <v>17.34</v>
      </c>
      <c r="L26" s="55"/>
      <c r="M26" s="55" t="n">
        <f aca="false">'4.1.1'!G42</f>
        <v>13.33</v>
      </c>
      <c r="N26" s="55" t="n">
        <f aca="false">M26-0</f>
        <v>13.33</v>
      </c>
      <c r="O26" s="55"/>
      <c r="P26" s="55" t="n">
        <f aca="false">'4.1.1'!H42</f>
        <v>12.71</v>
      </c>
      <c r="Q26" s="55" t="n">
        <f aca="false">P26-1.29</f>
        <v>11.42</v>
      </c>
      <c r="R26" s="55"/>
      <c r="S26" s="84"/>
      <c r="T26" s="85"/>
      <c r="U26" s="85"/>
      <c r="V26" s="85"/>
      <c r="W26" s="85"/>
    </row>
    <row r="27" customFormat="false" ht="14.25" hidden="false" customHeight="true" outlineLevel="0" collapsed="false">
      <c r="A27" s="85" t="n">
        <v>1991</v>
      </c>
      <c r="B27" s="56" t="n">
        <v>33482</v>
      </c>
      <c r="C27" s="56"/>
      <c r="D27" s="55" t="n">
        <v>42.65</v>
      </c>
      <c r="E27" s="55" t="n">
        <v>16.8</v>
      </c>
      <c r="F27" s="55" t="n">
        <f aca="false">SUM(E25:E27)/3</f>
        <v>16.9866666666667</v>
      </c>
      <c r="G27" s="55" t="n">
        <v>37.65</v>
      </c>
      <c r="H27" s="55" t="n">
        <v>15.78</v>
      </c>
      <c r="I27" s="55" t="n">
        <f aca="false">SUM(H25:H27)/3</f>
        <v>15.7666666666667</v>
      </c>
      <c r="J27" s="55" t="n">
        <v>39.64</v>
      </c>
      <c r="K27" s="55" t="n">
        <v>17.23</v>
      </c>
      <c r="L27" s="55" t="n">
        <f aca="false">SUM(K25:K27)/3</f>
        <v>17.41</v>
      </c>
      <c r="M27" s="55" t="n">
        <f aca="false">'4.1.1'!G43</f>
        <v>13.64</v>
      </c>
      <c r="N27" s="55" t="n">
        <f aca="false">M27-0</f>
        <v>13.64</v>
      </c>
      <c r="O27" s="55" t="n">
        <f aca="false">SUM(N25:N27)/3</f>
        <v>13.5466666666667</v>
      </c>
      <c r="P27" s="55" t="n">
        <f aca="false">'4.1.1'!H43</f>
        <v>13.01</v>
      </c>
      <c r="Q27" s="55" t="n">
        <f aca="false">P27-1.29</f>
        <v>11.72</v>
      </c>
      <c r="R27" s="55" t="n">
        <f aca="false">SUM(Q25:Q27)/3</f>
        <v>11.6066666666667</v>
      </c>
      <c r="S27" s="84"/>
      <c r="T27" s="85"/>
      <c r="U27" s="85"/>
      <c r="V27" s="85"/>
      <c r="W27" s="85"/>
    </row>
    <row r="28" customFormat="false" ht="14.25" hidden="false" customHeight="true" outlineLevel="0" collapsed="false">
      <c r="A28" s="85" t="n">
        <v>1991</v>
      </c>
      <c r="B28" s="56" t="n">
        <v>33512</v>
      </c>
      <c r="C28" s="56"/>
      <c r="D28" s="55" t="n">
        <v>42.54</v>
      </c>
      <c r="E28" s="55" t="n">
        <v>16.69</v>
      </c>
      <c r="F28" s="55"/>
      <c r="G28" s="55" t="n">
        <v>38.38</v>
      </c>
      <c r="H28" s="55" t="n">
        <v>16.51</v>
      </c>
      <c r="I28" s="55"/>
      <c r="J28" s="55" t="n">
        <v>39.56</v>
      </c>
      <c r="K28" s="55" t="n">
        <v>17.15</v>
      </c>
      <c r="L28" s="55"/>
      <c r="M28" s="55" t="n">
        <f aca="false">'4.1.1'!G44</f>
        <v>14.18</v>
      </c>
      <c r="N28" s="55" t="n">
        <f aca="false">M28-0</f>
        <v>14.18</v>
      </c>
      <c r="O28" s="55"/>
      <c r="P28" s="55" t="n">
        <f aca="false">'4.1.1'!H44</f>
        <v>13.66</v>
      </c>
      <c r="Q28" s="55" t="n">
        <f aca="false">P28-1.29</f>
        <v>12.37</v>
      </c>
      <c r="R28" s="55"/>
      <c r="S28" s="84"/>
      <c r="T28" s="85"/>
      <c r="U28" s="85"/>
      <c r="V28" s="85"/>
      <c r="W28" s="85"/>
    </row>
    <row r="29" customFormat="false" ht="14.25" hidden="false" customHeight="true" outlineLevel="0" collapsed="false">
      <c r="A29" s="85" t="n">
        <v>1991</v>
      </c>
      <c r="B29" s="56" t="n">
        <v>33543</v>
      </c>
      <c r="C29" s="56"/>
      <c r="D29" s="55" t="n">
        <v>42.29</v>
      </c>
      <c r="E29" s="55" t="n">
        <v>16.44</v>
      </c>
      <c r="F29" s="55"/>
      <c r="G29" s="55" t="n">
        <v>39.19</v>
      </c>
      <c r="H29" s="55" t="n">
        <v>17.32</v>
      </c>
      <c r="I29" s="55"/>
      <c r="J29" s="55" t="n">
        <v>39.3</v>
      </c>
      <c r="K29" s="55" t="n">
        <v>16.89</v>
      </c>
      <c r="L29" s="55"/>
      <c r="M29" s="55" t="n">
        <f aca="false">'4.1.1'!G45</f>
        <v>14.33</v>
      </c>
      <c r="N29" s="55" t="n">
        <f aca="false">M29-0</f>
        <v>14.33</v>
      </c>
      <c r="O29" s="55"/>
      <c r="P29" s="55" t="n">
        <f aca="false">'4.1.1'!H45</f>
        <v>14.25</v>
      </c>
      <c r="Q29" s="55" t="n">
        <f aca="false">P29-1.29</f>
        <v>12.96</v>
      </c>
      <c r="R29" s="55"/>
      <c r="S29" s="84"/>
      <c r="T29" s="85"/>
      <c r="U29" s="85"/>
      <c r="V29" s="85"/>
      <c r="W29" s="85"/>
    </row>
    <row r="30" customFormat="false" ht="14.25" hidden="false" customHeight="true" outlineLevel="0" collapsed="false">
      <c r="A30" s="85" t="n">
        <v>1991</v>
      </c>
      <c r="B30" s="56" t="n">
        <v>33573</v>
      </c>
      <c r="C30" s="56"/>
      <c r="D30" s="55" t="n">
        <v>41.18</v>
      </c>
      <c r="E30" s="55" t="n">
        <v>15.33</v>
      </c>
      <c r="F30" s="55" t="n">
        <f aca="false">SUM(E28:E30)/3</f>
        <v>16.1533333333333</v>
      </c>
      <c r="G30" s="55" t="n">
        <v>37.87</v>
      </c>
      <c r="H30" s="55" t="n">
        <v>16</v>
      </c>
      <c r="I30" s="55" t="n">
        <f aca="false">SUM(H28:H30)/3</f>
        <v>16.61</v>
      </c>
      <c r="J30" s="55" t="n">
        <v>38.18</v>
      </c>
      <c r="K30" s="55" t="n">
        <v>15.77</v>
      </c>
      <c r="L30" s="55" t="n">
        <f aca="false">SUM(K28:K30)/3</f>
        <v>16.6033333333333</v>
      </c>
      <c r="M30" s="55" t="n">
        <f aca="false">'4.1.1'!G46</f>
        <v>13.43</v>
      </c>
      <c r="N30" s="55" t="n">
        <f aca="false">M30-0</f>
        <v>13.43</v>
      </c>
      <c r="O30" s="55" t="n">
        <f aca="false">SUM(N28:N30)/3</f>
        <v>13.98</v>
      </c>
      <c r="P30" s="55" t="n">
        <f aca="false">'4.1.1'!H46</f>
        <v>13.16</v>
      </c>
      <c r="Q30" s="55" t="n">
        <f aca="false">P30-1.29</f>
        <v>11.87</v>
      </c>
      <c r="R30" s="55" t="n">
        <f aca="false">SUM(Q28:Q30)/3</f>
        <v>12.4</v>
      </c>
      <c r="S30" s="84"/>
      <c r="T30" s="85"/>
      <c r="U30" s="85"/>
      <c r="V30" s="85"/>
      <c r="W30" s="85"/>
    </row>
    <row r="31" customFormat="false" ht="14.25" hidden="false" customHeight="true" outlineLevel="0" collapsed="false">
      <c r="A31" s="85" t="n">
        <v>1992</v>
      </c>
      <c r="B31" s="56" t="n">
        <v>33604</v>
      </c>
      <c r="C31" s="56"/>
      <c r="D31" s="55" t="n">
        <v>39.94</v>
      </c>
      <c r="E31" s="55" t="n">
        <v>14.09</v>
      </c>
      <c r="F31" s="55"/>
      <c r="G31" s="55" t="n">
        <v>36.76</v>
      </c>
      <c r="H31" s="55" t="n">
        <v>14.89</v>
      </c>
      <c r="I31" s="55"/>
      <c r="J31" s="55" t="n">
        <v>36.96</v>
      </c>
      <c r="K31" s="55" t="n">
        <v>14.55</v>
      </c>
      <c r="L31" s="55"/>
      <c r="M31" s="55" t="n">
        <f aca="false">'4.1.1'!G47</f>
        <v>12.47</v>
      </c>
      <c r="N31" s="55" t="n">
        <f aca="false">M31-0</f>
        <v>12.47</v>
      </c>
      <c r="O31" s="55"/>
      <c r="P31" s="55" t="n">
        <f aca="false">'4.1.1'!H47</f>
        <v>12.02</v>
      </c>
      <c r="Q31" s="55" t="n">
        <f aca="false">P31-1.29</f>
        <v>10.73</v>
      </c>
      <c r="R31" s="55"/>
      <c r="S31" s="84"/>
      <c r="T31" s="85"/>
      <c r="U31" s="85"/>
      <c r="V31" s="85"/>
      <c r="W31" s="85"/>
    </row>
    <row r="32" customFormat="false" ht="14.25" hidden="false" customHeight="true" outlineLevel="0" collapsed="false">
      <c r="A32" s="85" t="n">
        <v>1992</v>
      </c>
      <c r="B32" s="56" t="n">
        <v>33635</v>
      </c>
      <c r="C32" s="56"/>
      <c r="D32" s="55" t="n">
        <v>40.65</v>
      </c>
      <c r="E32" s="55" t="n">
        <v>14.8</v>
      </c>
      <c r="F32" s="55"/>
      <c r="G32" s="55" t="n">
        <v>37.18</v>
      </c>
      <c r="H32" s="55" t="n">
        <v>15.31</v>
      </c>
      <c r="I32" s="55"/>
      <c r="J32" s="55" t="n">
        <v>37.64</v>
      </c>
      <c r="K32" s="55" t="n">
        <v>15.23</v>
      </c>
      <c r="L32" s="55"/>
      <c r="M32" s="55" t="n">
        <f aca="false">'4.1.1'!G48</f>
        <v>12.88</v>
      </c>
      <c r="N32" s="55" t="n">
        <f aca="false">M32-0</f>
        <v>12.88</v>
      </c>
      <c r="O32" s="55"/>
      <c r="P32" s="55" t="n">
        <f aca="false">'4.1.1'!H48</f>
        <v>12.31</v>
      </c>
      <c r="Q32" s="55" t="n">
        <f aca="false">P32-1.29</f>
        <v>11.02</v>
      </c>
      <c r="R32" s="55"/>
      <c r="S32" s="84"/>
      <c r="T32" s="85"/>
      <c r="U32" s="85"/>
      <c r="V32" s="85"/>
      <c r="W32" s="85"/>
    </row>
    <row r="33" customFormat="false" ht="14.25" hidden="false" customHeight="true" outlineLevel="0" collapsed="false">
      <c r="A33" s="85" t="n">
        <v>1992</v>
      </c>
      <c r="B33" s="56" t="n">
        <v>33664</v>
      </c>
      <c r="C33" s="56"/>
      <c r="D33" s="55" t="n">
        <v>42.87</v>
      </c>
      <c r="E33" s="55" t="n">
        <v>15.08</v>
      </c>
      <c r="F33" s="55" t="n">
        <f aca="false">SUM(E31:E33)/3</f>
        <v>14.6566666666667</v>
      </c>
      <c r="G33" s="55" t="n">
        <v>37.77</v>
      </c>
      <c r="H33" s="55" t="n">
        <v>14.92</v>
      </c>
      <c r="I33" s="55" t="n">
        <f aca="false">SUM(H31:H33)/3</f>
        <v>15.04</v>
      </c>
      <c r="J33" s="55" t="n">
        <v>39.17</v>
      </c>
      <c r="K33" s="55" t="n">
        <v>15.75</v>
      </c>
      <c r="L33" s="55" t="n">
        <f aca="false">SUM(K31:K33)/3</f>
        <v>15.1766666666667</v>
      </c>
      <c r="M33" s="55" t="n">
        <f aca="false">'4.1.1'!G49</f>
        <v>14.4</v>
      </c>
      <c r="N33" s="55" t="n">
        <f aca="false">M33-0</f>
        <v>14.4</v>
      </c>
      <c r="O33" s="55" t="n">
        <f aca="false">SUM(N31:N33)/3</f>
        <v>13.25</v>
      </c>
      <c r="P33" s="55" t="n">
        <f aca="false">'4.1.1'!H49</f>
        <v>11.98</v>
      </c>
      <c r="Q33" s="55" t="n">
        <f aca="false">P33-1.35</f>
        <v>10.63</v>
      </c>
      <c r="R33" s="55" t="n">
        <f aca="false">SUM(Q31:Q33)/3</f>
        <v>10.7933333333333</v>
      </c>
      <c r="S33" s="84"/>
      <c r="T33" s="85"/>
      <c r="U33" s="85"/>
      <c r="V33" s="85"/>
      <c r="W33" s="85"/>
    </row>
    <row r="34" customFormat="false" ht="14.25" hidden="false" customHeight="true" outlineLevel="0" collapsed="false">
      <c r="A34" s="85" t="n">
        <v>1992</v>
      </c>
      <c r="B34" s="56" t="n">
        <v>33695</v>
      </c>
      <c r="C34" s="56"/>
      <c r="D34" s="55" t="n">
        <v>43.07</v>
      </c>
      <c r="E34" s="55" t="n">
        <v>15.28</v>
      </c>
      <c r="F34" s="55"/>
      <c r="G34" s="55" t="n">
        <v>37.95</v>
      </c>
      <c r="H34" s="55" t="n">
        <v>15.1</v>
      </c>
      <c r="I34" s="55"/>
      <c r="J34" s="55" t="n">
        <v>39.21</v>
      </c>
      <c r="K34" s="55" t="n">
        <v>15.79</v>
      </c>
      <c r="L34" s="55"/>
      <c r="M34" s="55" t="n">
        <f aca="false">'4.1.1'!G50</f>
        <v>12.64</v>
      </c>
      <c r="N34" s="55" t="n">
        <f aca="false">M34-0</f>
        <v>12.64</v>
      </c>
      <c r="O34" s="55"/>
      <c r="P34" s="55" t="n">
        <f aca="false">'4.1.1'!H50</f>
        <v>12.16</v>
      </c>
      <c r="Q34" s="55" t="n">
        <f aca="false">P34-1.35</f>
        <v>10.81</v>
      </c>
      <c r="R34" s="55"/>
      <c r="S34" s="84"/>
      <c r="T34" s="85"/>
      <c r="U34" s="85"/>
      <c r="V34" s="85"/>
      <c r="W34" s="85"/>
    </row>
    <row r="35" customFormat="false" ht="14.25" hidden="false" customHeight="true" outlineLevel="0" collapsed="false">
      <c r="A35" s="85" t="n">
        <v>1992</v>
      </c>
      <c r="B35" s="56" t="n">
        <v>33725</v>
      </c>
      <c r="C35" s="56"/>
      <c r="D35" s="55" t="n">
        <v>43.71</v>
      </c>
      <c r="E35" s="55" t="n">
        <v>15.92</v>
      </c>
      <c r="F35" s="55"/>
      <c r="G35" s="55" t="n">
        <v>38.61</v>
      </c>
      <c r="H35" s="55" t="n">
        <v>15.76</v>
      </c>
      <c r="I35" s="55"/>
      <c r="J35" s="55" t="n">
        <v>40.04</v>
      </c>
      <c r="K35" s="55" t="n">
        <v>16.62</v>
      </c>
      <c r="L35" s="55"/>
      <c r="M35" s="55" t="n">
        <f aca="false">'4.1.1'!G51</f>
        <v>12.62</v>
      </c>
      <c r="N35" s="55" t="n">
        <f aca="false">M35-0</f>
        <v>12.62</v>
      </c>
      <c r="O35" s="55"/>
      <c r="P35" s="55" t="n">
        <f aca="false">'4.1.1'!H51</f>
        <v>12.34</v>
      </c>
      <c r="Q35" s="55" t="n">
        <f aca="false">P35-1.35</f>
        <v>10.99</v>
      </c>
      <c r="R35" s="55"/>
      <c r="S35" s="84"/>
      <c r="T35" s="85"/>
      <c r="U35" s="85"/>
      <c r="V35" s="85"/>
      <c r="W35" s="85"/>
    </row>
    <row r="36" customFormat="false" ht="14.25" hidden="false" customHeight="true" outlineLevel="0" collapsed="false">
      <c r="A36" s="85" t="n">
        <v>1992</v>
      </c>
      <c r="B36" s="56" t="n">
        <v>33756</v>
      </c>
      <c r="C36" s="56"/>
      <c r="D36" s="55" t="n">
        <v>44.33</v>
      </c>
      <c r="E36" s="55" t="n">
        <v>16.54</v>
      </c>
      <c r="F36" s="55" t="n">
        <f aca="false">SUM(E34:E36)/3</f>
        <v>15.9133333333333</v>
      </c>
      <c r="G36" s="55" t="n">
        <v>38.51</v>
      </c>
      <c r="H36" s="55" t="n">
        <v>15.66</v>
      </c>
      <c r="I36" s="55" t="n">
        <f aca="false">SUM(H34:H36)/3</f>
        <v>15.5066666666667</v>
      </c>
      <c r="J36" s="55" t="n">
        <v>40.41</v>
      </c>
      <c r="K36" s="55" t="n">
        <v>16.99</v>
      </c>
      <c r="L36" s="55" t="n">
        <f aca="false">SUM(K34:K36)/3</f>
        <v>16.4666666666667</v>
      </c>
      <c r="M36" s="55" t="n">
        <f aca="false">'4.1.1'!G52</f>
        <v>12.66</v>
      </c>
      <c r="N36" s="55" t="n">
        <f aca="false">M36-0</f>
        <v>12.66</v>
      </c>
      <c r="O36" s="55" t="n">
        <f aca="false">SUM(N34:N36)/3</f>
        <v>12.64</v>
      </c>
      <c r="P36" s="55" t="n">
        <f aca="false">'4.1.1'!H52</f>
        <v>12.33</v>
      </c>
      <c r="Q36" s="55" t="n">
        <f aca="false">P36-1.35</f>
        <v>10.98</v>
      </c>
      <c r="R36" s="55" t="n">
        <f aca="false">SUM(Q34:Q36)/3</f>
        <v>10.9266666666667</v>
      </c>
      <c r="S36" s="84"/>
      <c r="T36" s="85"/>
      <c r="U36" s="85"/>
      <c r="V36" s="85"/>
      <c r="W36" s="85"/>
    </row>
    <row r="37" customFormat="false" ht="14.25" hidden="false" customHeight="true" outlineLevel="0" collapsed="false">
      <c r="A37" s="85" t="n">
        <v>1992</v>
      </c>
      <c r="B37" s="56" t="n">
        <v>33786</v>
      </c>
      <c r="C37" s="56"/>
      <c r="D37" s="55" t="n">
        <v>43.12</v>
      </c>
      <c r="E37" s="55" t="n">
        <v>15.32</v>
      </c>
      <c r="F37" s="55"/>
      <c r="G37" s="55" t="n">
        <v>38.26</v>
      </c>
      <c r="H37" s="55" t="n">
        <v>15.4</v>
      </c>
      <c r="I37" s="55"/>
      <c r="J37" s="55" t="n">
        <v>39.46</v>
      </c>
      <c r="K37" s="55" t="n">
        <v>16.03</v>
      </c>
      <c r="L37" s="55"/>
      <c r="M37" s="55" t="n">
        <f aca="false">'4.1.1'!G53</f>
        <v>12.41</v>
      </c>
      <c r="N37" s="55" t="n">
        <f aca="false">M37-0</f>
        <v>12.41</v>
      </c>
      <c r="O37" s="55"/>
      <c r="P37" s="55" t="n">
        <f aca="false">'4.1.1'!H53</f>
        <v>11.98</v>
      </c>
      <c r="Q37" s="55" t="n">
        <f aca="false">P37-1.35</f>
        <v>10.63</v>
      </c>
      <c r="R37" s="55"/>
      <c r="S37" s="84"/>
      <c r="T37" s="85"/>
      <c r="U37" s="85"/>
      <c r="V37" s="85"/>
      <c r="W37" s="85"/>
    </row>
    <row r="38" customFormat="false" ht="14.25" hidden="false" customHeight="true" outlineLevel="0" collapsed="false">
      <c r="A38" s="85" t="n">
        <v>1992</v>
      </c>
      <c r="B38" s="56" t="n">
        <v>33817</v>
      </c>
      <c r="C38" s="56"/>
      <c r="D38" s="55" t="n">
        <v>42.33</v>
      </c>
      <c r="E38" s="55" t="n">
        <v>14.54</v>
      </c>
      <c r="F38" s="55"/>
      <c r="G38" s="55" t="n">
        <v>37.87</v>
      </c>
      <c r="H38" s="55" t="n">
        <v>15.02</v>
      </c>
      <c r="I38" s="55"/>
      <c r="J38" s="55" t="n">
        <v>38.67</v>
      </c>
      <c r="K38" s="55" t="n">
        <v>15.25</v>
      </c>
      <c r="L38" s="55"/>
      <c r="M38" s="55" t="n">
        <f aca="false">'4.1.1'!G54</f>
        <v>12.04</v>
      </c>
      <c r="N38" s="55" t="n">
        <f aca="false">M38-0</f>
        <v>12.04</v>
      </c>
      <c r="O38" s="55"/>
      <c r="P38" s="55" t="n">
        <f aca="false">'4.1.1'!H54</f>
        <v>11.6</v>
      </c>
      <c r="Q38" s="55" t="n">
        <f aca="false">P38-1.35</f>
        <v>10.25</v>
      </c>
      <c r="R38" s="55"/>
      <c r="S38" s="84"/>
      <c r="T38" s="85"/>
      <c r="U38" s="85"/>
      <c r="V38" s="85"/>
      <c r="W38" s="85"/>
    </row>
    <row r="39" customFormat="false" ht="14.25" hidden="false" customHeight="true" outlineLevel="0" collapsed="false">
      <c r="A39" s="85" t="n">
        <v>1992</v>
      </c>
      <c r="B39" s="56" t="n">
        <v>33848</v>
      </c>
      <c r="C39" s="56"/>
      <c r="D39" s="55" t="n">
        <v>42.15</v>
      </c>
      <c r="E39" s="55" t="n">
        <v>14.36</v>
      </c>
      <c r="F39" s="55" t="n">
        <f aca="false">SUM(E37:E39)/3</f>
        <v>14.74</v>
      </c>
      <c r="G39" s="55" t="n">
        <v>37.68</v>
      </c>
      <c r="H39" s="55" t="n">
        <v>14.83</v>
      </c>
      <c r="I39" s="55" t="n">
        <f aca="false">SUM(H37:H39)/3</f>
        <v>15.0833333333333</v>
      </c>
      <c r="J39" s="55" t="n">
        <v>38.43</v>
      </c>
      <c r="K39" s="55" t="n">
        <v>15.01</v>
      </c>
      <c r="L39" s="55" t="n">
        <f aca="false">SUM(K37:K39)/3</f>
        <v>15.43</v>
      </c>
      <c r="M39" s="55" t="n">
        <f aca="false">'4.1.1'!G55</f>
        <v>12.44</v>
      </c>
      <c r="N39" s="55" t="n">
        <f aca="false">M39-0</f>
        <v>12.44</v>
      </c>
      <c r="O39" s="55" t="n">
        <f aca="false">SUM(N37:N39)/3</f>
        <v>12.2966666666667</v>
      </c>
      <c r="P39" s="55" t="n">
        <f aca="false">'4.1.1'!H55</f>
        <v>12.23</v>
      </c>
      <c r="Q39" s="55" t="n">
        <f aca="false">P39-1.35</f>
        <v>10.88</v>
      </c>
      <c r="R39" s="55" t="n">
        <f aca="false">SUM(Q37:Q39)/3</f>
        <v>10.5866666666667</v>
      </c>
      <c r="S39" s="84"/>
      <c r="T39" s="85"/>
      <c r="U39" s="85"/>
      <c r="V39" s="85"/>
      <c r="W39" s="85"/>
    </row>
    <row r="40" customFormat="false" ht="14.25" hidden="false" customHeight="true" outlineLevel="0" collapsed="false">
      <c r="A40" s="85" t="n">
        <v>1992</v>
      </c>
      <c r="B40" s="56" t="n">
        <v>33878</v>
      </c>
      <c r="C40" s="56"/>
      <c r="D40" s="55" t="n">
        <v>43.7</v>
      </c>
      <c r="E40" s="55" t="n">
        <v>15.91</v>
      </c>
      <c r="F40" s="55"/>
      <c r="G40" s="55" t="n">
        <v>39.37</v>
      </c>
      <c r="H40" s="55" t="n">
        <v>16.52</v>
      </c>
      <c r="I40" s="55"/>
      <c r="J40" s="55" t="n">
        <v>40.03</v>
      </c>
      <c r="K40" s="55" t="n">
        <v>16.61</v>
      </c>
      <c r="L40" s="55"/>
      <c r="M40" s="55" t="n">
        <f aca="false">'4.1.1'!G56</f>
        <v>13.75</v>
      </c>
      <c r="N40" s="55" t="n">
        <f aca="false">M40-0</f>
        <v>13.75</v>
      </c>
      <c r="O40" s="55"/>
      <c r="P40" s="55" t="n">
        <f aca="false">'4.1.1'!H56</f>
        <v>13.35</v>
      </c>
      <c r="Q40" s="55" t="n">
        <f aca="false">P40-1.35</f>
        <v>12</v>
      </c>
      <c r="R40" s="55"/>
      <c r="S40" s="84"/>
      <c r="T40" s="85"/>
      <c r="U40" s="85"/>
      <c r="V40" s="85"/>
      <c r="W40" s="85"/>
    </row>
    <row r="41" customFormat="false" ht="14.25" hidden="false" customHeight="true" outlineLevel="0" collapsed="false">
      <c r="A41" s="85" t="n">
        <v>1992</v>
      </c>
      <c r="B41" s="56" t="n">
        <v>33909</v>
      </c>
      <c r="C41" s="56"/>
      <c r="D41" s="55" t="n">
        <v>44.01</v>
      </c>
      <c r="E41" s="55" t="n">
        <v>16.22</v>
      </c>
      <c r="F41" s="55"/>
      <c r="G41" s="55" t="n">
        <v>40.18</v>
      </c>
      <c r="H41" s="55" t="n">
        <v>17.33</v>
      </c>
      <c r="I41" s="55"/>
      <c r="J41" s="55" t="n">
        <v>40.54</v>
      </c>
      <c r="K41" s="55" t="n">
        <v>17.12</v>
      </c>
      <c r="L41" s="55"/>
      <c r="M41" s="55" t="n">
        <f aca="false">'4.1.1'!G57</f>
        <v>14.46</v>
      </c>
      <c r="N41" s="55" t="n">
        <f aca="false">M41-0</f>
        <v>14.46</v>
      </c>
      <c r="O41" s="55"/>
      <c r="P41" s="55" t="n">
        <f aca="false">'4.1.1'!H57</f>
        <v>14.09</v>
      </c>
      <c r="Q41" s="55" t="n">
        <f aca="false">P41-1.35</f>
        <v>12.74</v>
      </c>
      <c r="R41" s="55"/>
      <c r="S41" s="84"/>
      <c r="T41" s="85"/>
      <c r="U41" s="85"/>
      <c r="V41" s="85"/>
      <c r="W41" s="85"/>
    </row>
    <row r="42" customFormat="false" ht="14.25" hidden="false" customHeight="true" outlineLevel="0" collapsed="false">
      <c r="A42" s="85" t="n">
        <v>1992</v>
      </c>
      <c r="B42" s="56" t="n">
        <v>33939</v>
      </c>
      <c r="C42" s="56"/>
      <c r="D42" s="55" t="n">
        <v>43.62</v>
      </c>
      <c r="E42" s="55" t="n">
        <v>15.83</v>
      </c>
      <c r="F42" s="55" t="n">
        <f aca="false">SUM(E40:E42)/3</f>
        <v>15.9866666666667</v>
      </c>
      <c r="G42" s="55" t="n">
        <v>39.55</v>
      </c>
      <c r="H42" s="55" t="n">
        <v>16.7</v>
      </c>
      <c r="I42" s="55" t="n">
        <f aca="false">SUM(H40:H42)/3</f>
        <v>16.85</v>
      </c>
      <c r="J42" s="55" t="n">
        <v>39.96</v>
      </c>
      <c r="K42" s="55" t="n">
        <v>16.54</v>
      </c>
      <c r="L42" s="55" t="n">
        <f aca="false">SUM(K40:K42)/3</f>
        <v>16.7566666666667</v>
      </c>
      <c r="M42" s="55" t="n">
        <f aca="false">'4.1.1'!G58</f>
        <v>13.89</v>
      </c>
      <c r="N42" s="55" t="n">
        <f aca="false">M42-0</f>
        <v>13.89</v>
      </c>
      <c r="O42" s="55" t="n">
        <f aca="false">SUM(N40:N42)/3</f>
        <v>14.0333333333333</v>
      </c>
      <c r="P42" s="55" t="n">
        <f aca="false">'4.1.1'!H58</f>
        <v>13.52</v>
      </c>
      <c r="Q42" s="55" t="n">
        <f aca="false">P42-1.35</f>
        <v>12.17</v>
      </c>
      <c r="R42" s="55" t="n">
        <f aca="false">SUM(Q40:Q42)/3</f>
        <v>12.3033333333333</v>
      </c>
      <c r="S42" s="84"/>
      <c r="T42" s="85"/>
      <c r="U42" s="85"/>
      <c r="V42" s="85"/>
      <c r="W42" s="85"/>
    </row>
    <row r="43" customFormat="false" ht="14.25" hidden="false" customHeight="true" outlineLevel="0" collapsed="false">
      <c r="A43" s="85" t="n">
        <v>1993</v>
      </c>
      <c r="B43" s="56" t="n">
        <v>33970</v>
      </c>
      <c r="C43" s="56"/>
      <c r="D43" s="55" t="n">
        <v>43.63</v>
      </c>
      <c r="E43" s="55" t="n">
        <v>15.84</v>
      </c>
      <c r="F43" s="55"/>
      <c r="G43" s="55" t="n">
        <v>40.04</v>
      </c>
      <c r="H43" s="55" t="n">
        <v>17.19</v>
      </c>
      <c r="I43" s="55"/>
      <c r="J43" s="55" t="n">
        <v>40.11</v>
      </c>
      <c r="K43" s="55" t="n">
        <v>16.69</v>
      </c>
      <c r="L43" s="55"/>
      <c r="M43" s="55" t="n">
        <f aca="false">'4.1.1'!G59</f>
        <v>14.1</v>
      </c>
      <c r="N43" s="55" t="n">
        <f aca="false">M43-0</f>
        <v>14.1</v>
      </c>
      <c r="O43" s="55"/>
      <c r="P43" s="55" t="n">
        <f aca="false">'4.1.1'!H59</f>
        <v>13.52</v>
      </c>
      <c r="Q43" s="55" t="n">
        <f aca="false">P43-1.35</f>
        <v>12.17</v>
      </c>
      <c r="R43" s="55"/>
      <c r="S43" s="84"/>
      <c r="T43" s="85"/>
      <c r="U43" s="85"/>
      <c r="V43" s="85"/>
      <c r="W43" s="85"/>
    </row>
    <row r="44" customFormat="false" ht="14.25" hidden="false" customHeight="true" outlineLevel="0" collapsed="false">
      <c r="A44" s="85" t="n">
        <v>1993</v>
      </c>
      <c r="B44" s="56" t="n">
        <v>34001</v>
      </c>
      <c r="C44" s="56"/>
      <c r="D44" s="55" t="n">
        <v>44.22</v>
      </c>
      <c r="E44" s="55" t="n">
        <v>16.43</v>
      </c>
      <c r="F44" s="55"/>
      <c r="G44" s="55" t="n">
        <v>40.69</v>
      </c>
      <c r="H44" s="55" t="n">
        <v>17.84</v>
      </c>
      <c r="I44" s="55"/>
      <c r="J44" s="55" t="n">
        <v>40.57</v>
      </c>
      <c r="K44" s="55" t="n">
        <v>17.15</v>
      </c>
      <c r="L44" s="55"/>
      <c r="M44" s="55" t="n">
        <f aca="false">'4.1.1'!G60</f>
        <v>14.41</v>
      </c>
      <c r="N44" s="55" t="n">
        <f aca="false">M44-0</f>
        <v>14.41</v>
      </c>
      <c r="O44" s="55"/>
      <c r="P44" s="55" t="n">
        <f aca="false">'4.1.1'!H60</f>
        <v>13.81</v>
      </c>
      <c r="Q44" s="55" t="n">
        <f aca="false">P44-1.35</f>
        <v>12.46</v>
      </c>
      <c r="R44" s="55"/>
      <c r="S44" s="84"/>
      <c r="T44" s="85"/>
      <c r="U44" s="85"/>
      <c r="V44" s="85"/>
      <c r="W44" s="85"/>
    </row>
    <row r="45" customFormat="false" ht="14.25" hidden="false" customHeight="true" outlineLevel="0" collapsed="false">
      <c r="A45" s="85" t="n">
        <v>1993</v>
      </c>
      <c r="B45" s="56" t="n">
        <v>34029</v>
      </c>
      <c r="C45" s="56"/>
      <c r="D45" s="55" t="n">
        <v>44.87</v>
      </c>
      <c r="E45" s="55" t="n">
        <v>14.29</v>
      </c>
      <c r="F45" s="55" t="n">
        <f aca="false">SUM(E43:E45)/3</f>
        <v>15.52</v>
      </c>
      <c r="G45" s="55" t="n">
        <v>41.16</v>
      </c>
      <c r="H45" s="55" t="n">
        <v>18.31</v>
      </c>
      <c r="I45" s="55" t="n">
        <f aca="false">SUM(H43:H45)/3</f>
        <v>17.78</v>
      </c>
      <c r="J45" s="55" t="n">
        <v>41.23</v>
      </c>
      <c r="K45" s="55" t="n">
        <v>17.81</v>
      </c>
      <c r="L45" s="55" t="n">
        <f aca="false">SUM(K43:K45)/3</f>
        <v>17.2166666666667</v>
      </c>
      <c r="M45" s="55" t="n">
        <f aca="false">'4.1.1'!G61</f>
        <v>14.53</v>
      </c>
      <c r="N45" s="55" t="n">
        <f aca="false">M45-0</f>
        <v>14.53</v>
      </c>
      <c r="O45" s="55" t="n">
        <f aca="false">SUM(N43:N45)/3</f>
        <v>14.3466666666667</v>
      </c>
      <c r="P45" s="55" t="n">
        <f aca="false">'4.1.1'!H61</f>
        <v>14.04</v>
      </c>
      <c r="Q45" s="55" t="n">
        <f aca="false">P45-1.35</f>
        <v>12.69</v>
      </c>
      <c r="R45" s="55" t="n">
        <f aca="false">SUM(Q43:Q45)/3</f>
        <v>12.44</v>
      </c>
      <c r="S45" s="84"/>
      <c r="T45" s="85"/>
      <c r="U45" s="85"/>
      <c r="V45" s="85"/>
      <c r="W45" s="85"/>
    </row>
    <row r="46" customFormat="false" ht="14.25" hidden="false" customHeight="true" outlineLevel="0" collapsed="false">
      <c r="A46" s="85" t="n">
        <v>1993</v>
      </c>
      <c r="B46" s="56" t="n">
        <v>34060</v>
      </c>
      <c r="C46" s="56"/>
      <c r="D46" s="55" t="n">
        <v>46.67</v>
      </c>
      <c r="E46" s="55" t="n">
        <v>16.09</v>
      </c>
      <c r="F46" s="55"/>
      <c r="G46" s="55" t="n">
        <v>41.94</v>
      </c>
      <c r="H46" s="55" t="n">
        <v>16.8</v>
      </c>
      <c r="I46" s="55"/>
      <c r="J46" s="55" t="n">
        <v>42.6</v>
      </c>
      <c r="K46" s="55" t="n">
        <v>16.84</v>
      </c>
      <c r="L46" s="55"/>
      <c r="M46" s="55" t="n">
        <f aca="false">'4.1.1'!G62</f>
        <v>14.07</v>
      </c>
      <c r="N46" s="55" t="n">
        <f aca="false">M46-0</f>
        <v>14.07</v>
      </c>
      <c r="O46" s="55"/>
      <c r="P46" s="55" t="n">
        <f aca="false">'4.1.1'!H62</f>
        <v>14.34</v>
      </c>
      <c r="Q46" s="55" t="n">
        <f aca="false">P46-1.49</f>
        <v>12.85</v>
      </c>
      <c r="R46" s="55"/>
      <c r="S46" s="84"/>
      <c r="T46" s="85"/>
      <c r="U46" s="85"/>
      <c r="V46" s="85"/>
      <c r="W46" s="85"/>
    </row>
    <row r="47" customFormat="false" ht="14.25" hidden="false" customHeight="true" outlineLevel="0" collapsed="false">
      <c r="A47" s="85" t="n">
        <v>1993</v>
      </c>
      <c r="B47" s="56" t="n">
        <v>34090</v>
      </c>
      <c r="C47" s="56"/>
      <c r="D47" s="55" t="n">
        <v>46.84</v>
      </c>
      <c r="E47" s="55" t="n">
        <v>16.26</v>
      </c>
      <c r="F47" s="55"/>
      <c r="G47" s="55" t="n">
        <v>42.03</v>
      </c>
      <c r="H47" s="55" t="n">
        <v>16.89</v>
      </c>
      <c r="I47" s="55"/>
      <c r="J47" s="55" t="n">
        <v>42.75</v>
      </c>
      <c r="K47" s="55" t="n">
        <v>16.99</v>
      </c>
      <c r="L47" s="55"/>
      <c r="M47" s="55" t="n">
        <f aca="false">'4.1.1'!G63</f>
        <v>13.73</v>
      </c>
      <c r="N47" s="55" t="n">
        <f aca="false">M47-0</f>
        <v>13.73</v>
      </c>
      <c r="O47" s="55"/>
      <c r="P47" s="55" t="n">
        <f aca="false">'4.1.1'!H63</f>
        <v>13.73</v>
      </c>
      <c r="Q47" s="55" t="n">
        <f aca="false">P47-1.49</f>
        <v>12.24</v>
      </c>
      <c r="R47" s="55"/>
      <c r="S47" s="84"/>
      <c r="T47" s="85"/>
      <c r="U47" s="85"/>
      <c r="V47" s="85"/>
      <c r="W47" s="85"/>
    </row>
    <row r="48" customFormat="false" ht="14.25" hidden="false" customHeight="true" outlineLevel="0" collapsed="false">
      <c r="A48" s="85" t="n">
        <v>1993</v>
      </c>
      <c r="B48" s="56" t="n">
        <v>34121</v>
      </c>
      <c r="C48" s="56"/>
      <c r="D48" s="55" t="n">
        <v>47.35</v>
      </c>
      <c r="E48" s="55" t="n">
        <v>16.77</v>
      </c>
      <c r="F48" s="55" t="n">
        <f aca="false">SUM(E46:E48)/3</f>
        <v>16.3733333333333</v>
      </c>
      <c r="G48" s="55" t="n">
        <v>42.29</v>
      </c>
      <c r="H48" s="55" t="n">
        <v>17.15</v>
      </c>
      <c r="I48" s="55" t="n">
        <f aca="false">SUM(H46:H48)/3</f>
        <v>16.9466666666667</v>
      </c>
      <c r="J48" s="55" t="n">
        <v>43.12</v>
      </c>
      <c r="K48" s="55" t="n">
        <v>17.35</v>
      </c>
      <c r="L48" s="55" t="n">
        <f aca="false">SUM(K46:K48)/3</f>
        <v>17.06</v>
      </c>
      <c r="M48" s="55" t="n">
        <f aca="false">'4.1.1'!G64</f>
        <v>13.33</v>
      </c>
      <c r="N48" s="55" t="n">
        <f aca="false">M48-0</f>
        <v>13.33</v>
      </c>
      <c r="O48" s="55" t="n">
        <f aca="false">SUM(N46:N48)/3</f>
        <v>13.71</v>
      </c>
      <c r="P48" s="55" t="n">
        <f aca="false">'4.1.1'!H64</f>
        <v>13.26</v>
      </c>
      <c r="Q48" s="55" t="n">
        <f aca="false">P48-1.49</f>
        <v>11.77</v>
      </c>
      <c r="R48" s="55" t="n">
        <f aca="false">SUM(Q46:Q48)/3</f>
        <v>12.2866666666667</v>
      </c>
      <c r="S48" s="84"/>
      <c r="T48" s="85"/>
      <c r="U48" s="85"/>
      <c r="V48" s="85"/>
      <c r="W48" s="85"/>
    </row>
    <row r="49" customFormat="false" ht="14.25" hidden="false" customHeight="true" outlineLevel="0" collapsed="false">
      <c r="A49" s="85" t="n">
        <v>1993</v>
      </c>
      <c r="B49" s="56" t="n">
        <v>34151</v>
      </c>
      <c r="C49" s="56"/>
      <c r="D49" s="55" t="n">
        <v>46.69</v>
      </c>
      <c r="E49" s="55" t="n">
        <v>16.11</v>
      </c>
      <c r="F49" s="55"/>
      <c r="G49" s="55" t="n">
        <v>42.07</v>
      </c>
      <c r="H49" s="55" t="n">
        <v>16.93</v>
      </c>
      <c r="I49" s="55"/>
      <c r="J49" s="55" t="n">
        <v>42.58</v>
      </c>
      <c r="K49" s="55" t="n">
        <v>16.82</v>
      </c>
      <c r="L49" s="55"/>
      <c r="M49" s="55" t="n">
        <f aca="false">'4.1.1'!G65</f>
        <v>13.1</v>
      </c>
      <c r="N49" s="55" t="n">
        <f aca="false">M49-0</f>
        <v>13.1</v>
      </c>
      <c r="O49" s="55"/>
      <c r="P49" s="55" t="n">
        <f aca="false">'4.1.1'!H65</f>
        <v>12.88</v>
      </c>
      <c r="Q49" s="55" t="n">
        <f aca="false">P49-1.49</f>
        <v>11.39</v>
      </c>
      <c r="R49" s="55"/>
      <c r="S49" s="84"/>
      <c r="T49" s="85"/>
      <c r="U49" s="85"/>
      <c r="V49" s="85"/>
      <c r="W49" s="85"/>
    </row>
    <row r="50" customFormat="false" ht="14.25" hidden="false" customHeight="true" outlineLevel="0" collapsed="false">
      <c r="A50" s="85" t="n">
        <v>1993</v>
      </c>
      <c r="B50" s="56" t="n">
        <v>34182</v>
      </c>
      <c r="C50" s="56"/>
      <c r="D50" s="55" t="n">
        <v>46.35</v>
      </c>
      <c r="E50" s="55" t="n">
        <v>15.77</v>
      </c>
      <c r="F50" s="55"/>
      <c r="G50" s="55" t="n">
        <v>41.77</v>
      </c>
      <c r="H50" s="55" t="n">
        <v>16.63</v>
      </c>
      <c r="I50" s="55"/>
      <c r="J50" s="55" t="n">
        <v>42.26</v>
      </c>
      <c r="K50" s="55" t="n">
        <v>16.5</v>
      </c>
      <c r="L50" s="55"/>
      <c r="M50" s="55" t="n">
        <f aca="false">'4.1.1'!G66</f>
        <v>12.87</v>
      </c>
      <c r="N50" s="55" t="n">
        <f aca="false">M50-0</f>
        <v>12.87</v>
      </c>
      <c r="O50" s="55"/>
      <c r="P50" s="55" t="n">
        <f aca="false">'4.1.1'!H66</f>
        <v>12.66</v>
      </c>
      <c r="Q50" s="55" t="n">
        <f aca="false">P50-1.49</f>
        <v>11.17</v>
      </c>
      <c r="R50" s="55"/>
      <c r="S50" s="84"/>
      <c r="T50" s="85"/>
      <c r="U50" s="85"/>
      <c r="V50" s="85"/>
      <c r="W50" s="85"/>
    </row>
    <row r="51" customFormat="false" ht="14.25" hidden="false" customHeight="true" outlineLevel="0" collapsed="false">
      <c r="A51" s="85" t="n">
        <v>1993</v>
      </c>
      <c r="B51" s="56" t="n">
        <v>34213</v>
      </c>
      <c r="C51" s="56"/>
      <c r="D51" s="55" t="n">
        <v>46.5</v>
      </c>
      <c r="E51" s="55" t="n">
        <v>15.92</v>
      </c>
      <c r="F51" s="55" t="n">
        <f aca="false">SUM(E49:E51)/3</f>
        <v>15.9333333333333</v>
      </c>
      <c r="G51" s="55" t="n">
        <v>42.03</v>
      </c>
      <c r="H51" s="55" t="n">
        <v>16.89</v>
      </c>
      <c r="I51" s="55" t="n">
        <f aca="false">SUM(H49:H51)/3</f>
        <v>16.8166666666667</v>
      </c>
      <c r="J51" s="55" t="n">
        <v>42.54</v>
      </c>
      <c r="K51" s="55" t="n">
        <v>16.78</v>
      </c>
      <c r="L51" s="55" t="n">
        <f aca="false">SUM(K49:K51)/3</f>
        <v>16.7</v>
      </c>
      <c r="M51" s="55" t="n">
        <f aca="false">'4.1.1'!G67</f>
        <v>12.84</v>
      </c>
      <c r="N51" s="55" t="n">
        <f aca="false">M51-0</f>
        <v>12.84</v>
      </c>
      <c r="O51" s="55" t="n">
        <f aca="false">SUM(N49:N51)/3</f>
        <v>12.9366666666667</v>
      </c>
      <c r="P51" s="55" t="n">
        <f aca="false">'4.1.1'!H67</f>
        <v>12.72</v>
      </c>
      <c r="Q51" s="55" t="n">
        <f aca="false">P51-1.49</f>
        <v>11.23</v>
      </c>
      <c r="R51" s="55" t="n">
        <f aca="false">SUM(Q49:Q51)/3</f>
        <v>11.2633333333333</v>
      </c>
      <c r="S51" s="84"/>
      <c r="T51" s="85"/>
      <c r="U51" s="85"/>
      <c r="V51" s="85"/>
      <c r="W51" s="85"/>
    </row>
    <row r="52" customFormat="false" ht="14.25" hidden="false" customHeight="true" outlineLevel="0" collapsed="false">
      <c r="A52" s="85" t="n">
        <v>1993</v>
      </c>
      <c r="B52" s="56" t="n">
        <v>34243</v>
      </c>
      <c r="C52" s="56"/>
      <c r="D52" s="55" t="n">
        <v>46.03</v>
      </c>
      <c r="E52" s="55" t="n">
        <v>15.45</v>
      </c>
      <c r="F52" s="55"/>
      <c r="G52" s="55" t="n">
        <v>41.92</v>
      </c>
      <c r="H52" s="55" t="n">
        <v>16.78</v>
      </c>
      <c r="I52" s="55"/>
      <c r="J52" s="55" t="n">
        <v>41.95</v>
      </c>
      <c r="K52" s="55" t="n">
        <v>16.19</v>
      </c>
      <c r="L52" s="55"/>
      <c r="M52" s="55" t="n">
        <f aca="false">'4.1.1'!G68</f>
        <v>13.64</v>
      </c>
      <c r="N52" s="55" t="n">
        <f aca="false">M52-0</f>
        <v>13.64</v>
      </c>
      <c r="O52" s="55"/>
      <c r="P52" s="55" t="n">
        <f aca="false">'4.1.1'!H68</f>
        <v>13.51</v>
      </c>
      <c r="Q52" s="55" t="n">
        <f aca="false">P52-1.49</f>
        <v>12.02</v>
      </c>
      <c r="R52" s="55"/>
      <c r="S52" s="84"/>
      <c r="T52" s="85"/>
      <c r="U52" s="85"/>
      <c r="V52" s="85"/>
      <c r="W52" s="85"/>
    </row>
    <row r="53" customFormat="false" ht="14.25" hidden="false" customHeight="true" outlineLevel="0" collapsed="false">
      <c r="A53" s="85" t="n">
        <v>1993</v>
      </c>
      <c r="B53" s="56" t="n">
        <v>34274</v>
      </c>
      <c r="C53" s="56"/>
      <c r="D53" s="55" t="n">
        <v>46.08</v>
      </c>
      <c r="E53" s="55" t="n">
        <v>15.51</v>
      </c>
      <c r="F53" s="55"/>
      <c r="G53" s="55" t="n">
        <v>42.56</v>
      </c>
      <c r="H53" s="55" t="n">
        <v>17.42</v>
      </c>
      <c r="I53" s="55"/>
      <c r="J53" s="55" t="n">
        <v>42.03</v>
      </c>
      <c r="K53" s="55" t="n">
        <v>16.27</v>
      </c>
      <c r="L53" s="55"/>
      <c r="M53" s="55" t="n">
        <f aca="false">'4.1.1'!G69</f>
        <v>13.68</v>
      </c>
      <c r="N53" s="55" t="n">
        <f aca="false">M53-0</f>
        <v>13.68</v>
      </c>
      <c r="O53" s="55"/>
      <c r="P53" s="55" t="n">
        <f aca="false">'4.1.1'!H69</f>
        <v>13.42</v>
      </c>
      <c r="Q53" s="55" t="n">
        <f aca="false">P53-1.49</f>
        <v>11.93</v>
      </c>
      <c r="R53" s="55"/>
      <c r="S53" s="84"/>
      <c r="T53" s="85"/>
      <c r="U53" s="85"/>
      <c r="V53" s="85"/>
      <c r="W53" s="85"/>
    </row>
    <row r="54" customFormat="false" ht="14.25" hidden="false" customHeight="true" outlineLevel="0" collapsed="false">
      <c r="A54" s="85" t="n">
        <v>1993</v>
      </c>
      <c r="B54" s="56" t="n">
        <v>34304</v>
      </c>
      <c r="C54" s="56"/>
      <c r="D54" s="55" t="n">
        <v>47.47</v>
      </c>
      <c r="E54" s="55" t="n">
        <v>14.33</v>
      </c>
      <c r="F54" s="55" t="n">
        <f aca="false">SUM(E52:E54)/3</f>
        <v>15.0966666666667</v>
      </c>
      <c r="G54" s="55" t="n">
        <v>43.92</v>
      </c>
      <c r="H54" s="55" t="n">
        <v>16.22</v>
      </c>
      <c r="I54" s="55" t="n">
        <f aca="false">SUM(H52:H54)/3</f>
        <v>16.8066666666667</v>
      </c>
      <c r="J54" s="55" t="n">
        <v>43.23</v>
      </c>
      <c r="K54" s="55" t="n">
        <v>14.91</v>
      </c>
      <c r="L54" s="55" t="n">
        <f aca="false">SUM(K52:K54)/3</f>
        <v>15.79</v>
      </c>
      <c r="M54" s="55" t="n">
        <f aca="false">'4.1.1'!G70</f>
        <v>13.35</v>
      </c>
      <c r="N54" s="55" t="n">
        <f aca="false">M54-0</f>
        <v>13.35</v>
      </c>
      <c r="O54" s="55" t="n">
        <f aca="false">SUM(N52:N54)/3</f>
        <v>13.5566666666667</v>
      </c>
      <c r="P54" s="55" t="n">
        <f aca="false">'4.1.1'!H70</f>
        <v>13.14</v>
      </c>
      <c r="Q54" s="55" t="n">
        <f aca="false">P54-1.64</f>
        <v>11.5</v>
      </c>
      <c r="R54" s="55" t="n">
        <f aca="false">SUM(Q52:Q54)/3</f>
        <v>11.8166666666667</v>
      </c>
      <c r="S54" s="84"/>
      <c r="T54" s="85"/>
      <c r="U54" s="85"/>
      <c r="V54" s="85"/>
      <c r="W54" s="85"/>
    </row>
    <row r="55" customFormat="false" ht="14.25" hidden="false" customHeight="true" outlineLevel="0" collapsed="false">
      <c r="A55" s="85" t="n">
        <v>1994</v>
      </c>
      <c r="B55" s="56" t="n">
        <v>34335</v>
      </c>
      <c r="C55" s="56"/>
      <c r="D55" s="55" t="n">
        <v>47.23</v>
      </c>
      <c r="E55" s="55" t="n">
        <v>14.09</v>
      </c>
      <c r="F55" s="55"/>
      <c r="G55" s="55" t="n">
        <v>44.02</v>
      </c>
      <c r="H55" s="55" t="n">
        <v>16.32</v>
      </c>
      <c r="I55" s="55"/>
      <c r="J55" s="55" t="n">
        <v>43.26</v>
      </c>
      <c r="K55" s="55" t="n">
        <v>14.94</v>
      </c>
      <c r="L55" s="55"/>
      <c r="M55" s="55" t="n">
        <f aca="false">'4.1.1'!G71</f>
        <v>12.94</v>
      </c>
      <c r="N55" s="55" t="n">
        <f aca="false">M55-0</f>
        <v>12.94</v>
      </c>
      <c r="O55" s="55"/>
      <c r="P55" s="55" t="n">
        <f aca="false">'4.1.1'!H71</f>
        <v>12.72</v>
      </c>
      <c r="Q55" s="55" t="n">
        <f aca="false">P55-1.64</f>
        <v>11.08</v>
      </c>
      <c r="R55" s="55"/>
      <c r="S55" s="84"/>
      <c r="T55" s="85"/>
      <c r="U55" s="85"/>
      <c r="V55" s="85"/>
      <c r="W55" s="85"/>
    </row>
    <row r="56" customFormat="false" ht="14.25" hidden="false" customHeight="true" outlineLevel="0" collapsed="false">
      <c r="A56" s="85" t="n">
        <v>1994</v>
      </c>
      <c r="B56" s="56" t="n">
        <v>34366</v>
      </c>
      <c r="C56" s="56"/>
      <c r="D56" s="55" t="n">
        <v>47.58</v>
      </c>
      <c r="E56" s="55" t="n">
        <v>14.44</v>
      </c>
      <c r="F56" s="55"/>
      <c r="G56" s="55" t="n">
        <v>43.43</v>
      </c>
      <c r="H56" s="55" t="n">
        <v>15.73</v>
      </c>
      <c r="I56" s="55"/>
      <c r="J56" s="55" t="n">
        <v>43</v>
      </c>
      <c r="K56" s="55" t="n">
        <v>14.68</v>
      </c>
      <c r="L56" s="55"/>
      <c r="M56" s="55" t="n">
        <f aca="false">'4.1.1'!G72</f>
        <v>12.87</v>
      </c>
      <c r="N56" s="55" t="n">
        <f aca="false">M56-0</f>
        <v>12.87</v>
      </c>
      <c r="O56" s="55"/>
      <c r="P56" s="55" t="n">
        <f aca="false">'4.1.1'!H72</f>
        <v>12.65</v>
      </c>
      <c r="Q56" s="55" t="n">
        <f aca="false">P56-1.64</f>
        <v>11.01</v>
      </c>
      <c r="R56" s="55"/>
      <c r="S56" s="84"/>
      <c r="T56" s="85"/>
      <c r="U56" s="85"/>
      <c r="V56" s="85"/>
      <c r="W56" s="85"/>
    </row>
    <row r="57" customFormat="false" ht="14.25" hidden="false" customHeight="true" outlineLevel="0" collapsed="false">
      <c r="A57" s="85" t="n">
        <v>1994</v>
      </c>
      <c r="B57" s="56" t="n">
        <v>34394</v>
      </c>
      <c r="C57" s="56"/>
      <c r="D57" s="55" t="n">
        <v>47.43</v>
      </c>
      <c r="E57" s="55" t="n">
        <v>14.29</v>
      </c>
      <c r="F57" s="55" t="n">
        <f aca="false">SUM(E55:E57)/3</f>
        <v>14.2733333333333</v>
      </c>
      <c r="G57" s="55" t="n">
        <v>43.08</v>
      </c>
      <c r="H57" s="55" t="n">
        <v>15.38</v>
      </c>
      <c r="I57" s="55" t="n">
        <f aca="false">SUM(H55:H57)/3</f>
        <v>15.81</v>
      </c>
      <c r="J57" s="55" t="n">
        <v>42.85</v>
      </c>
      <c r="K57" s="55" t="n">
        <v>14.53</v>
      </c>
      <c r="L57" s="55" t="n">
        <f aca="false">SUM(K55:K57)/3</f>
        <v>14.7166666666667</v>
      </c>
      <c r="M57" s="55" t="n">
        <f aca="false">'4.1.1'!G73</f>
        <v>12.63</v>
      </c>
      <c r="N57" s="55" t="n">
        <f aca="false">M57-0</f>
        <v>12.63</v>
      </c>
      <c r="O57" s="55" t="n">
        <f aca="false">SUM(N55:N57)/3</f>
        <v>12.8133333333333</v>
      </c>
      <c r="P57" s="55" t="n">
        <f aca="false">'4.1.1'!H73</f>
        <v>12.37</v>
      </c>
      <c r="Q57" s="55" t="n">
        <f aca="false">P57-1.64</f>
        <v>10.73</v>
      </c>
      <c r="R57" s="55" t="n">
        <f aca="false">SUM(Q55:Q57)/3</f>
        <v>10.94</v>
      </c>
      <c r="S57" s="84"/>
      <c r="T57" s="85"/>
      <c r="U57" s="85"/>
      <c r="V57" s="85"/>
      <c r="W57" s="85"/>
    </row>
    <row r="58" customFormat="false" ht="14.25" hidden="false" customHeight="true" outlineLevel="0" collapsed="false">
      <c r="A58" s="85" t="n">
        <v>1994</v>
      </c>
      <c r="B58" s="56" t="n">
        <v>34425</v>
      </c>
      <c r="C58" s="56"/>
      <c r="D58" s="55" t="n">
        <v>48</v>
      </c>
      <c r="E58" s="55" t="n">
        <v>14.86</v>
      </c>
      <c r="F58" s="55"/>
      <c r="G58" s="55" t="n">
        <v>43.73</v>
      </c>
      <c r="H58" s="55" t="n">
        <v>16.03</v>
      </c>
      <c r="I58" s="55"/>
      <c r="J58" s="55" t="n">
        <v>43.58</v>
      </c>
      <c r="K58" s="55" t="n">
        <v>15.26</v>
      </c>
      <c r="L58" s="55"/>
      <c r="M58" s="55" t="n">
        <f aca="false">'4.1.1'!G74/1.08</f>
        <v>12.6296296296296</v>
      </c>
      <c r="N58" s="55" t="n">
        <f aca="false">M58-0</f>
        <v>12.6296296296296</v>
      </c>
      <c r="O58" s="55"/>
      <c r="P58" s="55" t="n">
        <f aca="false">'4.1.1'!H74/1.08</f>
        <v>12.6203703703704</v>
      </c>
      <c r="Q58" s="55" t="n">
        <f aca="false">P58-1.64</f>
        <v>10.9803703703704</v>
      </c>
      <c r="R58" s="55"/>
      <c r="S58" s="84"/>
      <c r="T58" s="85"/>
      <c r="U58" s="85"/>
      <c r="V58" s="85"/>
      <c r="W58" s="85"/>
    </row>
    <row r="59" customFormat="false" ht="14.25" hidden="false" customHeight="true" outlineLevel="0" collapsed="false">
      <c r="A59" s="85" t="n">
        <v>1994</v>
      </c>
      <c r="B59" s="56" t="n">
        <v>34455</v>
      </c>
      <c r="C59" s="56"/>
      <c r="D59" s="55" t="n">
        <v>48.27</v>
      </c>
      <c r="E59" s="55" t="n">
        <v>15.13</v>
      </c>
      <c r="F59" s="55"/>
      <c r="G59" s="55" t="n">
        <v>43.84</v>
      </c>
      <c r="H59" s="55" t="n">
        <v>16.14</v>
      </c>
      <c r="I59" s="55"/>
      <c r="J59" s="55" t="n">
        <v>43.68</v>
      </c>
      <c r="K59" s="55" t="n">
        <v>15.36</v>
      </c>
      <c r="L59" s="55"/>
      <c r="M59" s="55" t="n">
        <f aca="false">'4.1.1'!G75/1.08</f>
        <v>12.6111111111111</v>
      </c>
      <c r="N59" s="55" t="n">
        <f aca="false">M59-0</f>
        <v>12.6111111111111</v>
      </c>
      <c r="O59" s="55"/>
      <c r="P59" s="55" t="n">
        <f aca="false">'4.1.1'!H75/1.08</f>
        <v>12.7037037037037</v>
      </c>
      <c r="Q59" s="55" t="n">
        <f aca="false">P59-1.64</f>
        <v>11.0637037037037</v>
      </c>
      <c r="R59" s="55"/>
      <c r="S59" s="84"/>
      <c r="T59" s="85"/>
      <c r="U59" s="85"/>
      <c r="V59" s="85"/>
      <c r="W59" s="85"/>
    </row>
    <row r="60" customFormat="false" ht="14.25" hidden="false" customHeight="true" outlineLevel="0" collapsed="false">
      <c r="A60" s="85" t="n">
        <v>1994</v>
      </c>
      <c r="B60" s="56" t="n">
        <v>34486</v>
      </c>
      <c r="C60" s="56"/>
      <c r="D60" s="55" t="n">
        <v>48.66</v>
      </c>
      <c r="E60" s="55" t="n">
        <v>15.52</v>
      </c>
      <c r="F60" s="55" t="n">
        <f aca="false">SUM(E58:E60)/3</f>
        <v>15.17</v>
      </c>
      <c r="G60" s="55" t="n">
        <v>43.86</v>
      </c>
      <c r="H60" s="55" t="n">
        <v>16.16</v>
      </c>
      <c r="I60" s="55" t="n">
        <f aca="false">SUM(H58:H60)/3</f>
        <v>16.11</v>
      </c>
      <c r="J60" s="55" t="n">
        <v>44.12</v>
      </c>
      <c r="K60" s="55" t="n">
        <v>15.8</v>
      </c>
      <c r="L60" s="55" t="n">
        <f aca="false">SUM(K58:K60)/3</f>
        <v>15.4733333333333</v>
      </c>
      <c r="M60" s="55" t="n">
        <f aca="false">'4.1.1'!G76/1.08</f>
        <v>12.212962962963</v>
      </c>
      <c r="N60" s="55" t="n">
        <f aca="false">M60-0</f>
        <v>12.212962962963</v>
      </c>
      <c r="O60" s="55" t="n">
        <f aca="false">SUM(N58:N60)/3</f>
        <v>12.4845679012346</v>
      </c>
      <c r="P60" s="55" t="n">
        <f aca="false">'4.1.1'!H76/1.08</f>
        <v>12.3148148148148</v>
      </c>
      <c r="Q60" s="55" t="n">
        <f aca="false">P60-1.64</f>
        <v>10.6748148148148</v>
      </c>
      <c r="R60" s="55" t="n">
        <f aca="false">SUM(Q58:Q60)/3</f>
        <v>10.9062962962963</v>
      </c>
      <c r="S60" s="84"/>
      <c r="T60" s="85"/>
      <c r="U60" s="85"/>
      <c r="V60" s="85"/>
      <c r="W60" s="85"/>
    </row>
    <row r="61" customFormat="false" ht="14.25" hidden="false" customHeight="true" outlineLevel="0" collapsed="false">
      <c r="A61" s="85" t="n">
        <v>1994</v>
      </c>
      <c r="B61" s="56" t="n">
        <v>34516</v>
      </c>
      <c r="C61" s="56"/>
      <c r="D61" s="55" t="n">
        <v>48.46</v>
      </c>
      <c r="E61" s="55" t="n">
        <v>15.32</v>
      </c>
      <c r="F61" s="55"/>
      <c r="G61" s="55" t="n">
        <v>43.73</v>
      </c>
      <c r="H61" s="55" t="n">
        <v>16.03</v>
      </c>
      <c r="I61" s="55"/>
      <c r="J61" s="55" t="n">
        <v>43.76</v>
      </c>
      <c r="K61" s="55" t="n">
        <v>15.44</v>
      </c>
      <c r="L61" s="55"/>
      <c r="M61" s="55" t="n">
        <f aca="false">'4.1.1'!G77/1.08</f>
        <v>12.4166666666667</v>
      </c>
      <c r="N61" s="55" t="n">
        <f aca="false">M61-0</f>
        <v>12.4166666666667</v>
      </c>
      <c r="O61" s="55"/>
      <c r="P61" s="55" t="n">
        <f aca="false">'4.1.1'!H77/1.08</f>
        <v>12.2685185185185</v>
      </c>
      <c r="Q61" s="55" t="n">
        <f aca="false">P61-1.64</f>
        <v>10.6285185185185</v>
      </c>
      <c r="R61" s="55"/>
      <c r="S61" s="84"/>
      <c r="T61" s="85"/>
      <c r="U61" s="85"/>
      <c r="V61" s="85"/>
      <c r="W61" s="85"/>
    </row>
    <row r="62" customFormat="false" ht="14.25" hidden="false" customHeight="true" outlineLevel="0" collapsed="false">
      <c r="A62" s="85" t="n">
        <v>1994</v>
      </c>
      <c r="B62" s="56" t="n">
        <v>34547</v>
      </c>
      <c r="C62" s="56"/>
      <c r="D62" s="55" t="n">
        <v>49.66</v>
      </c>
      <c r="E62" s="55" t="n">
        <v>16.52</v>
      </c>
      <c r="F62" s="55"/>
      <c r="G62" s="55" t="n">
        <v>44.34</v>
      </c>
      <c r="H62" s="55" t="n">
        <v>16.64</v>
      </c>
      <c r="I62" s="55"/>
      <c r="J62" s="55" t="n">
        <v>45.06</v>
      </c>
      <c r="K62" s="55" t="n">
        <v>16.74</v>
      </c>
      <c r="L62" s="55"/>
      <c r="M62" s="55" t="n">
        <f aca="false">'4.1.1'!G78/1.08</f>
        <v>12.5092592592593</v>
      </c>
      <c r="N62" s="55" t="n">
        <f aca="false">M62-0</f>
        <v>12.5092592592593</v>
      </c>
      <c r="O62" s="55"/>
      <c r="P62" s="55" t="n">
        <f aca="false">'4.1.1'!H78/1.08</f>
        <v>12.3333333333333</v>
      </c>
      <c r="Q62" s="55" t="n">
        <f aca="false">P62-1.64</f>
        <v>10.6933333333333</v>
      </c>
      <c r="R62" s="55"/>
      <c r="S62" s="84"/>
      <c r="T62" s="85"/>
      <c r="U62" s="85"/>
      <c r="V62" s="85"/>
      <c r="W62" s="85"/>
    </row>
    <row r="63" customFormat="false" ht="14.25" hidden="false" customHeight="true" outlineLevel="0" collapsed="false">
      <c r="A63" s="85" t="n">
        <v>1994</v>
      </c>
      <c r="B63" s="56" t="n">
        <v>34578</v>
      </c>
      <c r="C63" s="56"/>
      <c r="D63" s="55" t="n">
        <v>49.09</v>
      </c>
      <c r="E63" s="55" t="n">
        <v>15.95</v>
      </c>
      <c r="F63" s="55" t="n">
        <f aca="false">SUM(E61:E63)/3</f>
        <v>15.93</v>
      </c>
      <c r="G63" s="55" t="n">
        <v>44.15</v>
      </c>
      <c r="H63" s="55" t="n">
        <v>16.45</v>
      </c>
      <c r="I63" s="55" t="n">
        <f aca="false">SUM(H61:H63)/3</f>
        <v>16.3733333333333</v>
      </c>
      <c r="J63" s="55" t="n">
        <v>44.83</v>
      </c>
      <c r="K63" s="55" t="n">
        <v>16.51</v>
      </c>
      <c r="L63" s="55" t="n">
        <f aca="false">SUM(K61:K63)/3</f>
        <v>16.23</v>
      </c>
      <c r="M63" s="55" t="n">
        <f aca="false">'4.1.1'!G79/1.08</f>
        <v>12.5277777777778</v>
      </c>
      <c r="N63" s="55" t="n">
        <f aca="false">M63-0</f>
        <v>12.5277777777778</v>
      </c>
      <c r="O63" s="55" t="n">
        <f aca="false">SUM(N61:N63)/3</f>
        <v>12.4845679012346</v>
      </c>
      <c r="P63" s="55" t="n">
        <f aca="false">'4.1.1'!H79/1.08</f>
        <v>12.1666666666667</v>
      </c>
      <c r="Q63" s="55" t="n">
        <f aca="false">P63-1.64</f>
        <v>10.5266666666667</v>
      </c>
      <c r="R63" s="55" t="n">
        <f aca="false">SUM(Q61:Q63)/3</f>
        <v>10.6161728395062</v>
      </c>
      <c r="S63" s="84"/>
      <c r="T63" s="85"/>
      <c r="U63" s="85"/>
      <c r="V63" s="85"/>
      <c r="W63" s="85"/>
    </row>
    <row r="64" customFormat="false" ht="14.25" hidden="false" customHeight="true" outlineLevel="0" collapsed="false">
      <c r="A64" s="85" t="n">
        <v>1994</v>
      </c>
      <c r="B64" s="56" t="n">
        <v>34608</v>
      </c>
      <c r="C64" s="56"/>
      <c r="D64" s="55" t="n">
        <v>48.81</v>
      </c>
      <c r="E64" s="55" t="n">
        <v>15.67</v>
      </c>
      <c r="F64" s="55"/>
      <c r="G64" s="55" t="n">
        <v>43.69</v>
      </c>
      <c r="H64" s="55" t="n">
        <v>15.98</v>
      </c>
      <c r="I64" s="55"/>
      <c r="J64" s="55" t="n">
        <v>44.19</v>
      </c>
      <c r="K64" s="55" t="n">
        <v>15.87</v>
      </c>
      <c r="L64" s="55"/>
      <c r="M64" s="55" t="n">
        <f aca="false">'4.1.1'!G80/1.08</f>
        <v>12.6203703703704</v>
      </c>
      <c r="N64" s="55" t="n">
        <f aca="false">M64-0</f>
        <v>12.6203703703704</v>
      </c>
      <c r="O64" s="55"/>
      <c r="P64" s="55" t="n">
        <f aca="false">'4.1.1'!H80/1.08</f>
        <v>12.287037037037</v>
      </c>
      <c r="Q64" s="55" t="n">
        <f aca="false">P64-1.64</f>
        <v>10.647037037037</v>
      </c>
      <c r="R64" s="55"/>
      <c r="S64" s="84"/>
      <c r="T64" s="85"/>
      <c r="U64" s="85"/>
      <c r="V64" s="85"/>
      <c r="W64" s="85"/>
    </row>
    <row r="65" customFormat="false" ht="14.25" hidden="false" customHeight="true" outlineLevel="0" collapsed="false">
      <c r="A65" s="85" t="n">
        <v>1994</v>
      </c>
      <c r="B65" s="56" t="n">
        <v>34639</v>
      </c>
      <c r="C65" s="56"/>
      <c r="D65" s="55" t="n">
        <v>48.01</v>
      </c>
      <c r="E65" s="55" t="n">
        <v>14.87</v>
      </c>
      <c r="F65" s="55"/>
      <c r="G65" s="55" t="n">
        <v>43.27</v>
      </c>
      <c r="H65" s="55" t="n">
        <v>15.57</v>
      </c>
      <c r="I65" s="55"/>
      <c r="J65" s="55" t="n">
        <v>43.5</v>
      </c>
      <c r="K65" s="55" t="n">
        <v>15.18</v>
      </c>
      <c r="L65" s="55"/>
      <c r="M65" s="55" t="n">
        <f aca="false">'4.1.1'!G81/1.08</f>
        <v>12.712962962963</v>
      </c>
      <c r="N65" s="55" t="n">
        <f aca="false">M65-0</f>
        <v>12.712962962963</v>
      </c>
      <c r="O65" s="55"/>
      <c r="P65" s="55" t="n">
        <f aca="false">'4.1.1'!H81/1.08</f>
        <v>12.6944444444444</v>
      </c>
      <c r="Q65" s="55" t="n">
        <f aca="false">P65-1.64</f>
        <v>11.0544444444444</v>
      </c>
      <c r="R65" s="55"/>
      <c r="S65" s="84"/>
      <c r="T65" s="85"/>
      <c r="U65" s="85"/>
      <c r="V65" s="85"/>
      <c r="W65" s="85"/>
    </row>
    <row r="66" customFormat="false" ht="14.25" hidden="false" customHeight="true" outlineLevel="0" collapsed="false">
      <c r="A66" s="85" t="n">
        <v>1994</v>
      </c>
      <c r="B66" s="56" t="n">
        <v>34669</v>
      </c>
      <c r="C66" s="56"/>
      <c r="D66" s="55" t="n">
        <v>49.63</v>
      </c>
      <c r="E66" s="55" t="n">
        <v>14.37</v>
      </c>
      <c r="F66" s="55" t="n">
        <f aca="false">SUM(E64:E66)/3</f>
        <v>14.97</v>
      </c>
      <c r="G66" s="55" t="n">
        <v>45.14</v>
      </c>
      <c r="H66" s="55" t="n">
        <v>14.7</v>
      </c>
      <c r="I66" s="55" t="n">
        <f aca="false">SUM(H64:H66)/3</f>
        <v>15.4166666666667</v>
      </c>
      <c r="J66" s="55" t="n">
        <v>44.91</v>
      </c>
      <c r="K66" s="55" t="n">
        <v>14.47</v>
      </c>
      <c r="L66" s="55" t="n">
        <f aca="false">SUM(K64:K66)/3</f>
        <v>15.1733333333333</v>
      </c>
      <c r="M66" s="55" t="n">
        <f aca="false">'4.1.1'!G82/1.08</f>
        <v>12.6666666666667</v>
      </c>
      <c r="N66" s="55" t="n">
        <f aca="false">M66-0</f>
        <v>12.6666666666667</v>
      </c>
      <c r="O66" s="55" t="n">
        <f aca="false">SUM(N64:N66)/3</f>
        <v>12.6666666666667</v>
      </c>
      <c r="P66" s="55" t="n">
        <f aca="false">'4.1.1'!H82/1.08</f>
        <v>13.0555555555556</v>
      </c>
      <c r="Q66" s="55" t="n">
        <f aca="false">P66-2.14</f>
        <v>10.9155555555556</v>
      </c>
      <c r="R66" s="55" t="n">
        <f aca="false">SUM(Q64:Q66)/3</f>
        <v>10.8723456790123</v>
      </c>
      <c r="S66" s="84"/>
      <c r="T66" s="85"/>
      <c r="U66" s="85"/>
      <c r="V66" s="85"/>
      <c r="W66" s="85"/>
    </row>
    <row r="67" customFormat="false" ht="14.25" hidden="false" customHeight="true" outlineLevel="0" collapsed="false">
      <c r="A67" s="85" t="n">
        <v>1995</v>
      </c>
      <c r="B67" s="56" t="n">
        <v>34700</v>
      </c>
      <c r="C67" s="56"/>
      <c r="D67" s="55" t="n">
        <v>50.31</v>
      </c>
      <c r="E67" s="55" t="n">
        <v>14.17</v>
      </c>
      <c r="F67" s="55"/>
      <c r="G67" s="55" t="n">
        <v>46.07</v>
      </c>
      <c r="H67" s="55" t="n">
        <v>14.75</v>
      </c>
      <c r="I67" s="55"/>
      <c r="J67" s="55" t="n">
        <v>45.48</v>
      </c>
      <c r="K67" s="55" t="n">
        <v>14.16</v>
      </c>
      <c r="L67" s="55"/>
      <c r="M67" s="55" t="n">
        <f aca="false">'4.1.1'!G83/1.08</f>
        <v>12.3333333333333</v>
      </c>
      <c r="N67" s="55" t="n">
        <f aca="false">M67-0</f>
        <v>12.3333333333333</v>
      </c>
      <c r="O67" s="55"/>
      <c r="P67" s="55" t="n">
        <f aca="false">'4.1.1'!H83/1.08</f>
        <v>12.8981481481481</v>
      </c>
      <c r="Q67" s="55" t="n">
        <f aca="false">P67-2.14</f>
        <v>10.7581481481481</v>
      </c>
      <c r="R67" s="55"/>
      <c r="S67" s="84"/>
      <c r="T67" s="85"/>
      <c r="U67" s="85"/>
      <c r="V67" s="85"/>
      <c r="W67" s="85"/>
    </row>
    <row r="68" customFormat="false" ht="14.25" hidden="false" customHeight="true" outlineLevel="0" collapsed="false">
      <c r="A68" s="85" t="n">
        <v>1995</v>
      </c>
      <c r="B68" s="56" t="n">
        <v>34731</v>
      </c>
      <c r="C68" s="56"/>
      <c r="D68" s="55" t="n">
        <v>49.87</v>
      </c>
      <c r="E68" s="55" t="n">
        <v>13.73</v>
      </c>
      <c r="F68" s="55"/>
      <c r="G68" s="55" t="n">
        <v>45.57</v>
      </c>
      <c r="H68" s="55" t="n">
        <v>14.25</v>
      </c>
      <c r="I68" s="55"/>
      <c r="J68" s="55" t="n">
        <v>44.95</v>
      </c>
      <c r="K68" s="55" t="n">
        <v>13.63</v>
      </c>
      <c r="L68" s="55"/>
      <c r="M68" s="55" t="n">
        <f aca="false">'4.1.1'!G84/1.08</f>
        <v>12.5925925925926</v>
      </c>
      <c r="N68" s="55" t="n">
        <f aca="false">M68-0</f>
        <v>12.5925925925926</v>
      </c>
      <c r="O68" s="55"/>
      <c r="P68" s="55" t="n">
        <f aca="false">'4.1.1'!H84/1.08</f>
        <v>12.7777777777778</v>
      </c>
      <c r="Q68" s="55" t="n">
        <f aca="false">P68-2.14</f>
        <v>10.6377777777778</v>
      </c>
      <c r="R68" s="55"/>
      <c r="S68" s="84"/>
      <c r="T68" s="85"/>
      <c r="U68" s="85"/>
      <c r="V68" s="85"/>
      <c r="W68" s="85"/>
    </row>
    <row r="69" customFormat="false" ht="14.25" hidden="false" customHeight="true" outlineLevel="0" collapsed="false">
      <c r="A69" s="85" t="n">
        <v>1995</v>
      </c>
      <c r="B69" s="56" t="n">
        <v>34759</v>
      </c>
      <c r="C69" s="56"/>
      <c r="D69" s="55" t="n">
        <v>50.2</v>
      </c>
      <c r="E69" s="55" t="n">
        <v>14.06</v>
      </c>
      <c r="F69" s="55" t="n">
        <f aca="false">SUM(E67:E69)/3</f>
        <v>13.9866666666667</v>
      </c>
      <c r="G69" s="55" t="n">
        <v>45.85</v>
      </c>
      <c r="H69" s="55" t="n">
        <v>14.53</v>
      </c>
      <c r="I69" s="55" t="n">
        <f aca="false">SUM(H67:H69)/3</f>
        <v>14.51</v>
      </c>
      <c r="J69" s="55" t="n">
        <v>45.28</v>
      </c>
      <c r="K69" s="55" t="n">
        <v>13.96</v>
      </c>
      <c r="L69" s="55" t="n">
        <f aca="false">SUM(K67:K69)/3</f>
        <v>13.9166666666667</v>
      </c>
      <c r="M69" s="55" t="n">
        <f aca="false">'4.1.1'!G85/1.08</f>
        <v>12.6851851851852</v>
      </c>
      <c r="N69" s="55" t="n">
        <f aca="false">M69-0</f>
        <v>12.6851851851852</v>
      </c>
      <c r="O69" s="55" t="n">
        <f aca="false">SUM(N67:N69)/3</f>
        <v>12.537037037037</v>
      </c>
      <c r="P69" s="55" t="n">
        <f aca="false">'4.1.1'!H85/1.08</f>
        <v>12.75</v>
      </c>
      <c r="Q69" s="55" t="n">
        <f aca="false">P69-2.14</f>
        <v>10.61</v>
      </c>
      <c r="R69" s="55" t="n">
        <f aca="false">SUM(Q67:Q69)/3</f>
        <v>10.6686419753086</v>
      </c>
      <c r="S69" s="84"/>
      <c r="T69" s="85"/>
      <c r="U69" s="85"/>
      <c r="V69" s="85"/>
      <c r="W69" s="85"/>
    </row>
    <row r="70" customFormat="false" ht="14.25" hidden="false" customHeight="true" outlineLevel="0" collapsed="false">
      <c r="A70" s="85" t="n">
        <v>1995</v>
      </c>
      <c r="B70" s="56" t="n">
        <v>34790</v>
      </c>
      <c r="C70" s="56"/>
      <c r="D70" s="55" t="n">
        <v>51.14</v>
      </c>
      <c r="E70" s="55" t="n">
        <v>15</v>
      </c>
      <c r="F70" s="55"/>
      <c r="G70" s="55" t="n">
        <v>46.58</v>
      </c>
      <c r="H70" s="55" t="n">
        <v>15.26</v>
      </c>
      <c r="I70" s="55"/>
      <c r="J70" s="55" t="n">
        <v>46.03</v>
      </c>
      <c r="K70" s="55" t="n">
        <v>14.71</v>
      </c>
      <c r="L70" s="55"/>
      <c r="M70" s="55" t="n">
        <f aca="false">'4.1.1'!G86/1.08</f>
        <v>12.8611111111111</v>
      </c>
      <c r="N70" s="55" t="n">
        <f aca="false">M70-0</f>
        <v>12.8611111111111</v>
      </c>
      <c r="O70" s="55"/>
      <c r="P70" s="55" t="n">
        <f aca="false">'4.1.1'!H86/1.08</f>
        <v>13.0925925925926</v>
      </c>
      <c r="Q70" s="55" t="n">
        <f aca="false">P70-2.14</f>
        <v>10.9525925925926</v>
      </c>
      <c r="R70" s="55"/>
      <c r="S70" s="84"/>
      <c r="T70" s="85"/>
      <c r="U70" s="85"/>
      <c r="V70" s="85"/>
      <c r="W70" s="85"/>
    </row>
    <row r="71" customFormat="false" ht="14.25" hidden="false" customHeight="true" outlineLevel="0" collapsed="false">
      <c r="A71" s="85" t="n">
        <v>1995</v>
      </c>
      <c r="B71" s="56" t="n">
        <v>34820</v>
      </c>
      <c r="C71" s="56"/>
      <c r="D71" s="55" t="n">
        <v>51.42</v>
      </c>
      <c r="E71" s="55" t="n">
        <v>15.28</v>
      </c>
      <c r="F71" s="55"/>
      <c r="G71" s="55" t="n">
        <v>46.72</v>
      </c>
      <c r="H71" s="55" t="n">
        <v>15.4</v>
      </c>
      <c r="I71" s="55"/>
      <c r="J71" s="55" t="n">
        <v>46.48</v>
      </c>
      <c r="K71" s="55" t="n">
        <v>15.16</v>
      </c>
      <c r="L71" s="55"/>
      <c r="M71" s="55" t="n">
        <f aca="false">'4.1.1'!G87/1.08</f>
        <v>12.7592592592593</v>
      </c>
      <c r="N71" s="55" t="n">
        <f aca="false">M71-0</f>
        <v>12.7592592592593</v>
      </c>
      <c r="O71" s="55"/>
      <c r="P71" s="55" t="n">
        <f aca="false">'4.1.1'!H87/1.08</f>
        <v>12.8888888888889</v>
      </c>
      <c r="Q71" s="55" t="n">
        <f aca="false">P71-2.14</f>
        <v>10.7488888888889</v>
      </c>
      <c r="R71" s="55"/>
      <c r="S71" s="84"/>
      <c r="T71" s="85"/>
      <c r="U71" s="85"/>
      <c r="V71" s="85"/>
      <c r="W71" s="85"/>
    </row>
    <row r="72" customFormat="false" ht="14.25" hidden="false" customHeight="true" outlineLevel="0" collapsed="false">
      <c r="A72" s="85" t="n">
        <v>1995</v>
      </c>
      <c r="B72" s="56" t="n">
        <v>34851</v>
      </c>
      <c r="C72" s="56"/>
      <c r="D72" s="55" t="n">
        <v>51.38</v>
      </c>
      <c r="E72" s="55" t="n">
        <v>15.24</v>
      </c>
      <c r="F72" s="55" t="n">
        <f aca="false">SUM(E70:E72)/3</f>
        <v>15.1733333333333</v>
      </c>
      <c r="G72" s="55" t="n">
        <v>46.55</v>
      </c>
      <c r="H72" s="55" t="n">
        <v>15.23</v>
      </c>
      <c r="I72" s="55" t="n">
        <f aca="false">SUM(H70:H72)/3</f>
        <v>15.2966666666667</v>
      </c>
      <c r="J72" s="55" t="n">
        <v>46.43</v>
      </c>
      <c r="K72" s="55" t="n">
        <v>15.11</v>
      </c>
      <c r="L72" s="55" t="n">
        <f aca="false">SUM(K70:K72)/3</f>
        <v>14.9933333333333</v>
      </c>
      <c r="M72" s="55" t="n">
        <f aca="false">'4.1.1'!G88/1.08</f>
        <v>12.3148148148148</v>
      </c>
      <c r="N72" s="55" t="n">
        <f aca="false">M72-0</f>
        <v>12.3148148148148</v>
      </c>
      <c r="O72" s="55" t="n">
        <f aca="false">SUM(N70:N72)/3</f>
        <v>12.6450617283951</v>
      </c>
      <c r="P72" s="55" t="n">
        <f aca="false">'4.1.1'!H88/1.08</f>
        <v>12.6296296296296</v>
      </c>
      <c r="Q72" s="55" t="n">
        <f aca="false">P72-2.14</f>
        <v>10.4896296296296</v>
      </c>
      <c r="R72" s="55" t="n">
        <f aca="false">SUM(Q70:Q72)/3</f>
        <v>10.7303703703704</v>
      </c>
      <c r="S72" s="84"/>
      <c r="T72" s="85"/>
      <c r="U72" s="85"/>
      <c r="V72" s="85"/>
      <c r="W72" s="85"/>
    </row>
    <row r="73" customFormat="false" ht="14.25" hidden="false" customHeight="true" outlineLevel="0" collapsed="false">
      <c r="A73" s="85" t="n">
        <v>1995</v>
      </c>
      <c r="B73" s="56" t="n">
        <v>34881</v>
      </c>
      <c r="C73" s="56"/>
      <c r="D73" s="55" t="n">
        <v>51.5</v>
      </c>
      <c r="E73" s="55" t="n">
        <v>15.36</v>
      </c>
      <c r="F73" s="55"/>
      <c r="G73" s="55" t="n">
        <v>46.61</v>
      </c>
      <c r="H73" s="55" t="n">
        <v>15.29</v>
      </c>
      <c r="I73" s="55"/>
      <c r="J73" s="55" t="n">
        <v>46.38</v>
      </c>
      <c r="K73" s="55" t="n">
        <v>15.06</v>
      </c>
      <c r="L73" s="55"/>
      <c r="M73" s="55" t="n">
        <f aca="false">'4.1.1'!G89/1.08</f>
        <v>12.537037037037</v>
      </c>
      <c r="N73" s="55" t="n">
        <f aca="false">M73-0</f>
        <v>12.537037037037</v>
      </c>
      <c r="O73" s="55"/>
      <c r="P73" s="55" t="n">
        <f aca="false">'4.1.1'!H89/1.08</f>
        <v>12.2407407407407</v>
      </c>
      <c r="Q73" s="55" t="n">
        <f aca="false">P73-2.14</f>
        <v>10.1007407407407</v>
      </c>
      <c r="R73" s="55"/>
      <c r="S73" s="84"/>
      <c r="T73" s="85"/>
      <c r="U73" s="85"/>
      <c r="V73" s="85"/>
      <c r="W73" s="85"/>
    </row>
    <row r="74" customFormat="false" ht="14.25" hidden="false" customHeight="true" outlineLevel="0" collapsed="false">
      <c r="A74" s="85" t="n">
        <v>1995</v>
      </c>
      <c r="B74" s="56" t="n">
        <v>34912</v>
      </c>
      <c r="C74" s="56"/>
      <c r="D74" s="55" t="n">
        <v>51.18</v>
      </c>
      <c r="E74" s="55" t="n">
        <v>15.04</v>
      </c>
      <c r="F74" s="55"/>
      <c r="G74" s="55" t="n">
        <v>46.23</v>
      </c>
      <c r="H74" s="55" t="n">
        <v>14.91</v>
      </c>
      <c r="I74" s="55"/>
      <c r="J74" s="55" t="n">
        <v>46.12</v>
      </c>
      <c r="K74" s="55" t="n">
        <v>14.8</v>
      </c>
      <c r="L74" s="55"/>
      <c r="M74" s="55" t="n">
        <f aca="false">'4.1.1'!G90/1.08</f>
        <v>12.7962962962963</v>
      </c>
      <c r="N74" s="55" t="n">
        <f aca="false">M74-0</f>
        <v>12.7962962962963</v>
      </c>
      <c r="O74" s="55"/>
      <c r="P74" s="55" t="n">
        <f aca="false">'4.1.1'!H90/1.08</f>
        <v>12.6481481481481</v>
      </c>
      <c r="Q74" s="55" t="n">
        <f aca="false">P74-2.14</f>
        <v>10.5081481481481</v>
      </c>
      <c r="R74" s="55"/>
      <c r="S74" s="84"/>
      <c r="T74" s="85"/>
      <c r="U74" s="85"/>
      <c r="V74" s="85"/>
      <c r="W74" s="85"/>
    </row>
    <row r="75" customFormat="false" ht="14.25" hidden="false" customHeight="true" outlineLevel="0" collapsed="false">
      <c r="A75" s="85" t="n">
        <v>1995</v>
      </c>
      <c r="B75" s="56" t="n">
        <v>34943</v>
      </c>
      <c r="C75" s="56"/>
      <c r="D75" s="55" t="n">
        <v>50.47</v>
      </c>
      <c r="E75" s="55" t="n">
        <v>14.33</v>
      </c>
      <c r="F75" s="55" t="n">
        <f aca="false">SUM(E73:E75)/3</f>
        <v>14.91</v>
      </c>
      <c r="G75" s="55" t="n">
        <v>45.53</v>
      </c>
      <c r="H75" s="55" t="n">
        <v>14.21</v>
      </c>
      <c r="I75" s="55" t="n">
        <f aca="false">SUM(H73:H75)/3</f>
        <v>14.8033333333333</v>
      </c>
      <c r="J75" s="55" t="n">
        <v>45.43</v>
      </c>
      <c r="K75" s="55" t="n">
        <v>14.11</v>
      </c>
      <c r="L75" s="55" t="n">
        <f aca="false">SUM(K73:K75)/3</f>
        <v>14.6566666666667</v>
      </c>
      <c r="M75" s="55" t="n">
        <f aca="false">'4.1.1'!G91/1.08</f>
        <v>13.0740740740741</v>
      </c>
      <c r="N75" s="55" t="n">
        <f aca="false">M75-0</f>
        <v>13.0740740740741</v>
      </c>
      <c r="O75" s="55" t="n">
        <f aca="false">SUM(N73:N75)/3</f>
        <v>12.8024691358025</v>
      </c>
      <c r="P75" s="55" t="n">
        <f aca="false">'4.1.1'!H91/1.08</f>
        <v>12.8888888888889</v>
      </c>
      <c r="Q75" s="55" t="n">
        <f aca="false">P75-2.14</f>
        <v>10.7488888888889</v>
      </c>
      <c r="R75" s="55" t="n">
        <f aca="false">SUM(Q73:Q75)/3</f>
        <v>10.4525925925926</v>
      </c>
      <c r="S75" s="84"/>
      <c r="T75" s="85"/>
      <c r="U75" s="85"/>
      <c r="V75" s="85"/>
      <c r="W75" s="85"/>
    </row>
    <row r="76" customFormat="false" ht="14.25" hidden="false" customHeight="true" outlineLevel="0" collapsed="false">
      <c r="A76" s="85" t="n">
        <v>1995</v>
      </c>
      <c r="B76" s="56" t="n">
        <v>34973</v>
      </c>
      <c r="C76" s="56"/>
      <c r="D76" s="55" t="n">
        <v>50.05</v>
      </c>
      <c r="E76" s="55" t="n">
        <v>13.91</v>
      </c>
      <c r="F76" s="55"/>
      <c r="G76" s="55" t="n">
        <v>45.19</v>
      </c>
      <c r="H76" s="55" t="n">
        <v>13.87</v>
      </c>
      <c r="I76" s="55"/>
      <c r="J76" s="55" t="n">
        <v>44.92</v>
      </c>
      <c r="K76" s="55" t="n">
        <v>13.6</v>
      </c>
      <c r="L76" s="55"/>
      <c r="M76" s="55" t="n">
        <f aca="false">'4.1.1'!G92/1.08</f>
        <v>12.8796296296296</v>
      </c>
      <c r="N76" s="55" t="n">
        <f aca="false">M76-0</f>
        <v>12.8796296296296</v>
      </c>
      <c r="O76" s="55"/>
      <c r="P76" s="55" t="n">
        <f aca="false">'4.1.1'!H92/1.08</f>
        <v>12.6574074074074</v>
      </c>
      <c r="Q76" s="55" t="n">
        <f aca="false">P76-2.14</f>
        <v>10.5174074074074</v>
      </c>
      <c r="R76" s="55"/>
      <c r="S76" s="84"/>
      <c r="T76" s="85"/>
      <c r="U76" s="85"/>
      <c r="V76" s="85"/>
      <c r="W76" s="85"/>
    </row>
    <row r="77" customFormat="false" ht="14.25" hidden="false" customHeight="true" outlineLevel="0" collapsed="false">
      <c r="A77" s="85" t="n">
        <v>1995</v>
      </c>
      <c r="B77" s="56" t="n">
        <v>35004</v>
      </c>
      <c r="C77" s="56"/>
      <c r="D77" s="55" t="n">
        <v>49.55</v>
      </c>
      <c r="E77" s="55" t="n">
        <v>13.41</v>
      </c>
      <c r="F77" s="55"/>
      <c r="G77" s="55" t="n">
        <v>44.71</v>
      </c>
      <c r="H77" s="55" t="n">
        <v>13.39</v>
      </c>
      <c r="I77" s="55"/>
      <c r="J77" s="55" t="n">
        <v>44.23</v>
      </c>
      <c r="K77" s="55" t="n">
        <v>12.91</v>
      </c>
      <c r="L77" s="55"/>
      <c r="M77" s="55" t="n">
        <f aca="false">'4.1.1'!G93/1.08</f>
        <v>12.8981481481481</v>
      </c>
      <c r="N77" s="55" t="n">
        <f aca="false">M77-0</f>
        <v>12.8981481481481</v>
      </c>
      <c r="O77" s="55"/>
      <c r="P77" s="55" t="n">
        <f aca="false">'4.1.1'!H93/1.08</f>
        <v>12.8333333333333</v>
      </c>
      <c r="Q77" s="55" t="n">
        <f aca="false">P77-2.14</f>
        <v>10.6933333333333</v>
      </c>
      <c r="R77" s="55"/>
      <c r="S77" s="84"/>
      <c r="T77" s="85"/>
      <c r="U77" s="85"/>
      <c r="V77" s="85"/>
      <c r="W77" s="85"/>
    </row>
    <row r="78" customFormat="false" ht="14.25" hidden="false" customHeight="true" outlineLevel="0" collapsed="false">
      <c r="A78" s="85" t="n">
        <v>1995</v>
      </c>
      <c r="B78" s="56" t="n">
        <v>35034</v>
      </c>
      <c r="C78" s="56"/>
      <c r="D78" s="55" t="n">
        <v>52.62</v>
      </c>
      <c r="E78" s="55" t="n">
        <v>13.5</v>
      </c>
      <c r="F78" s="55" t="n">
        <f aca="false">SUM(E76:E78)/3</f>
        <v>13.6066666666667</v>
      </c>
      <c r="G78" s="55" t="n">
        <v>48.34</v>
      </c>
      <c r="H78" s="55" t="n">
        <v>14.04</v>
      </c>
      <c r="I78" s="55" t="n">
        <f aca="false">SUM(H76:H78)/3</f>
        <v>13.7666666666667</v>
      </c>
      <c r="J78" s="55" t="n">
        <v>47.4</v>
      </c>
      <c r="K78" s="55" t="n">
        <v>13.1</v>
      </c>
      <c r="L78" s="55" t="n">
        <f aca="false">SUM(K76:K78)/3</f>
        <v>13.2033333333333</v>
      </c>
      <c r="M78" s="55" t="n">
        <f aca="false">'4.1.1'!G94/1.08</f>
        <v>13.6018518518519</v>
      </c>
      <c r="N78" s="55" t="n">
        <f aca="false">M78-0</f>
        <v>13.6018518518519</v>
      </c>
      <c r="O78" s="55" t="n">
        <f aca="false">SUM(N76:N78)/3</f>
        <v>13.1265432098765</v>
      </c>
      <c r="P78" s="55" t="n">
        <f aca="false">'4.1.1'!H94/1.08</f>
        <v>13.8148148148148</v>
      </c>
      <c r="Q78" s="55" t="n">
        <f aca="false">P78-2.33</f>
        <v>11.4848148148148</v>
      </c>
      <c r="R78" s="55" t="n">
        <f aca="false">SUM(Q76:Q78)/3</f>
        <v>10.8985185185185</v>
      </c>
      <c r="S78" s="84"/>
      <c r="T78" s="85"/>
      <c r="U78" s="85"/>
      <c r="V78" s="85"/>
      <c r="W78" s="85"/>
    </row>
    <row r="79" customFormat="false" ht="14.25" hidden="false" customHeight="true" outlineLevel="0" collapsed="false">
      <c r="A79" s="85" t="n">
        <v>1996</v>
      </c>
      <c r="B79" s="56" t="n">
        <v>35065</v>
      </c>
      <c r="C79" s="56"/>
      <c r="D79" s="55" t="n">
        <v>52.74</v>
      </c>
      <c r="E79" s="55" t="n">
        <v>13.62</v>
      </c>
      <c r="F79" s="55"/>
      <c r="G79" s="55" t="n">
        <v>48.88</v>
      </c>
      <c r="H79" s="55" t="n">
        <v>14.58</v>
      </c>
      <c r="I79" s="55"/>
      <c r="J79" s="55" t="n">
        <v>47.6</v>
      </c>
      <c r="K79" s="55" t="n">
        <v>13.3</v>
      </c>
      <c r="L79" s="55"/>
      <c r="M79" s="55" t="n">
        <f aca="false">'4.1.1'!G95/1.08</f>
        <v>14.2407407407407</v>
      </c>
      <c r="N79" s="55" t="n">
        <f aca="false">M79-0</f>
        <v>14.2407407407407</v>
      </c>
      <c r="O79" s="55"/>
      <c r="P79" s="55" t="n">
        <f aca="false">'4.1.1'!H95/1.08</f>
        <v>14.6851851851852</v>
      </c>
      <c r="Q79" s="55" t="n">
        <f aca="false">P79-2.33</f>
        <v>12.3551851851852</v>
      </c>
      <c r="R79" s="55"/>
      <c r="S79" s="84"/>
      <c r="T79" s="85"/>
      <c r="U79" s="85"/>
      <c r="V79" s="85"/>
      <c r="W79" s="85"/>
    </row>
    <row r="80" customFormat="false" ht="14.25" hidden="false" customHeight="true" outlineLevel="0" collapsed="false">
      <c r="A80" s="85" t="n">
        <v>1996</v>
      </c>
      <c r="B80" s="56" t="n">
        <v>35096</v>
      </c>
      <c r="C80" s="56"/>
      <c r="D80" s="55" t="n">
        <v>50.83</v>
      </c>
      <c r="E80" s="55" t="n">
        <v>11.71</v>
      </c>
      <c r="F80" s="55"/>
      <c r="G80" s="55" t="n">
        <v>47.36</v>
      </c>
      <c r="H80" s="55" t="n">
        <v>13.06</v>
      </c>
      <c r="I80" s="55"/>
      <c r="J80" s="55" t="n">
        <v>46.34</v>
      </c>
      <c r="K80" s="55" t="n">
        <v>12.04</v>
      </c>
      <c r="L80" s="55"/>
      <c r="M80" s="55" t="n">
        <f aca="false">'4.1.1'!G96/1.08</f>
        <v>13.962962962963</v>
      </c>
      <c r="N80" s="55" t="n">
        <f aca="false">M80-0</f>
        <v>13.962962962963</v>
      </c>
      <c r="O80" s="55"/>
      <c r="P80" s="55" t="n">
        <f aca="false">'4.1.1'!H96/1.08</f>
        <v>14.4537037037037</v>
      </c>
      <c r="Q80" s="55" t="n">
        <f aca="false">P80-2.33</f>
        <v>12.1237037037037</v>
      </c>
      <c r="R80" s="55"/>
      <c r="S80" s="84"/>
      <c r="T80" s="85"/>
      <c r="U80" s="85"/>
      <c r="V80" s="85"/>
      <c r="W80" s="85"/>
    </row>
    <row r="81" customFormat="false" ht="14.25" hidden="false" customHeight="true" outlineLevel="0" collapsed="false">
      <c r="A81" s="85" t="n">
        <v>1996</v>
      </c>
      <c r="B81" s="56" t="n">
        <v>35125</v>
      </c>
      <c r="C81" s="56"/>
      <c r="D81" s="55" t="n">
        <v>50.45</v>
      </c>
      <c r="E81" s="55" t="n">
        <v>11.33</v>
      </c>
      <c r="F81" s="55" t="n">
        <f aca="false">SUM(E79:E81)/3</f>
        <v>12.22</v>
      </c>
      <c r="G81" s="55" t="n">
        <v>47.15</v>
      </c>
      <c r="H81" s="55" t="n">
        <v>12.85</v>
      </c>
      <c r="I81" s="55" t="n">
        <f aca="false">SUM(H79:H81)/3</f>
        <v>13.4966666666667</v>
      </c>
      <c r="J81" s="55" t="n">
        <v>46.13</v>
      </c>
      <c r="K81" s="55" t="n">
        <v>11.83</v>
      </c>
      <c r="L81" s="55" t="n">
        <f aca="false">SUM(K79:K81)/3</f>
        <v>12.39</v>
      </c>
      <c r="M81" s="55" t="n">
        <f aca="false">'4.1.1'!G97/1.08</f>
        <v>14.8425925925926</v>
      </c>
      <c r="N81" s="55" t="n">
        <f aca="false">M81-0</f>
        <v>14.8425925925926</v>
      </c>
      <c r="O81" s="55" t="n">
        <f aca="false">SUM(N79:N81)/3</f>
        <v>14.3487654320988</v>
      </c>
      <c r="P81" s="55" t="n">
        <f aca="false">'4.1.1'!H97/1.08</f>
        <v>15.1203703703704</v>
      </c>
      <c r="Q81" s="55" t="n">
        <f aca="false">P81-2.33</f>
        <v>12.7903703703704</v>
      </c>
      <c r="R81" s="55" t="n">
        <f aca="false">SUM(Q79:Q81)/3</f>
        <v>12.4230864197531</v>
      </c>
      <c r="S81" s="84"/>
      <c r="T81" s="85"/>
      <c r="U81" s="85"/>
      <c r="V81" s="85"/>
      <c r="W81" s="85"/>
    </row>
    <row r="82" customFormat="false" ht="14.25" hidden="false" customHeight="true" outlineLevel="0" collapsed="false">
      <c r="A82" s="85" t="n">
        <v>1996</v>
      </c>
      <c r="B82" s="56" t="n">
        <v>35156</v>
      </c>
      <c r="C82" s="56"/>
      <c r="D82" s="55" t="n">
        <v>51.36</v>
      </c>
      <c r="E82" s="55" t="n">
        <v>12.24</v>
      </c>
      <c r="F82" s="55"/>
      <c r="G82" s="55" t="n">
        <v>48.02</v>
      </c>
      <c r="H82" s="55" t="n">
        <v>13.72</v>
      </c>
      <c r="I82" s="55"/>
      <c r="J82" s="55" t="n">
        <v>47.01</v>
      </c>
      <c r="K82" s="55" t="n">
        <v>12.71</v>
      </c>
      <c r="L82" s="55"/>
      <c r="M82" s="55" t="n">
        <f aca="false">'4.1.1'!G98/1.08</f>
        <v>15.3425925925926</v>
      </c>
      <c r="N82" s="55" t="n">
        <f aca="false">M82-0</f>
        <v>15.3425925925926</v>
      </c>
      <c r="O82" s="55"/>
      <c r="P82" s="55" t="n">
        <f aca="false">'4.1.1'!H98/1.08</f>
        <v>15.787037037037</v>
      </c>
      <c r="Q82" s="55" t="n">
        <f aca="false">P82-2.33</f>
        <v>13.457037037037</v>
      </c>
      <c r="R82" s="55"/>
      <c r="S82" s="84"/>
      <c r="T82" s="85"/>
      <c r="U82" s="85"/>
      <c r="V82" s="85"/>
      <c r="W82" s="85"/>
    </row>
    <row r="83" customFormat="false" ht="14.25" hidden="false" customHeight="true" outlineLevel="0" collapsed="false">
      <c r="A83" s="85" t="n">
        <v>1996</v>
      </c>
      <c r="B83" s="56" t="n">
        <v>35186</v>
      </c>
      <c r="C83" s="56"/>
      <c r="D83" s="55" t="n">
        <v>51.3</v>
      </c>
      <c r="E83" s="55" t="n">
        <v>12.18</v>
      </c>
      <c r="F83" s="55"/>
      <c r="G83" s="55" t="n">
        <v>47.85</v>
      </c>
      <c r="H83" s="55" t="n">
        <v>13.56</v>
      </c>
      <c r="I83" s="55"/>
      <c r="J83" s="55" t="n">
        <v>46.92</v>
      </c>
      <c r="K83" s="55" t="n">
        <v>12.62</v>
      </c>
      <c r="L83" s="55"/>
      <c r="M83" s="55" t="n">
        <f aca="false">'4.1.1'!G99/1.08</f>
        <v>14.1296296296296</v>
      </c>
      <c r="N83" s="55" t="n">
        <f aca="false">M83-0</f>
        <v>14.1296296296296</v>
      </c>
      <c r="O83" s="55"/>
      <c r="P83" s="55" t="n">
        <f aca="false">'4.1.1'!H99/1.08</f>
        <v>14.6111111111111</v>
      </c>
      <c r="Q83" s="55" t="n">
        <f aca="false">P83-2.33</f>
        <v>12.2811111111111</v>
      </c>
      <c r="R83" s="55"/>
      <c r="S83" s="84"/>
      <c r="T83" s="85"/>
      <c r="U83" s="85"/>
      <c r="V83" s="85"/>
      <c r="W83" s="85"/>
    </row>
    <row r="84" customFormat="false" ht="14.25" hidden="false" customHeight="true" outlineLevel="0" collapsed="false">
      <c r="A84" s="85" t="n">
        <v>1996</v>
      </c>
      <c r="B84" s="56" t="n">
        <v>35217</v>
      </c>
      <c r="C84" s="56"/>
      <c r="D84" s="55" t="n">
        <v>50.76</v>
      </c>
      <c r="E84" s="55" t="n">
        <v>11.64</v>
      </c>
      <c r="F84" s="55" t="n">
        <f aca="false">SUM(E82:E84)/3</f>
        <v>12.02</v>
      </c>
      <c r="G84" s="55" t="n">
        <v>47.32</v>
      </c>
      <c r="H84" s="55" t="n">
        <v>13.02</v>
      </c>
      <c r="I84" s="55" t="n">
        <f aca="false">SUM(H82:H84)/3</f>
        <v>13.4333333333333</v>
      </c>
      <c r="J84" s="55" t="n">
        <v>46.53</v>
      </c>
      <c r="K84" s="55" t="n">
        <v>12.23</v>
      </c>
      <c r="L84" s="55" t="n">
        <f aca="false">SUM(K82:K84)/3</f>
        <v>12.52</v>
      </c>
      <c r="M84" s="55" t="n">
        <f aca="false">'4.1.1'!G100/1.08</f>
        <v>13.3796296296296</v>
      </c>
      <c r="N84" s="55" t="n">
        <f aca="false">M84-0</f>
        <v>13.3796296296296</v>
      </c>
      <c r="O84" s="55" t="n">
        <f aca="false">SUM(N82:N84)/3</f>
        <v>14.283950617284</v>
      </c>
      <c r="P84" s="55" t="n">
        <f aca="false">'4.1.1'!H100/1.08</f>
        <v>13.9351851851852</v>
      </c>
      <c r="Q84" s="55" t="n">
        <f aca="false">P84-2.33</f>
        <v>11.6051851851852</v>
      </c>
      <c r="R84" s="55" t="n">
        <f aca="false">SUM(Q82:Q84)/3</f>
        <v>12.4477777777778</v>
      </c>
      <c r="S84" s="84"/>
      <c r="T84" s="85"/>
      <c r="U84" s="85"/>
      <c r="V84" s="85"/>
      <c r="W84" s="85"/>
    </row>
    <row r="85" customFormat="false" ht="14.25" hidden="false" customHeight="true" outlineLevel="0" collapsed="false">
      <c r="A85" s="85" t="n">
        <v>1996</v>
      </c>
      <c r="B85" s="56" t="n">
        <v>35247</v>
      </c>
      <c r="C85" s="56"/>
      <c r="D85" s="55" t="n">
        <v>50.63</v>
      </c>
      <c r="E85" s="55" t="n">
        <v>11.51</v>
      </c>
      <c r="F85" s="55"/>
      <c r="G85" s="55" t="n">
        <v>47</v>
      </c>
      <c r="H85" s="55" t="n">
        <v>12.7</v>
      </c>
      <c r="I85" s="55"/>
      <c r="J85" s="55" t="n">
        <v>46.25</v>
      </c>
      <c r="K85" s="55" t="n">
        <v>11.95</v>
      </c>
      <c r="L85" s="55"/>
      <c r="M85" s="55" t="n">
        <f aca="false">'4.1.1'!G101/1.08</f>
        <v>13.5462962962963</v>
      </c>
      <c r="N85" s="55" t="n">
        <f aca="false">M85-0</f>
        <v>13.5462962962963</v>
      </c>
      <c r="O85" s="55"/>
      <c r="P85" s="55" t="n">
        <f aca="false">'4.1.1'!H101/1.08</f>
        <v>14.287037037037</v>
      </c>
      <c r="Q85" s="55" t="n">
        <f aca="false">P85-2.33</f>
        <v>11.957037037037</v>
      </c>
      <c r="R85" s="55"/>
      <c r="S85" s="84"/>
      <c r="T85" s="85"/>
      <c r="U85" s="85"/>
      <c r="V85" s="85"/>
      <c r="W85" s="85"/>
    </row>
    <row r="86" customFormat="false" ht="14.25" hidden="false" customHeight="true" outlineLevel="0" collapsed="false">
      <c r="A86" s="85" t="n">
        <v>1996</v>
      </c>
      <c r="B86" s="56" t="n">
        <v>35278</v>
      </c>
      <c r="C86" s="56"/>
      <c r="D86" s="55" t="n">
        <v>52.35</v>
      </c>
      <c r="E86" s="55" t="n">
        <v>13.23</v>
      </c>
      <c r="F86" s="55"/>
      <c r="G86" s="55" t="n">
        <v>49.04</v>
      </c>
      <c r="H86" s="55" t="n">
        <v>14.74</v>
      </c>
      <c r="I86" s="55"/>
      <c r="J86" s="55" t="n">
        <v>48.31</v>
      </c>
      <c r="K86" s="55" t="n">
        <v>14.02</v>
      </c>
      <c r="L86" s="55"/>
      <c r="M86" s="55" t="n">
        <f aca="false">'4.1.1'!G102/1.08</f>
        <v>13.8240740740741</v>
      </c>
      <c r="N86" s="55" t="n">
        <f aca="false">M86-0</f>
        <v>13.8240740740741</v>
      </c>
      <c r="O86" s="55"/>
      <c r="P86" s="55" t="n">
        <f aca="false">'4.1.1'!H102/1.08</f>
        <v>14.3703703703704</v>
      </c>
      <c r="Q86" s="55" t="n">
        <f aca="false">P86-2.33</f>
        <v>12.0403703703704</v>
      </c>
      <c r="R86" s="55"/>
      <c r="S86" s="84"/>
      <c r="T86" s="85"/>
      <c r="U86" s="85"/>
      <c r="V86" s="85"/>
      <c r="W86" s="85"/>
    </row>
    <row r="87" customFormat="false" ht="14.25" hidden="false" customHeight="true" outlineLevel="0" collapsed="false">
      <c r="A87" s="85" t="n">
        <v>1996</v>
      </c>
      <c r="B87" s="56" t="n">
        <v>35309</v>
      </c>
      <c r="C87" s="56"/>
      <c r="D87" s="55" t="n">
        <v>53.65</v>
      </c>
      <c r="E87" s="55" t="n">
        <v>14.53</v>
      </c>
      <c r="F87" s="55" t="n">
        <f aca="false">SUM(E85:E87)/3</f>
        <v>13.09</v>
      </c>
      <c r="G87" s="55" t="n">
        <v>50.03</v>
      </c>
      <c r="H87" s="55" t="n">
        <v>15.73</v>
      </c>
      <c r="I87" s="55" t="n">
        <f aca="false">SUM(H85:H87)/3</f>
        <v>14.39</v>
      </c>
      <c r="J87" s="55" t="n">
        <v>49.57</v>
      </c>
      <c r="K87" s="55" t="n">
        <v>15.27</v>
      </c>
      <c r="L87" s="55" t="n">
        <f aca="false">SUM(K85:K87)/3</f>
        <v>13.7466666666667</v>
      </c>
      <c r="M87" s="55" t="n">
        <f aca="false">'4.1.1'!G103/1.08</f>
        <v>15.787037037037</v>
      </c>
      <c r="N87" s="55" t="n">
        <f aca="false">M87-0</f>
        <v>15.787037037037</v>
      </c>
      <c r="O87" s="55" t="n">
        <f aca="false">SUM(N85:N87)/3</f>
        <v>14.3858024691358</v>
      </c>
      <c r="P87" s="55" t="n">
        <f aca="false">'4.1.1'!H103/1.08</f>
        <v>16.212962962963</v>
      </c>
      <c r="Q87" s="55" t="n">
        <f aca="false">P87-2.33</f>
        <v>13.882962962963</v>
      </c>
      <c r="R87" s="55" t="n">
        <f aca="false">SUM(Q85:Q87)/3</f>
        <v>12.6267901234568</v>
      </c>
      <c r="S87" s="84"/>
      <c r="T87" s="85"/>
      <c r="U87" s="85"/>
      <c r="V87" s="85"/>
      <c r="W87" s="85"/>
    </row>
    <row r="88" customFormat="false" ht="14.25" hidden="false" customHeight="true" outlineLevel="0" collapsed="false">
      <c r="A88" s="85" t="n">
        <v>1996</v>
      </c>
      <c r="B88" s="56" t="n">
        <v>35339</v>
      </c>
      <c r="C88" s="56"/>
      <c r="D88" s="55" t="n">
        <v>54.22</v>
      </c>
      <c r="E88" s="55" t="n">
        <v>15.1</v>
      </c>
      <c r="F88" s="55"/>
      <c r="G88" s="55" t="n">
        <v>51.63</v>
      </c>
      <c r="H88" s="55" t="n">
        <v>17.33</v>
      </c>
      <c r="I88" s="55"/>
      <c r="J88" s="55" t="n">
        <v>50.03</v>
      </c>
      <c r="K88" s="55" t="n">
        <v>15.73</v>
      </c>
      <c r="L88" s="55"/>
      <c r="M88" s="55" t="n">
        <f aca="false">'4.1.1'!G104/1.08</f>
        <v>16.6574074074074</v>
      </c>
      <c r="N88" s="55" t="n">
        <f aca="false">M88-0</f>
        <v>16.6574074074074</v>
      </c>
      <c r="O88" s="55"/>
      <c r="P88" s="55" t="n">
        <f aca="false">'4.1.1'!H104/1.08</f>
        <v>17.3240740740741</v>
      </c>
      <c r="Q88" s="55" t="n">
        <f aca="false">P88-2.33</f>
        <v>14.9940740740741</v>
      </c>
      <c r="R88" s="55"/>
      <c r="S88" s="84"/>
      <c r="T88" s="85"/>
      <c r="U88" s="85"/>
      <c r="V88" s="85"/>
      <c r="W88" s="85"/>
    </row>
    <row r="89" customFormat="false" ht="14.25" hidden="false" customHeight="true" outlineLevel="0" collapsed="false">
      <c r="A89" s="85" t="n">
        <v>1996</v>
      </c>
      <c r="B89" s="56" t="n">
        <v>35370</v>
      </c>
      <c r="C89" s="56"/>
      <c r="D89" s="55" t="n">
        <v>54.69</v>
      </c>
      <c r="E89" s="55" t="n">
        <v>15.57</v>
      </c>
      <c r="F89" s="55"/>
      <c r="G89" s="55" t="n">
        <v>51.79</v>
      </c>
      <c r="H89" s="55" t="n">
        <v>17.49</v>
      </c>
      <c r="I89" s="55"/>
      <c r="J89" s="55" t="n">
        <v>50.43</v>
      </c>
      <c r="K89" s="55" t="n">
        <v>16.13</v>
      </c>
      <c r="L89" s="55"/>
      <c r="M89" s="55" t="n">
        <f aca="false">'4.1.1'!G105/1.08</f>
        <v>15.5462962962963</v>
      </c>
      <c r="N89" s="55" t="n">
        <f aca="false">M89-0</f>
        <v>15.5462962962963</v>
      </c>
      <c r="O89" s="55"/>
      <c r="P89" s="55" t="n">
        <f aca="false">'4.1.1'!H105/1.08</f>
        <v>16.3148148148148</v>
      </c>
      <c r="Q89" s="55" t="n">
        <f aca="false">P89-2.33</f>
        <v>13.9848148148148</v>
      </c>
      <c r="R89" s="55"/>
      <c r="S89" s="84"/>
      <c r="T89" s="85"/>
      <c r="U89" s="85"/>
      <c r="V89" s="85"/>
      <c r="W89" s="85"/>
    </row>
    <row r="90" customFormat="false" ht="14.25" hidden="false" customHeight="true" outlineLevel="0" collapsed="false">
      <c r="A90" s="85" t="n">
        <v>1996</v>
      </c>
      <c r="B90" s="56" t="n">
        <v>35400</v>
      </c>
      <c r="C90" s="56"/>
      <c r="D90" s="55" t="n">
        <v>56.45</v>
      </c>
      <c r="E90" s="55" t="n">
        <v>14.77</v>
      </c>
      <c r="F90" s="55" t="n">
        <f aca="false">SUM(E88:E90)/3</f>
        <v>15.1466666666667</v>
      </c>
      <c r="G90" s="55" t="n">
        <v>53.27</v>
      </c>
      <c r="H90" s="55" t="n">
        <v>16.41</v>
      </c>
      <c r="I90" s="55" t="n">
        <f aca="false">SUM(H88:H90)/3</f>
        <v>17.0766666666667</v>
      </c>
      <c r="J90" s="55" t="n">
        <v>52.13</v>
      </c>
      <c r="K90" s="55" t="n">
        <v>15.27</v>
      </c>
      <c r="L90" s="55" t="n">
        <f aca="false">SUM(K88:K90)/3</f>
        <v>15.71</v>
      </c>
      <c r="M90" s="55" t="n">
        <f aca="false">'4.1.1'!G106/1.08</f>
        <v>15.7592592592593</v>
      </c>
      <c r="N90" s="55" t="n">
        <f aca="false">M90-0</f>
        <v>15.7592592592593</v>
      </c>
      <c r="O90" s="55" t="n">
        <f aca="false">SUM(N88:N90)/3</f>
        <v>15.9876543209877</v>
      </c>
      <c r="P90" s="55" t="n">
        <f aca="false">'4.1.1'!H106/1.08</f>
        <v>16.5555555555556</v>
      </c>
      <c r="Q90" s="55" t="n">
        <f aca="false">P90-2.5</f>
        <v>14.0555555555556</v>
      </c>
      <c r="R90" s="55" t="n">
        <f aca="false">SUM(Q88:Q90)/3</f>
        <v>14.3448148148148</v>
      </c>
      <c r="S90" s="84"/>
      <c r="T90" s="85"/>
      <c r="U90" s="85"/>
      <c r="V90" s="85"/>
      <c r="W90" s="85"/>
    </row>
    <row r="91" customFormat="false" ht="14.25" hidden="false" customHeight="true" outlineLevel="0" collapsed="false">
      <c r="A91" s="85" t="n">
        <v>1997</v>
      </c>
      <c r="B91" s="56" t="n">
        <v>35431</v>
      </c>
      <c r="C91" s="56"/>
      <c r="D91" s="55" t="n">
        <v>55.71</v>
      </c>
      <c r="E91" s="55" t="n">
        <v>14.03</v>
      </c>
      <c r="F91" s="55"/>
      <c r="G91" s="55" t="n">
        <v>52.78</v>
      </c>
      <c r="H91" s="55" t="n">
        <v>15.92</v>
      </c>
      <c r="I91" s="55"/>
      <c r="J91" s="55" t="n">
        <v>51.99</v>
      </c>
      <c r="K91" s="55" t="n">
        <v>15.13</v>
      </c>
      <c r="L91" s="55"/>
      <c r="M91" s="55" t="n">
        <f aca="false">'4.1.1'!G107/1.08</f>
        <v>15.8611111111111</v>
      </c>
      <c r="N91" s="55" t="n">
        <f aca="false">M91-0</f>
        <v>15.8611111111111</v>
      </c>
      <c r="O91" s="55"/>
      <c r="P91" s="55" t="n">
        <f aca="false">'4.1.1'!H107/1.08</f>
        <v>16.7962962962963</v>
      </c>
      <c r="Q91" s="55" t="n">
        <f aca="false">P91-2.5</f>
        <v>14.2962962962963</v>
      </c>
      <c r="R91" s="55"/>
      <c r="S91" s="84"/>
      <c r="T91" s="85"/>
      <c r="U91" s="85"/>
      <c r="V91" s="85"/>
      <c r="W91" s="85"/>
    </row>
    <row r="92" customFormat="false" ht="14.25" hidden="false" customHeight="true" outlineLevel="0" collapsed="false">
      <c r="A92" s="85" t="n">
        <v>1997</v>
      </c>
      <c r="B92" s="56" t="n">
        <v>35462</v>
      </c>
      <c r="C92" s="56"/>
      <c r="D92" s="55" t="n">
        <v>55.69</v>
      </c>
      <c r="E92" s="55" t="n">
        <v>14.01</v>
      </c>
      <c r="F92" s="55"/>
      <c r="G92" s="55" t="n">
        <v>52.24</v>
      </c>
      <c r="H92" s="55" t="n">
        <v>15.38</v>
      </c>
      <c r="I92" s="55"/>
      <c r="J92" s="55" t="n">
        <v>51.2</v>
      </c>
      <c r="K92" s="55" t="n">
        <v>14.34</v>
      </c>
      <c r="L92" s="55"/>
      <c r="M92" s="55" t="n">
        <f aca="false">'4.1.1'!G108/1.08</f>
        <v>14.7777777777778</v>
      </c>
      <c r="N92" s="55" t="n">
        <f aca="false">M92-0</f>
        <v>14.7777777777778</v>
      </c>
      <c r="O92" s="55"/>
      <c r="P92" s="55" t="n">
        <f aca="false">'4.1.1'!H108/1.08</f>
        <v>15.75</v>
      </c>
      <c r="Q92" s="55" t="n">
        <f aca="false">P92-2.5</f>
        <v>13.25</v>
      </c>
      <c r="R92" s="55"/>
      <c r="S92" s="84"/>
      <c r="T92" s="85"/>
      <c r="U92" s="85"/>
      <c r="V92" s="85"/>
      <c r="W92" s="85"/>
    </row>
    <row r="93" customFormat="false" ht="14.25" hidden="false" customHeight="true" outlineLevel="0" collapsed="false">
      <c r="A93" s="85" t="n">
        <v>1997</v>
      </c>
      <c r="B93" s="56" t="n">
        <v>35490</v>
      </c>
      <c r="C93" s="56"/>
      <c r="D93" s="55" t="n">
        <v>54.67</v>
      </c>
      <c r="E93" s="55" t="n">
        <v>12.99</v>
      </c>
      <c r="F93" s="55" t="n">
        <f aca="false">SUM(E91:E93)/3</f>
        <v>13.6766666666667</v>
      </c>
      <c r="G93" s="55" t="n">
        <v>51.35</v>
      </c>
      <c r="H93" s="55" t="n">
        <v>14.48</v>
      </c>
      <c r="I93" s="55" t="n">
        <f aca="false">SUM(H91:H93)/3</f>
        <v>15.26</v>
      </c>
      <c r="J93" s="55" t="n">
        <v>50.19</v>
      </c>
      <c r="K93" s="55" t="n">
        <v>13.33</v>
      </c>
      <c r="L93" s="55" t="n">
        <f aca="false">SUM(K91:K93)/3</f>
        <v>14.2666666666667</v>
      </c>
      <c r="M93" s="55" t="n">
        <f aca="false">'4.1.1'!G109/1.08</f>
        <v>13.537037037037</v>
      </c>
      <c r="N93" s="55" t="n">
        <f aca="false">M93-0</f>
        <v>13.537037037037</v>
      </c>
      <c r="O93" s="55" t="n">
        <f aca="false">SUM(N91:N93)/3</f>
        <v>14.7253086419753</v>
      </c>
      <c r="P93" s="55" t="n">
        <f aca="false">'4.1.1'!H109/1.08</f>
        <v>14.2592592592593</v>
      </c>
      <c r="Q93" s="55" t="n">
        <f aca="false">P93-2.5</f>
        <v>11.7592592592593</v>
      </c>
      <c r="R93" s="55" t="n">
        <f aca="false">SUM(Q91:Q93)/3</f>
        <v>13.1018518518519</v>
      </c>
      <c r="S93" s="84"/>
      <c r="T93" s="85"/>
      <c r="U93" s="85"/>
      <c r="V93" s="85"/>
      <c r="W93" s="85"/>
    </row>
    <row r="94" customFormat="false" ht="14.25" hidden="false" customHeight="true" outlineLevel="0" collapsed="false">
      <c r="A94" s="85" t="n">
        <v>1997</v>
      </c>
      <c r="B94" s="56" t="n">
        <v>35521</v>
      </c>
      <c r="C94" s="56"/>
      <c r="D94" s="55" t="n">
        <v>54.97</v>
      </c>
      <c r="E94" s="55" t="n">
        <v>13.29</v>
      </c>
      <c r="F94" s="55"/>
      <c r="G94" s="55" t="n">
        <v>51.25</v>
      </c>
      <c r="H94" s="55" t="n">
        <v>14.39</v>
      </c>
      <c r="I94" s="55"/>
      <c r="J94" s="55" t="n">
        <v>50.42</v>
      </c>
      <c r="K94" s="55" t="n">
        <v>13.56</v>
      </c>
      <c r="L94" s="55"/>
      <c r="M94" s="55" t="n">
        <f aca="false">'4.1.1'!G110/1.08</f>
        <v>13.1574074074074</v>
      </c>
      <c r="N94" s="55" t="n">
        <f aca="false">M94-0</f>
        <v>13.1574074074074</v>
      </c>
      <c r="O94" s="55"/>
      <c r="P94" s="55" t="n">
        <f aca="false">'4.1.1'!H110/1.08</f>
        <v>14.0555555555556</v>
      </c>
      <c r="Q94" s="55" t="n">
        <f aca="false">P94-2.5</f>
        <v>11.5555555555556</v>
      </c>
      <c r="R94" s="55"/>
      <c r="S94" s="84"/>
      <c r="T94" s="85"/>
      <c r="U94" s="85"/>
      <c r="V94" s="85"/>
      <c r="W94" s="85"/>
    </row>
    <row r="95" customFormat="false" ht="14.25" hidden="false" customHeight="true" outlineLevel="0" collapsed="false">
      <c r="A95" s="85" t="n">
        <v>1997</v>
      </c>
      <c r="B95" s="56" t="n">
        <v>35551</v>
      </c>
      <c r="C95" s="56"/>
      <c r="D95" s="55" t="n">
        <v>55.24</v>
      </c>
      <c r="E95" s="55" t="n">
        <v>13.56</v>
      </c>
      <c r="F95" s="55"/>
      <c r="G95" s="55" t="n">
        <v>51.32</v>
      </c>
      <c r="H95" s="55" t="n">
        <v>14.46</v>
      </c>
      <c r="I95" s="55"/>
      <c r="J95" s="55" t="n">
        <v>50.56</v>
      </c>
      <c r="K95" s="55" t="n">
        <v>13.7</v>
      </c>
      <c r="L95" s="55"/>
      <c r="M95" s="55" t="n">
        <f aca="false">'4.1.1'!G111/1.08</f>
        <v>12.9074074074074</v>
      </c>
      <c r="N95" s="55" t="n">
        <f aca="false">M95-0</f>
        <v>12.9074074074074</v>
      </c>
      <c r="O95" s="55"/>
      <c r="P95" s="55" t="n">
        <f aca="false">'4.1.1'!H111/1.08</f>
        <v>14.2962962962963</v>
      </c>
      <c r="Q95" s="55" t="n">
        <f aca="false">P95-2.5</f>
        <v>11.7962962962963</v>
      </c>
      <c r="R95" s="55"/>
      <c r="S95" s="84"/>
      <c r="T95" s="85"/>
      <c r="U95" s="85"/>
      <c r="V95" s="85"/>
      <c r="W95" s="85"/>
    </row>
    <row r="96" customFormat="false" ht="14.25" hidden="false" customHeight="true" outlineLevel="0" collapsed="false">
      <c r="A96" s="85" t="n">
        <v>1997</v>
      </c>
      <c r="B96" s="56" t="n">
        <v>35582</v>
      </c>
      <c r="C96" s="56"/>
      <c r="D96" s="55" t="n">
        <v>55.65</v>
      </c>
      <c r="E96" s="55" t="n">
        <v>13.97</v>
      </c>
      <c r="F96" s="55" t="n">
        <f aca="false">SUM(E94:E96)/3</f>
        <v>13.6066666666667</v>
      </c>
      <c r="G96" s="55" t="n">
        <v>51.57</v>
      </c>
      <c r="H96" s="55" t="n">
        <v>14.71</v>
      </c>
      <c r="I96" s="55" t="n">
        <f aca="false">SUM(H94:H96)/3</f>
        <v>14.52</v>
      </c>
      <c r="J96" s="55" t="n">
        <v>50.94</v>
      </c>
      <c r="K96" s="55" t="n">
        <v>14.09</v>
      </c>
      <c r="L96" s="55" t="n">
        <f aca="false">SUM(K94:K96)/3</f>
        <v>13.7833333333333</v>
      </c>
      <c r="M96" s="55" t="n">
        <f aca="false">'4.1.1'!G112/1.08</f>
        <v>12.75</v>
      </c>
      <c r="N96" s="55" t="n">
        <f aca="false">M96-0</f>
        <v>12.75</v>
      </c>
      <c r="O96" s="55" t="n">
        <f aca="false">SUM(N94:N96)/3</f>
        <v>12.9382716049383</v>
      </c>
      <c r="P96" s="55" t="n">
        <f aca="false">'4.1.1'!H112/1.08</f>
        <v>13.7777777777778</v>
      </c>
      <c r="Q96" s="55" t="n">
        <f aca="false">P96-2.5</f>
        <v>11.2777777777778</v>
      </c>
      <c r="R96" s="55" t="n">
        <f aca="false">SUM(Q94:Q96)/3</f>
        <v>11.5432098765432</v>
      </c>
      <c r="S96" s="84"/>
      <c r="T96" s="85"/>
      <c r="U96" s="85"/>
      <c r="V96" s="85"/>
      <c r="W96" s="85"/>
    </row>
    <row r="97" customFormat="false" ht="14.25" hidden="false" customHeight="true" outlineLevel="0" collapsed="false">
      <c r="A97" s="85" t="n">
        <v>1997</v>
      </c>
      <c r="B97" s="56" t="n">
        <v>35612</v>
      </c>
      <c r="C97" s="56"/>
      <c r="D97" s="55" t="n">
        <v>58.04</v>
      </c>
      <c r="E97" s="55" t="n">
        <v>12.94</v>
      </c>
      <c r="F97" s="55"/>
      <c r="G97" s="55" t="n">
        <v>53.99</v>
      </c>
      <c r="H97" s="55" t="n">
        <v>13.71</v>
      </c>
      <c r="I97" s="55"/>
      <c r="J97" s="55" t="n">
        <v>53.35</v>
      </c>
      <c r="K97" s="55" t="n">
        <v>13.07</v>
      </c>
      <c r="L97" s="55"/>
      <c r="M97" s="55" t="n">
        <f aca="false">'4.1.1'!G113/1.08</f>
        <v>12.2685185185185</v>
      </c>
      <c r="N97" s="55" t="n">
        <f aca="false">M97-0</f>
        <v>12.2685185185185</v>
      </c>
      <c r="O97" s="55"/>
      <c r="P97" s="55" t="n">
        <f aca="false">'4.1.1'!H113/1.08</f>
        <v>13.5277777777778</v>
      </c>
      <c r="Q97" s="55" t="n">
        <f aca="false">P97-2.58</f>
        <v>10.9477777777778</v>
      </c>
      <c r="R97" s="55"/>
      <c r="S97" s="84"/>
      <c r="T97" s="85"/>
      <c r="U97" s="85"/>
      <c r="V97" s="85"/>
      <c r="W97" s="85"/>
    </row>
    <row r="98" customFormat="false" ht="14.25" hidden="false" customHeight="true" outlineLevel="0" collapsed="false">
      <c r="A98" s="85" t="n">
        <v>1997</v>
      </c>
      <c r="B98" s="56" t="n">
        <v>35643</v>
      </c>
      <c r="C98" s="56"/>
      <c r="D98" s="55" t="n">
        <v>59.16</v>
      </c>
      <c r="E98" s="55" t="n">
        <v>14.06</v>
      </c>
      <c r="F98" s="55"/>
      <c r="G98" s="55" t="n">
        <v>54.88</v>
      </c>
      <c r="H98" s="55" t="n">
        <v>14.59</v>
      </c>
      <c r="I98" s="55"/>
      <c r="J98" s="55" t="n">
        <v>54.53</v>
      </c>
      <c r="K98" s="55" t="n">
        <v>14.25</v>
      </c>
      <c r="L98" s="55"/>
      <c r="M98" s="55" t="n">
        <f aca="false">'4.1.1'!G114/1.08</f>
        <v>12.8333333333333</v>
      </c>
      <c r="N98" s="55" t="n">
        <f aca="false">M98-0</f>
        <v>12.8333333333333</v>
      </c>
      <c r="O98" s="55"/>
      <c r="P98" s="55" t="n">
        <f aca="false">'4.1.1'!H114/1.08</f>
        <v>14.0740740740741</v>
      </c>
      <c r="Q98" s="55" t="n">
        <f aca="false">P98-2.58</f>
        <v>11.4940740740741</v>
      </c>
      <c r="R98" s="55"/>
      <c r="S98" s="84"/>
      <c r="T98" s="85"/>
      <c r="U98" s="85"/>
      <c r="V98" s="85"/>
      <c r="W98" s="85"/>
    </row>
    <row r="99" customFormat="false" ht="14.25" hidden="false" customHeight="true" outlineLevel="0" collapsed="false">
      <c r="A99" s="85" t="n">
        <v>1997</v>
      </c>
      <c r="B99" s="56" t="n">
        <v>35674</v>
      </c>
      <c r="C99" s="56"/>
      <c r="D99" s="55" t="n">
        <v>59.81</v>
      </c>
      <c r="E99" s="55" t="n">
        <v>14.71</v>
      </c>
      <c r="F99" s="55" t="n">
        <f aca="false">SUM(E97:E99)/3</f>
        <v>13.9033333333333</v>
      </c>
      <c r="G99" s="55" t="n">
        <v>55.12</v>
      </c>
      <c r="H99" s="55" t="n">
        <v>14.83</v>
      </c>
      <c r="I99" s="55" t="n">
        <f aca="false">SUM(H97:H99)/3</f>
        <v>14.3766666666667</v>
      </c>
      <c r="J99" s="55" t="n">
        <v>55.08</v>
      </c>
      <c r="K99" s="55" t="n">
        <v>14.8</v>
      </c>
      <c r="L99" s="55" t="n">
        <f aca="false">SUM(K97:K99)/3</f>
        <v>14.04</v>
      </c>
      <c r="M99" s="55" t="n">
        <f aca="false">'4.1.1'!G115/1.05</f>
        <v>12.8380952380952</v>
      </c>
      <c r="N99" s="55" t="n">
        <f aca="false">M99-0</f>
        <v>12.8380952380952</v>
      </c>
      <c r="O99" s="55" t="n">
        <f aca="false">SUM(N97:N99)/3</f>
        <v>12.6466490299824</v>
      </c>
      <c r="P99" s="55" t="n">
        <f aca="false">'4.1.1'!H115/1.05</f>
        <v>13.9904761904762</v>
      </c>
      <c r="Q99" s="55" t="n">
        <f aca="false">P99-2.58</f>
        <v>11.4104761904762</v>
      </c>
      <c r="R99" s="55" t="n">
        <f aca="false">SUM(Q97:Q99)/3</f>
        <v>11.2841093474427</v>
      </c>
      <c r="S99" s="84"/>
      <c r="T99" s="85"/>
      <c r="U99" s="85"/>
      <c r="V99" s="85"/>
      <c r="W99" s="85"/>
    </row>
    <row r="100" customFormat="false" ht="14.25" hidden="false" customHeight="true" outlineLevel="0" collapsed="false">
      <c r="A100" s="85" t="n">
        <v>1997</v>
      </c>
      <c r="B100" s="56" t="n">
        <v>35704</v>
      </c>
      <c r="C100" s="56"/>
      <c r="D100" s="55" t="n">
        <v>59.36</v>
      </c>
      <c r="E100" s="55" t="n">
        <v>14.26</v>
      </c>
      <c r="F100" s="55"/>
      <c r="G100" s="55" t="n">
        <v>54.73</v>
      </c>
      <c r="H100" s="55" t="n">
        <v>14.45</v>
      </c>
      <c r="I100" s="55"/>
      <c r="J100" s="55" t="n">
        <v>54.65</v>
      </c>
      <c r="K100" s="55" t="n">
        <v>14.37</v>
      </c>
      <c r="L100" s="55"/>
      <c r="M100" s="55" t="n">
        <f aca="false">'4.1.1'!G116/1.05</f>
        <v>13.5904761904762</v>
      </c>
      <c r="N100" s="55" t="n">
        <f aca="false">M100-0</f>
        <v>13.5904761904762</v>
      </c>
      <c r="O100" s="55"/>
      <c r="P100" s="55" t="n">
        <f aca="false">'4.1.1'!H116/1.05</f>
        <v>14.3809523809524</v>
      </c>
      <c r="Q100" s="55" t="n">
        <f aca="false">P100-2.58</f>
        <v>11.8009523809524</v>
      </c>
      <c r="R100" s="55"/>
      <c r="S100" s="84"/>
      <c r="T100" s="85"/>
      <c r="U100" s="85"/>
      <c r="V100" s="85"/>
      <c r="W100" s="85"/>
    </row>
    <row r="101" customFormat="false" ht="14.25" hidden="false" customHeight="true" outlineLevel="0" collapsed="false">
      <c r="A101" s="85" t="n">
        <v>1997</v>
      </c>
      <c r="B101" s="56" t="n">
        <v>35735</v>
      </c>
      <c r="C101" s="56"/>
      <c r="D101" s="55" t="n">
        <v>59.19</v>
      </c>
      <c r="E101" s="55" t="n">
        <v>14.09</v>
      </c>
      <c r="F101" s="55"/>
      <c r="G101" s="55" t="n">
        <v>54.52</v>
      </c>
      <c r="H101" s="55" t="n">
        <v>14.24</v>
      </c>
      <c r="I101" s="55"/>
      <c r="J101" s="55" t="n">
        <v>54.37</v>
      </c>
      <c r="K101" s="55" t="n">
        <v>14.09</v>
      </c>
      <c r="L101" s="55"/>
      <c r="M101" s="55" t="n">
        <f aca="false">'4.1.1'!G117/1.05</f>
        <v>13.5047619047619</v>
      </c>
      <c r="N101" s="55" t="n">
        <f aca="false">M101-0</f>
        <v>13.5047619047619</v>
      </c>
      <c r="O101" s="55"/>
      <c r="P101" s="55" t="n">
        <f aca="false">'4.1.1'!H117/1.05</f>
        <v>14.552380952381</v>
      </c>
      <c r="Q101" s="55" t="n">
        <f aca="false">P101-2.58</f>
        <v>11.972380952381</v>
      </c>
      <c r="R101" s="55"/>
      <c r="S101" s="84"/>
      <c r="T101" s="85"/>
      <c r="U101" s="85"/>
      <c r="V101" s="85"/>
      <c r="W101" s="85"/>
    </row>
    <row r="102" customFormat="false" ht="14.25" hidden="false" customHeight="true" outlineLevel="0" collapsed="false">
      <c r="A102" s="85" t="n">
        <v>1997</v>
      </c>
      <c r="B102" s="56" t="n">
        <v>35765</v>
      </c>
      <c r="C102" s="56"/>
      <c r="D102" s="55" t="n">
        <v>58.97</v>
      </c>
      <c r="E102" s="55" t="n">
        <v>13.87</v>
      </c>
      <c r="F102" s="55" t="n">
        <f aca="false">SUM(E100:E102)/3</f>
        <v>14.0733333333333</v>
      </c>
      <c r="G102" s="55" t="n">
        <v>54.26</v>
      </c>
      <c r="H102" s="55" t="n">
        <v>13.98</v>
      </c>
      <c r="I102" s="55" t="n">
        <f aca="false">SUM(H100:H102)/3</f>
        <v>14.2233333333333</v>
      </c>
      <c r="J102" s="55" t="n">
        <v>54.07</v>
      </c>
      <c r="K102" s="55" t="n">
        <v>13.79</v>
      </c>
      <c r="L102" s="55" t="n">
        <f aca="false">SUM(K100:K102)/3</f>
        <v>14.0833333333333</v>
      </c>
      <c r="M102" s="55" t="n">
        <f aca="false">'4.1.1'!G118/1.05</f>
        <v>12.952380952381</v>
      </c>
      <c r="N102" s="55" t="n">
        <f aca="false">M102-0</f>
        <v>12.952380952381</v>
      </c>
      <c r="O102" s="55" t="n">
        <f aca="false">SUM(N100:N102)/3</f>
        <v>13.3492063492063</v>
      </c>
      <c r="P102" s="55" t="n">
        <f aca="false">'4.1.1'!H118/1.05</f>
        <v>13.7904761904762</v>
      </c>
      <c r="Q102" s="55" t="n">
        <f aca="false">P102-2.58</f>
        <v>11.2104761904762</v>
      </c>
      <c r="R102" s="55" t="n">
        <f aca="false">SUM(Q100:Q102)/3</f>
        <v>11.6612698412698</v>
      </c>
      <c r="S102" s="84"/>
      <c r="T102" s="85"/>
      <c r="U102" s="85"/>
      <c r="V102" s="85"/>
      <c r="W102" s="85"/>
    </row>
    <row r="103" customFormat="false" ht="14.25" hidden="false" customHeight="true" outlineLevel="0" collapsed="false">
      <c r="A103" s="85" t="n">
        <v>1998</v>
      </c>
      <c r="B103" s="56" t="n">
        <v>35796</v>
      </c>
      <c r="C103" s="56"/>
      <c r="D103" s="55" t="n">
        <v>58.75</v>
      </c>
      <c r="E103" s="55" t="n">
        <v>13.65</v>
      </c>
      <c r="F103" s="55"/>
      <c r="G103" s="55" t="n">
        <v>53.91</v>
      </c>
      <c r="H103" s="55" t="n">
        <v>13.63</v>
      </c>
      <c r="I103" s="55"/>
      <c r="J103" s="55" t="n">
        <v>53.73</v>
      </c>
      <c r="K103" s="55" t="n">
        <v>13.45</v>
      </c>
      <c r="L103" s="55"/>
      <c r="M103" s="55" t="n">
        <f aca="false">'4.1.1'!G119/1.05</f>
        <v>12.3047619047619</v>
      </c>
      <c r="N103" s="55" t="n">
        <f aca="false">M103-0</f>
        <v>12.3047619047619</v>
      </c>
      <c r="O103" s="55"/>
      <c r="P103" s="55" t="n">
        <f aca="false">'4.1.1'!H119/1.05</f>
        <v>13.0190476190476</v>
      </c>
      <c r="Q103" s="55" t="n">
        <f aca="false">P103-2.58</f>
        <v>10.4390476190476</v>
      </c>
      <c r="R103" s="55"/>
      <c r="S103" s="84"/>
      <c r="T103" s="85"/>
      <c r="U103" s="85"/>
      <c r="V103" s="85"/>
      <c r="W103" s="85"/>
    </row>
    <row r="104" customFormat="false" ht="14.25" hidden="false" customHeight="true" outlineLevel="0" collapsed="false">
      <c r="A104" s="85" t="n">
        <v>1998</v>
      </c>
      <c r="B104" s="56" t="n">
        <v>35827</v>
      </c>
      <c r="C104" s="56"/>
      <c r="D104" s="55" t="n">
        <v>58.42</v>
      </c>
      <c r="E104" s="55" t="n">
        <v>13.32</v>
      </c>
      <c r="F104" s="55"/>
      <c r="G104" s="55" t="n">
        <v>53.48</v>
      </c>
      <c r="H104" s="55" t="n">
        <v>13.2</v>
      </c>
      <c r="I104" s="55"/>
      <c r="J104" s="55" t="n">
        <v>53.3</v>
      </c>
      <c r="K104" s="55" t="n">
        <v>13.02</v>
      </c>
      <c r="L104" s="55"/>
      <c r="M104" s="55" t="n">
        <f aca="false">'4.1.1'!G120/1.05</f>
        <v>11.9333333333333</v>
      </c>
      <c r="N104" s="55" t="n">
        <f aca="false">M104-0</f>
        <v>11.9333333333333</v>
      </c>
      <c r="O104" s="55"/>
      <c r="P104" s="55" t="n">
        <f aca="false">'4.1.1'!H120/1.05</f>
        <v>13.0285714285714</v>
      </c>
      <c r="Q104" s="55" t="n">
        <f aca="false">P104-2.58</f>
        <v>10.4485714285714</v>
      </c>
      <c r="R104" s="55"/>
      <c r="S104" s="84"/>
      <c r="T104" s="85"/>
      <c r="U104" s="85"/>
      <c r="V104" s="85"/>
      <c r="W104" s="85"/>
    </row>
    <row r="105" customFormat="false" ht="14.25" hidden="false" customHeight="true" outlineLevel="0" collapsed="false">
      <c r="A105" s="85" t="n">
        <v>1998</v>
      </c>
      <c r="B105" s="56" t="n">
        <v>35855</v>
      </c>
      <c r="C105" s="56"/>
      <c r="D105" s="55" t="n">
        <v>58.04</v>
      </c>
      <c r="E105" s="55" t="n">
        <v>12.94</v>
      </c>
      <c r="F105" s="55" t="n">
        <f aca="false">SUM(E103:E105)/3</f>
        <v>13.3033333333333</v>
      </c>
      <c r="G105" s="55" t="n">
        <v>53.02</v>
      </c>
      <c r="H105" s="55" t="n">
        <v>12.74</v>
      </c>
      <c r="I105" s="55" t="n">
        <f aca="false">SUM(H103:H105)/3</f>
        <v>13.19</v>
      </c>
      <c r="J105" s="55" t="n">
        <v>52.84</v>
      </c>
      <c r="K105" s="55" t="n">
        <v>12.56</v>
      </c>
      <c r="L105" s="55" t="n">
        <f aca="false">SUM(K103:K105)/3</f>
        <v>13.01</v>
      </c>
      <c r="M105" s="55" t="n">
        <f aca="false">'4.1.1'!G121/1.05</f>
        <v>11.0571428571429</v>
      </c>
      <c r="N105" s="55" t="n">
        <f aca="false">M105-0</f>
        <v>11.0571428571429</v>
      </c>
      <c r="O105" s="55" t="n">
        <f aca="false">SUM(N103:N105)/3</f>
        <v>11.7650793650794</v>
      </c>
      <c r="P105" s="55" t="n">
        <f aca="false">'4.1.1'!H121/1.05</f>
        <v>12.1142857142857</v>
      </c>
      <c r="Q105" s="55" t="n">
        <f aca="false">P105-2.58</f>
        <v>9.53428571428571</v>
      </c>
      <c r="R105" s="55" t="n">
        <f aca="false">SUM(Q103:Q105)/3</f>
        <v>10.1406349206349</v>
      </c>
      <c r="S105" s="84"/>
      <c r="T105" s="85"/>
      <c r="U105" s="85"/>
      <c r="V105" s="85"/>
      <c r="W105" s="85"/>
    </row>
    <row r="106" customFormat="false" ht="14.25" hidden="false" customHeight="true" outlineLevel="0" collapsed="false">
      <c r="A106" s="85" t="n">
        <v>1998</v>
      </c>
      <c r="B106" s="56" t="n">
        <v>35886</v>
      </c>
      <c r="C106" s="56"/>
      <c r="D106" s="55" t="n">
        <v>61.6</v>
      </c>
      <c r="E106" s="55" t="n">
        <v>12.34</v>
      </c>
      <c r="F106" s="55"/>
      <c r="G106" s="55" t="n">
        <v>56.86</v>
      </c>
      <c r="H106" s="55" t="n">
        <v>11.87</v>
      </c>
      <c r="I106" s="55"/>
      <c r="J106" s="55" t="n">
        <v>55.97</v>
      </c>
      <c r="K106" s="55" t="n">
        <v>11.99</v>
      </c>
      <c r="L106" s="55"/>
      <c r="M106" s="55" t="n">
        <f aca="false">'4.1.1'!G122/1.05</f>
        <v>11.1142857142857</v>
      </c>
      <c r="N106" s="55" t="n">
        <f aca="false">M106-0</f>
        <v>11.1142857142857</v>
      </c>
      <c r="O106" s="55"/>
      <c r="P106" s="55" t="n">
        <f aca="false">'4.1.1'!H122/1.05</f>
        <v>12.3238095238095</v>
      </c>
      <c r="Q106" s="55" t="n">
        <f aca="false">P106-2.82</f>
        <v>9.50380952380952</v>
      </c>
      <c r="R106" s="55"/>
      <c r="S106" s="84"/>
      <c r="T106" s="85"/>
      <c r="U106" s="85"/>
      <c r="V106" s="85"/>
      <c r="W106" s="85"/>
    </row>
    <row r="107" customFormat="false" ht="14.25" hidden="false" customHeight="true" outlineLevel="0" collapsed="false">
      <c r="A107" s="85" t="n">
        <v>1998</v>
      </c>
      <c r="B107" s="56" t="n">
        <v>35916</v>
      </c>
      <c r="C107" s="56"/>
      <c r="D107" s="55" t="n">
        <v>61.63</v>
      </c>
      <c r="E107" s="55" t="n">
        <v>12.37</v>
      </c>
      <c r="F107" s="55"/>
      <c r="G107" s="55" t="n">
        <v>56.77</v>
      </c>
      <c r="H107" s="55" t="n">
        <v>11.78</v>
      </c>
      <c r="I107" s="55"/>
      <c r="J107" s="55" t="n">
        <v>55.93</v>
      </c>
      <c r="K107" s="55" t="n">
        <v>11.94</v>
      </c>
      <c r="L107" s="55"/>
      <c r="M107" s="55" t="n">
        <f aca="false">'4.1.1'!G123/1.05</f>
        <v>11.0857142857143</v>
      </c>
      <c r="N107" s="55" t="n">
        <f aca="false">M107-0</f>
        <v>11.0857142857143</v>
      </c>
      <c r="O107" s="55"/>
      <c r="P107" s="55" t="n">
        <f aca="false">'4.1.1'!H123/1.05</f>
        <v>12.3333333333333</v>
      </c>
      <c r="Q107" s="55" t="n">
        <f aca="false">P107-2.82</f>
        <v>9.51333333333333</v>
      </c>
      <c r="R107" s="55"/>
      <c r="S107" s="84"/>
      <c r="T107" s="85"/>
      <c r="U107" s="85"/>
      <c r="V107" s="85"/>
      <c r="W107" s="85"/>
    </row>
    <row r="108" customFormat="false" ht="14.25" hidden="false" customHeight="true" outlineLevel="0" collapsed="false">
      <c r="A108" s="85" t="n">
        <v>1998</v>
      </c>
      <c r="B108" s="56" t="n">
        <v>35947</v>
      </c>
      <c r="C108" s="56"/>
      <c r="D108" s="55" t="n">
        <v>61.46</v>
      </c>
      <c r="E108" s="55" t="n">
        <v>12.2</v>
      </c>
      <c r="F108" s="55" t="n">
        <f aca="false">SUM(E106:E108)/3</f>
        <v>12.3033333333333</v>
      </c>
      <c r="G108" s="55" t="n">
        <v>56.67</v>
      </c>
      <c r="H108" s="55" t="n">
        <v>11.68</v>
      </c>
      <c r="I108" s="55" t="n">
        <f aca="false">SUM(H106:H108)/3</f>
        <v>11.7766666666667</v>
      </c>
      <c r="J108" s="55" t="n">
        <v>55.85</v>
      </c>
      <c r="K108" s="55" t="n">
        <v>11.86</v>
      </c>
      <c r="L108" s="55" t="n">
        <f aca="false">SUM(K106:K108)/3</f>
        <v>11.93</v>
      </c>
      <c r="M108" s="55" t="n">
        <f aca="false">'4.1.1'!G124/1.05</f>
        <v>10.6190476190476</v>
      </c>
      <c r="N108" s="55" t="n">
        <f aca="false">M108-0</f>
        <v>10.6190476190476</v>
      </c>
      <c r="O108" s="55" t="n">
        <f aca="false">SUM(N106:N108)/3</f>
        <v>10.9396825396825</v>
      </c>
      <c r="P108" s="55" t="n">
        <f aca="false">'4.1.1'!H124/1.05</f>
        <v>11.752380952381</v>
      </c>
      <c r="Q108" s="55" t="n">
        <f aca="false">P108-2.82</f>
        <v>8.93238095238095</v>
      </c>
      <c r="R108" s="55" t="n">
        <f aca="false">SUM(Q106:Q108)/3</f>
        <v>9.31650793650793</v>
      </c>
      <c r="S108" s="84"/>
      <c r="T108" s="85"/>
      <c r="U108" s="85"/>
      <c r="V108" s="85"/>
      <c r="W108" s="85"/>
    </row>
    <row r="109" customFormat="false" ht="14.25" hidden="false" customHeight="true" outlineLevel="0" collapsed="false">
      <c r="A109" s="85" t="n">
        <v>1998</v>
      </c>
      <c r="B109" s="56" t="n">
        <v>35977</v>
      </c>
      <c r="C109" s="56"/>
      <c r="D109" s="55" t="n">
        <v>61.59</v>
      </c>
      <c r="E109" s="55" t="n">
        <v>12.33</v>
      </c>
      <c r="F109" s="55"/>
      <c r="G109" s="55" t="n">
        <v>56.97</v>
      </c>
      <c r="H109" s="55" t="n">
        <v>11.98</v>
      </c>
      <c r="I109" s="55"/>
      <c r="J109" s="55" t="n">
        <v>56.2</v>
      </c>
      <c r="K109" s="55" t="n">
        <v>12.22</v>
      </c>
      <c r="L109" s="55"/>
      <c r="M109" s="55" t="n">
        <f aca="false">'4.1.1'!G125/1.05</f>
        <v>10.1904761904762</v>
      </c>
      <c r="N109" s="55" t="n">
        <f aca="false">M109-0</f>
        <v>10.1904761904762</v>
      </c>
      <c r="O109" s="55"/>
      <c r="P109" s="55" t="n">
        <f aca="false">'4.1.1'!H125/1.05</f>
        <v>11.4190476190476</v>
      </c>
      <c r="Q109" s="55" t="n">
        <f aca="false">P109-2.82</f>
        <v>8.59904761904762</v>
      </c>
      <c r="R109" s="55"/>
      <c r="S109" s="84"/>
      <c r="T109" s="85"/>
      <c r="U109" s="85"/>
      <c r="V109" s="85"/>
      <c r="W109" s="85"/>
    </row>
    <row r="110" customFormat="false" ht="14.25" hidden="false" customHeight="true" outlineLevel="0" collapsed="false">
      <c r="A110" s="85" t="n">
        <v>1998</v>
      </c>
      <c r="B110" s="56" t="n">
        <v>36008</v>
      </c>
      <c r="C110" s="56"/>
      <c r="D110" s="55" t="n">
        <v>61.69</v>
      </c>
      <c r="E110" s="55" t="n">
        <v>12.42</v>
      </c>
      <c r="F110" s="55"/>
      <c r="G110" s="55" t="n">
        <v>56.94</v>
      </c>
      <c r="H110" s="55" t="n">
        <v>11.94</v>
      </c>
      <c r="I110" s="55"/>
      <c r="J110" s="55" t="n">
        <v>56.29</v>
      </c>
      <c r="K110" s="55" t="n">
        <v>12.3</v>
      </c>
      <c r="L110" s="55"/>
      <c r="M110" s="55" t="n">
        <f aca="false">'4.1.1'!G126/1.05</f>
        <v>9.8</v>
      </c>
      <c r="N110" s="55" t="n">
        <f aca="false">M110-0</f>
        <v>9.8</v>
      </c>
      <c r="O110" s="55"/>
      <c r="P110" s="55" t="n">
        <f aca="false">'4.1.1'!H126/1.05</f>
        <v>11.1619047619048</v>
      </c>
      <c r="Q110" s="55" t="n">
        <f aca="false">P110-2.82</f>
        <v>8.34190476190476</v>
      </c>
      <c r="R110" s="55"/>
      <c r="S110" s="84"/>
      <c r="T110" s="85"/>
      <c r="U110" s="85"/>
      <c r="V110" s="85"/>
      <c r="W110" s="85"/>
    </row>
    <row r="111" customFormat="false" ht="14.25" hidden="false" customHeight="true" outlineLevel="0" collapsed="false">
      <c r="A111" s="85" t="n">
        <v>1998</v>
      </c>
      <c r="B111" s="56" t="n">
        <v>36039</v>
      </c>
      <c r="C111" s="56"/>
      <c r="D111" s="55" t="n">
        <v>61.28</v>
      </c>
      <c r="E111" s="55" t="n">
        <v>12.02</v>
      </c>
      <c r="F111" s="55" t="n">
        <f aca="false">SUM(E109:E111)/3</f>
        <v>12.2566666666667</v>
      </c>
      <c r="G111" s="55" t="n">
        <v>56.58</v>
      </c>
      <c r="H111" s="55" t="n">
        <v>11.59</v>
      </c>
      <c r="I111" s="55" t="n">
        <f aca="false">SUM(H109:H111)/3</f>
        <v>11.8366666666667</v>
      </c>
      <c r="J111" s="55" t="n">
        <v>56</v>
      </c>
      <c r="K111" s="55" t="n">
        <v>12.01</v>
      </c>
      <c r="L111" s="55" t="n">
        <f aca="false">SUM(K109:K111)/3</f>
        <v>12.1766666666667</v>
      </c>
      <c r="M111" s="55" t="n">
        <f aca="false">'4.1.1'!G127/1.05</f>
        <v>10.1142857142857</v>
      </c>
      <c r="N111" s="55" t="n">
        <f aca="false">M111-0</f>
        <v>10.1142857142857</v>
      </c>
      <c r="O111" s="55" t="n">
        <f aca="false">SUM(N109:N111)/3</f>
        <v>10.0349206349206</v>
      </c>
      <c r="P111" s="55" t="n">
        <f aca="false">'4.1.1'!H127/1.05</f>
        <v>11.5238095238095</v>
      </c>
      <c r="Q111" s="55" t="n">
        <f aca="false">P111-2.82</f>
        <v>8.70380952380952</v>
      </c>
      <c r="R111" s="55" t="n">
        <f aca="false">SUM(Q109:Q111)/3</f>
        <v>8.54825396825397</v>
      </c>
      <c r="S111" s="84"/>
      <c r="T111" s="85"/>
      <c r="U111" s="85"/>
      <c r="V111" s="85"/>
      <c r="W111" s="85"/>
    </row>
    <row r="112" customFormat="false" ht="14.25" hidden="false" customHeight="true" outlineLevel="0" collapsed="false">
      <c r="A112" s="85" t="n">
        <v>1998</v>
      </c>
      <c r="B112" s="56" t="n">
        <v>36069</v>
      </c>
      <c r="C112" s="56"/>
      <c r="D112" s="55" t="n">
        <v>61.09</v>
      </c>
      <c r="E112" s="55" t="n">
        <v>11.83</v>
      </c>
      <c r="F112" s="55"/>
      <c r="G112" s="55" t="n">
        <v>56.67</v>
      </c>
      <c r="H112" s="55" t="n">
        <v>11.68</v>
      </c>
      <c r="I112" s="55"/>
      <c r="J112" s="55" t="n">
        <v>55.96</v>
      </c>
      <c r="K112" s="55" t="n">
        <v>11.97</v>
      </c>
      <c r="L112" s="55"/>
      <c r="M112" s="55" t="n">
        <f aca="false">'4.1.1'!G128/1.05</f>
        <v>10.3619047619048</v>
      </c>
      <c r="N112" s="55" t="n">
        <f aca="false">M112-0</f>
        <v>10.3619047619048</v>
      </c>
      <c r="O112" s="55"/>
      <c r="P112" s="55" t="n">
        <f aca="false">'4.1.1'!H128/1.05</f>
        <v>11.7238095238095</v>
      </c>
      <c r="Q112" s="55" t="n">
        <f aca="false">P112-2.82</f>
        <v>8.90380952380952</v>
      </c>
      <c r="R112" s="55"/>
      <c r="S112" s="84"/>
      <c r="T112" s="85"/>
      <c r="U112" s="85"/>
      <c r="V112" s="85"/>
      <c r="W112" s="85"/>
    </row>
    <row r="113" customFormat="false" ht="14.25" hidden="false" customHeight="true" outlineLevel="0" collapsed="false">
      <c r="A113" s="85" t="n">
        <v>1998</v>
      </c>
      <c r="B113" s="56" t="n">
        <v>36100</v>
      </c>
      <c r="C113" s="56"/>
      <c r="D113" s="55" t="n">
        <v>60.71</v>
      </c>
      <c r="E113" s="55" t="n">
        <v>11.45</v>
      </c>
      <c r="F113" s="55"/>
      <c r="G113" s="55" t="n">
        <v>55.97</v>
      </c>
      <c r="H113" s="55" t="n">
        <v>10.98</v>
      </c>
      <c r="I113" s="55"/>
      <c r="J113" s="55" t="n">
        <v>55.34</v>
      </c>
      <c r="K113" s="55" t="n">
        <v>11.35</v>
      </c>
      <c r="L113" s="55"/>
      <c r="M113" s="55" t="n">
        <f aca="false">'4.1.1'!G129/1.05</f>
        <v>10.1047619047619</v>
      </c>
      <c r="N113" s="55" t="n">
        <f aca="false">M113-0</f>
        <v>10.1047619047619</v>
      </c>
      <c r="O113" s="55"/>
      <c r="P113" s="55" t="n">
        <f aca="false">'4.1.1'!H129/1.05</f>
        <v>11.152380952381</v>
      </c>
      <c r="Q113" s="55" t="n">
        <f aca="false">P113-2.82</f>
        <v>8.33238095238095</v>
      </c>
      <c r="R113" s="55"/>
      <c r="S113" s="84"/>
      <c r="T113" s="85"/>
      <c r="U113" s="85"/>
      <c r="V113" s="85"/>
      <c r="W113" s="85"/>
    </row>
    <row r="114" customFormat="false" ht="14.25" hidden="false" customHeight="true" outlineLevel="0" collapsed="false">
      <c r="A114" s="85" t="n">
        <v>1998</v>
      </c>
      <c r="B114" s="56" t="n">
        <v>36130</v>
      </c>
      <c r="C114" s="56"/>
      <c r="D114" s="55" t="n">
        <v>59.96</v>
      </c>
      <c r="E114" s="55" t="n">
        <v>10.7</v>
      </c>
      <c r="F114" s="55" t="n">
        <f aca="false">SUM(E112:E114)/3</f>
        <v>11.3266666666667</v>
      </c>
      <c r="G114" s="55" t="n">
        <v>55.12</v>
      </c>
      <c r="H114" s="55" t="n">
        <v>10.13</v>
      </c>
      <c r="I114" s="55" t="n">
        <f aca="false">SUM(H112:H114)/3</f>
        <v>10.93</v>
      </c>
      <c r="J114" s="55" t="n">
        <v>54.33</v>
      </c>
      <c r="K114" s="55" t="n">
        <v>10.34</v>
      </c>
      <c r="L114" s="55" t="n">
        <f aca="false">SUM(K112:K114)/3</f>
        <v>11.22</v>
      </c>
      <c r="M114" s="55" t="n">
        <f aca="false">'4.1.1'!G130/1.05</f>
        <v>9.85714285714286</v>
      </c>
      <c r="N114" s="55" t="n">
        <f aca="false">M114-0</f>
        <v>9.85714285714286</v>
      </c>
      <c r="O114" s="55" t="n">
        <f aca="false">SUM(N112:N114)/3</f>
        <v>10.1079365079365</v>
      </c>
      <c r="P114" s="55" t="n">
        <f aca="false">'4.1.1'!H130/1.05</f>
        <v>10.9428571428571</v>
      </c>
      <c r="Q114" s="55" t="n">
        <f aca="false">P114-2.82</f>
        <v>8.12285714285714</v>
      </c>
      <c r="R114" s="55" t="n">
        <f aca="false">SUM(Q112:Q114)/3</f>
        <v>8.45301587301587</v>
      </c>
      <c r="S114" s="84"/>
      <c r="T114" s="85"/>
      <c r="U114" s="85"/>
      <c r="V114" s="85"/>
      <c r="W114" s="85"/>
    </row>
    <row r="115" customFormat="false" ht="14.25" hidden="false" customHeight="true" outlineLevel="0" collapsed="false">
      <c r="A115" s="85" t="n">
        <v>1999</v>
      </c>
      <c r="B115" s="56" t="n">
        <v>36161</v>
      </c>
      <c r="C115" s="56"/>
      <c r="D115" s="55" t="n">
        <v>59.24</v>
      </c>
      <c r="E115" s="55" t="n">
        <v>9.98</v>
      </c>
      <c r="F115" s="55"/>
      <c r="G115" s="55" t="n">
        <v>54.43</v>
      </c>
      <c r="H115" s="55" t="n">
        <v>9.44</v>
      </c>
      <c r="I115" s="55"/>
      <c r="J115" s="55" t="n">
        <v>53.51</v>
      </c>
      <c r="K115" s="55" t="n">
        <v>9.51</v>
      </c>
      <c r="L115" s="55"/>
      <c r="M115" s="55" t="n">
        <f aca="false">'4.1.1'!G131/1.05</f>
        <v>9.41904761904762</v>
      </c>
      <c r="N115" s="55" t="n">
        <f aca="false">M115-0</f>
        <v>9.41904761904762</v>
      </c>
      <c r="O115" s="55"/>
      <c r="P115" s="55" t="n">
        <f aca="false">'4.1.1'!H131/1.05</f>
        <v>10.8190476190476</v>
      </c>
      <c r="Q115" s="55" t="n">
        <f aca="false">P115-2.82</f>
        <v>7.99904761904762</v>
      </c>
      <c r="R115" s="55"/>
      <c r="S115" s="84"/>
      <c r="T115" s="85"/>
      <c r="U115" s="85"/>
      <c r="V115" s="85"/>
      <c r="W115" s="85"/>
    </row>
    <row r="116" customFormat="false" ht="14.25" hidden="false" customHeight="true" outlineLevel="0" collapsed="false">
      <c r="A116" s="85" t="n">
        <v>1999</v>
      </c>
      <c r="B116" s="56" t="n">
        <v>36192</v>
      </c>
      <c r="C116" s="56"/>
      <c r="D116" s="55" t="n">
        <v>59.39</v>
      </c>
      <c r="E116" s="55" t="n">
        <v>10.13</v>
      </c>
      <c r="F116" s="55"/>
      <c r="G116" s="55" t="n">
        <v>54.61</v>
      </c>
      <c r="H116" s="55" t="n">
        <v>9.62</v>
      </c>
      <c r="I116" s="55"/>
      <c r="J116" s="55" t="n">
        <v>53.63</v>
      </c>
      <c r="K116" s="55" t="n">
        <v>9.65</v>
      </c>
      <c r="L116" s="55"/>
      <c r="M116" s="55" t="n">
        <f aca="false">'4.1.1'!G132/1.05</f>
        <v>9.73333333333333</v>
      </c>
      <c r="N116" s="55" t="n">
        <f aca="false">M116-0</f>
        <v>9.73333333333333</v>
      </c>
      <c r="O116" s="55"/>
      <c r="P116" s="55" t="n">
        <f aca="false">'4.1.1'!H132/1.05</f>
        <v>10.7904761904762</v>
      </c>
      <c r="Q116" s="55" t="n">
        <f aca="false">P116-2.82</f>
        <v>7.97047619047619</v>
      </c>
      <c r="R116" s="55"/>
      <c r="S116" s="84"/>
      <c r="T116" s="85"/>
      <c r="U116" s="85"/>
      <c r="V116" s="85"/>
      <c r="W116" s="85"/>
    </row>
    <row r="117" customFormat="false" ht="14.25" hidden="false" customHeight="true" outlineLevel="0" collapsed="false">
      <c r="A117" s="85" t="n">
        <v>1999</v>
      </c>
      <c r="B117" s="56" t="n">
        <v>36220</v>
      </c>
      <c r="C117" s="56"/>
      <c r="D117" s="55" t="n">
        <v>62.85</v>
      </c>
      <c r="E117" s="55" t="n">
        <v>9.97</v>
      </c>
      <c r="F117" s="55" t="n">
        <f aca="false">SUM(E115:E117)/3</f>
        <v>10.0266666666667</v>
      </c>
      <c r="G117" s="55" t="n">
        <v>59.52</v>
      </c>
      <c r="H117" s="55" t="n">
        <v>9.31</v>
      </c>
      <c r="I117" s="55" t="n">
        <f aca="false">SUM(H115:H117)/3</f>
        <v>9.45666666666667</v>
      </c>
      <c r="J117" s="55" t="n">
        <v>56.6</v>
      </c>
      <c r="K117" s="55" t="n">
        <v>9.39</v>
      </c>
      <c r="L117" s="55" t="n">
        <f aca="false">SUM(K115:K117)/3</f>
        <v>9.51666666666667</v>
      </c>
      <c r="M117" s="55" t="n">
        <f aca="false">'4.1.1'!G133/1.05</f>
        <v>10.0190476190476</v>
      </c>
      <c r="N117" s="55" t="n">
        <f aca="false">M117-0</f>
        <v>10.0190476190476</v>
      </c>
      <c r="O117" s="55" t="n">
        <f aca="false">SUM(N115:N117)/3</f>
        <v>9.72380952380952</v>
      </c>
      <c r="P117" s="55" t="n">
        <f aca="false">'4.1.1'!H133/1.05</f>
        <v>11.4857142857143</v>
      </c>
      <c r="Q117" s="55" t="n">
        <f aca="false">P117-3.03</f>
        <v>8.45571428571429</v>
      </c>
      <c r="R117" s="55" t="n">
        <f aca="false">SUM(Q115:Q117)/3</f>
        <v>8.14174603174603</v>
      </c>
      <c r="S117" s="84"/>
      <c r="T117" s="85"/>
      <c r="U117" s="85"/>
      <c r="V117" s="85"/>
      <c r="W117" s="85"/>
    </row>
    <row r="118" customFormat="false" ht="14.25" hidden="false" customHeight="true" outlineLevel="0" collapsed="false">
      <c r="A118" s="85" t="n">
        <v>1999</v>
      </c>
      <c r="B118" s="56" t="n">
        <v>36251</v>
      </c>
      <c r="C118" s="56"/>
      <c r="D118" s="55" t="n">
        <v>66.24</v>
      </c>
      <c r="E118" s="55" t="n">
        <v>13.35</v>
      </c>
      <c r="F118" s="55"/>
      <c r="G118" s="55" t="n">
        <v>62.32</v>
      </c>
      <c r="H118" s="55" t="n">
        <v>12.11</v>
      </c>
      <c r="I118" s="55"/>
      <c r="J118" s="55" t="n">
        <v>59.75</v>
      </c>
      <c r="K118" s="55" t="n">
        <v>12.53</v>
      </c>
      <c r="L118" s="55"/>
      <c r="M118" s="55" t="n">
        <f aca="false">'4.1.1'!G134/1.05</f>
        <v>11.4285714285714</v>
      </c>
      <c r="N118" s="55" t="n">
        <f aca="false">M118-0</f>
        <v>11.4285714285714</v>
      </c>
      <c r="O118" s="55"/>
      <c r="P118" s="55" t="n">
        <f aca="false">'4.1.1'!H134/1.05</f>
        <v>12.0380952380952</v>
      </c>
      <c r="Q118" s="55" t="n">
        <f aca="false">P118-3.03</f>
        <v>9.00809523809524</v>
      </c>
      <c r="R118" s="55"/>
      <c r="S118" s="84"/>
      <c r="T118" s="85"/>
      <c r="U118" s="85"/>
      <c r="V118" s="85"/>
      <c r="W118" s="85"/>
    </row>
    <row r="119" customFormat="false" ht="14.25" hidden="false" customHeight="true" outlineLevel="0" collapsed="false">
      <c r="A119" s="85" t="n">
        <v>1999</v>
      </c>
      <c r="B119" s="56" t="n">
        <v>36281</v>
      </c>
      <c r="C119" s="56"/>
      <c r="D119" s="55" t="n">
        <v>66.05</v>
      </c>
      <c r="E119" s="55" t="n">
        <v>13.17</v>
      </c>
      <c r="F119" s="55"/>
      <c r="G119" s="55" t="n">
        <v>62.2</v>
      </c>
      <c r="H119" s="55" t="n">
        <v>11.99</v>
      </c>
      <c r="I119" s="55"/>
      <c r="J119" s="55" t="n">
        <v>59.61</v>
      </c>
      <c r="K119" s="55" t="n">
        <v>12.4</v>
      </c>
      <c r="L119" s="55"/>
      <c r="M119" s="55" t="n">
        <f aca="false">'4.1.1'!G135/1.05</f>
        <v>11.3238095238095</v>
      </c>
      <c r="N119" s="55" t="n">
        <f aca="false">M119-0</f>
        <v>11.3238095238095</v>
      </c>
      <c r="O119" s="55"/>
      <c r="P119" s="55" t="n">
        <f aca="false">'4.1.1'!H135/1.05</f>
        <v>12.2857142857143</v>
      </c>
      <c r="Q119" s="55" t="n">
        <f aca="false">P119-3.03</f>
        <v>9.25571428571429</v>
      </c>
      <c r="R119" s="55"/>
      <c r="S119" s="84"/>
      <c r="T119" s="85"/>
      <c r="U119" s="85"/>
      <c r="V119" s="85"/>
      <c r="W119" s="85"/>
    </row>
    <row r="120" customFormat="false" ht="14.25" hidden="false" customHeight="true" outlineLevel="0" collapsed="false">
      <c r="A120" s="85" t="n">
        <v>1999</v>
      </c>
      <c r="B120" s="56" t="n">
        <v>36312</v>
      </c>
      <c r="C120" s="56"/>
      <c r="D120" s="55" t="n">
        <v>65.8</v>
      </c>
      <c r="E120" s="55" t="n">
        <v>12.92</v>
      </c>
      <c r="F120" s="55" t="n">
        <f aca="false">SUM(E118:E120)/3</f>
        <v>13.1466666666667</v>
      </c>
      <c r="G120" s="55" t="n">
        <v>61.94</v>
      </c>
      <c r="H120" s="55" t="n">
        <v>11.73</v>
      </c>
      <c r="I120" s="55" t="n">
        <f aca="false">SUM(H118:H120)/3</f>
        <v>11.9433333333333</v>
      </c>
      <c r="J120" s="55" t="n">
        <v>59.4</v>
      </c>
      <c r="K120" s="55" t="n">
        <v>12.19</v>
      </c>
      <c r="L120" s="55" t="n">
        <f aca="false">SUM(K118:K120)/3</f>
        <v>12.3733333333333</v>
      </c>
      <c r="M120" s="55" t="n">
        <f aca="false">'4.1.1'!G136/1.05</f>
        <v>10.9904761904762</v>
      </c>
      <c r="N120" s="55" t="n">
        <f aca="false">M120-0</f>
        <v>10.9904761904762</v>
      </c>
      <c r="O120" s="55" t="n">
        <f aca="false">SUM(N118:N120)/3</f>
        <v>11.247619047619</v>
      </c>
      <c r="P120" s="55" t="n">
        <f aca="false">'4.1.1'!H136/1.05</f>
        <v>12.1809523809524</v>
      </c>
      <c r="Q120" s="55" t="n">
        <f aca="false">P120-3.03</f>
        <v>9.15095238095238</v>
      </c>
      <c r="R120" s="55" t="n">
        <f aca="false">SUM(Q118:Q120)/3</f>
        <v>9.13825396825397</v>
      </c>
      <c r="S120" s="84"/>
      <c r="T120" s="85"/>
      <c r="U120" s="85"/>
      <c r="V120" s="85"/>
      <c r="W120" s="85"/>
    </row>
    <row r="121" customFormat="false" ht="14.25" hidden="false" customHeight="true" outlineLevel="0" collapsed="false">
      <c r="A121" s="85" t="n">
        <v>1999</v>
      </c>
      <c r="B121" s="56" t="n">
        <v>36342</v>
      </c>
      <c r="C121" s="56"/>
      <c r="D121" s="55" t="n">
        <v>66.6</v>
      </c>
      <c r="E121" s="55" t="n">
        <v>13.72</v>
      </c>
      <c r="F121" s="55"/>
      <c r="G121" s="55" t="n">
        <v>62.82</v>
      </c>
      <c r="H121" s="55" t="n">
        <v>15.61</v>
      </c>
      <c r="I121" s="55"/>
      <c r="J121" s="55" t="n">
        <v>60.41</v>
      </c>
      <c r="K121" s="55" t="n">
        <v>13.2</v>
      </c>
      <c r="L121" s="55"/>
      <c r="M121" s="55" t="n">
        <f aca="false">'4.1.1'!G137/1.05</f>
        <v>12.1333333333333</v>
      </c>
      <c r="N121" s="55" t="n">
        <f aca="false">M121-0</f>
        <v>12.1333333333333</v>
      </c>
      <c r="O121" s="55"/>
      <c r="P121" s="55" t="n">
        <f aca="false">'4.1.1'!H137/1.05</f>
        <v>13.2952380952381</v>
      </c>
      <c r="Q121" s="55" t="n">
        <f aca="false">P121-3.03</f>
        <v>10.2652380952381</v>
      </c>
      <c r="R121" s="55"/>
      <c r="S121" s="84"/>
      <c r="T121" s="85"/>
      <c r="U121" s="85"/>
      <c r="V121" s="85"/>
      <c r="W121" s="85"/>
    </row>
    <row r="122" customFormat="false" ht="14.25" hidden="false" customHeight="true" outlineLevel="0" collapsed="false">
      <c r="A122" s="85" t="n">
        <v>1999</v>
      </c>
      <c r="B122" s="56" t="n">
        <v>36373</v>
      </c>
      <c r="C122" s="56"/>
      <c r="D122" s="55" t="n">
        <v>67.88</v>
      </c>
      <c r="E122" s="55" t="n">
        <v>15</v>
      </c>
      <c r="F122" s="55"/>
      <c r="G122" s="55" t="n">
        <v>64.01</v>
      </c>
      <c r="H122" s="55" t="n">
        <v>16.8</v>
      </c>
      <c r="I122" s="55"/>
      <c r="J122" s="55" t="n">
        <v>62.02</v>
      </c>
      <c r="K122" s="55" t="n">
        <v>14.81</v>
      </c>
      <c r="L122" s="55"/>
      <c r="M122" s="55" t="n">
        <f aca="false">'4.1.1'!G138/1.05</f>
        <v>12.6761904761905</v>
      </c>
      <c r="N122" s="55" t="n">
        <f aca="false">M122-0</f>
        <v>12.6761904761905</v>
      </c>
      <c r="O122" s="55"/>
      <c r="P122" s="55" t="n">
        <f aca="false">'4.1.1'!H138/1.05</f>
        <v>13.7904761904762</v>
      </c>
      <c r="Q122" s="55" t="n">
        <f aca="false">P122-3.03</f>
        <v>10.7604761904762</v>
      </c>
      <c r="R122" s="55"/>
      <c r="S122" s="84"/>
      <c r="T122" s="85"/>
      <c r="U122" s="85"/>
      <c r="V122" s="85"/>
      <c r="W122" s="85"/>
    </row>
    <row r="123" customFormat="false" ht="14.25" hidden="false" customHeight="true" outlineLevel="0" collapsed="false">
      <c r="A123" s="85" t="n">
        <v>1999</v>
      </c>
      <c r="B123" s="56" t="n">
        <v>36404</v>
      </c>
      <c r="C123" s="56"/>
      <c r="D123" s="55" t="n">
        <v>68.13</v>
      </c>
      <c r="E123" s="55" t="n">
        <v>15.25</v>
      </c>
      <c r="F123" s="55" t="n">
        <f aca="false">SUM(E121:E123)/3</f>
        <v>14.6566666666667</v>
      </c>
      <c r="G123" s="55" t="n">
        <v>63.8</v>
      </c>
      <c r="H123" s="55" t="n">
        <v>16.59</v>
      </c>
      <c r="I123" s="55" t="n">
        <f aca="false">SUM(H121:H123)/3</f>
        <v>16.3333333333333</v>
      </c>
      <c r="J123" s="55" t="n">
        <v>62.14</v>
      </c>
      <c r="K123" s="55" t="n">
        <v>14.94</v>
      </c>
      <c r="L123" s="55" t="n">
        <f aca="false">SUM(K121:K123)/3</f>
        <v>14.3166666666667</v>
      </c>
      <c r="M123" s="55" t="n">
        <f aca="false">'4.1.1'!G139/1.05</f>
        <v>13.6285714285714</v>
      </c>
      <c r="N123" s="55" t="n">
        <f aca="false">M123-0</f>
        <v>13.6285714285714</v>
      </c>
      <c r="O123" s="55" t="n">
        <f aca="false">SUM(N121:N123)/3</f>
        <v>12.8126984126984</v>
      </c>
      <c r="P123" s="55" t="n">
        <f aca="false">'4.1.1'!H139/1.05</f>
        <v>14.7142857142857</v>
      </c>
      <c r="Q123" s="55" t="n">
        <f aca="false">P123-3.03</f>
        <v>11.6842857142857</v>
      </c>
      <c r="R123" s="55" t="n">
        <f aca="false">SUM(Q121:Q123)/3</f>
        <v>10.9033333333333</v>
      </c>
      <c r="S123" s="84"/>
      <c r="T123" s="85"/>
      <c r="U123" s="85"/>
      <c r="V123" s="85"/>
      <c r="W123" s="85"/>
    </row>
    <row r="124" customFormat="false" ht="14.25" hidden="false" customHeight="true" outlineLevel="0" collapsed="false">
      <c r="A124" s="85" t="n">
        <v>1999</v>
      </c>
      <c r="B124" s="56" t="n">
        <v>36434</v>
      </c>
      <c r="C124" s="56"/>
      <c r="D124" s="55" t="n">
        <v>68.93</v>
      </c>
      <c r="E124" s="55" t="n">
        <v>19.72</v>
      </c>
      <c r="F124" s="55"/>
      <c r="G124" s="55" t="n">
        <v>64.52</v>
      </c>
      <c r="H124" s="55" t="n">
        <v>17.31</v>
      </c>
      <c r="I124" s="55"/>
      <c r="J124" s="55" t="n">
        <v>62.85</v>
      </c>
      <c r="K124" s="55" t="n">
        <v>15.64</v>
      </c>
      <c r="L124" s="55"/>
      <c r="M124" s="55" t="n">
        <f aca="false">'4.1.1'!G140/1.05</f>
        <v>13.5904761904762</v>
      </c>
      <c r="N124" s="55" t="n">
        <f aca="false">M124-0</f>
        <v>13.5904761904762</v>
      </c>
      <c r="O124" s="55"/>
      <c r="P124" s="55" t="n">
        <f aca="false">'4.1.1'!H140/1.05</f>
        <v>14.9904761904762</v>
      </c>
      <c r="Q124" s="55" t="n">
        <f aca="false">P124-3.03</f>
        <v>11.9604761904762</v>
      </c>
      <c r="R124" s="55"/>
      <c r="S124" s="84"/>
      <c r="T124" s="85"/>
      <c r="U124" s="85"/>
      <c r="V124" s="85"/>
      <c r="W124" s="85"/>
    </row>
    <row r="125" customFormat="false" ht="14.25" hidden="false" customHeight="true" outlineLevel="0" collapsed="false">
      <c r="A125" s="85" t="n">
        <v>1999</v>
      </c>
      <c r="B125" s="56" t="n">
        <v>36465</v>
      </c>
      <c r="C125" s="56"/>
      <c r="D125" s="55" t="n">
        <v>68.38</v>
      </c>
      <c r="E125" s="55" t="n">
        <v>19.17</v>
      </c>
      <c r="F125" s="55"/>
      <c r="G125" s="55" t="n">
        <v>64.02</v>
      </c>
      <c r="H125" s="55" t="n">
        <v>16.82</v>
      </c>
      <c r="I125" s="55"/>
      <c r="J125" s="55" t="n">
        <v>62.43</v>
      </c>
      <c r="K125" s="55" t="n">
        <v>15.23</v>
      </c>
      <c r="L125" s="55"/>
      <c r="M125" s="55" t="n">
        <f aca="false">'4.1.1'!G141/1.05</f>
        <v>14.2380952380952</v>
      </c>
      <c r="N125" s="55" t="n">
        <f aca="false">M125-0</f>
        <v>14.2380952380952</v>
      </c>
      <c r="O125" s="55"/>
      <c r="P125" s="55" t="n">
        <f aca="false">'4.1.1'!H141/1.05</f>
        <v>15.4952380952381</v>
      </c>
      <c r="Q125" s="55" t="n">
        <f aca="false">P125-3.03</f>
        <v>12.4652380952381</v>
      </c>
      <c r="R125" s="55"/>
      <c r="S125" s="84"/>
      <c r="T125" s="85"/>
      <c r="U125" s="85"/>
      <c r="V125" s="85"/>
      <c r="W125" s="85"/>
    </row>
    <row r="126" customFormat="false" ht="14.25" hidden="false" customHeight="true" outlineLevel="0" collapsed="false">
      <c r="A126" s="85" t="n">
        <v>1999</v>
      </c>
      <c r="B126" s="56" t="n">
        <v>36495</v>
      </c>
      <c r="C126" s="56"/>
      <c r="D126" s="55" t="n">
        <v>68.95</v>
      </c>
      <c r="E126" s="55" t="n">
        <v>19.74</v>
      </c>
      <c r="F126" s="55" t="n">
        <f aca="false">SUM(E124:E126)/3</f>
        <v>19.5433333333333</v>
      </c>
      <c r="G126" s="55" t="n">
        <v>66.08</v>
      </c>
      <c r="H126" s="55" t="n">
        <v>18.88</v>
      </c>
      <c r="I126" s="55" t="n">
        <f aca="false">SUM(H124:H126)/3</f>
        <v>17.67</v>
      </c>
      <c r="J126" s="55" t="n">
        <v>64.19</v>
      </c>
      <c r="K126" s="55" t="n">
        <v>16.98</v>
      </c>
      <c r="L126" s="55" t="n">
        <f aca="false">SUM(K124:K126)/3</f>
        <v>15.95</v>
      </c>
      <c r="M126" s="55" t="n">
        <f aca="false">'4.1.1'!G142/1.05</f>
        <v>16.2952380952381</v>
      </c>
      <c r="N126" s="55" t="n">
        <f aca="false">M126-0</f>
        <v>16.2952380952381</v>
      </c>
      <c r="O126" s="55" t="n">
        <f aca="false">SUM(N124:N126)/3</f>
        <v>14.7079365079365</v>
      </c>
      <c r="P126" s="55" t="n">
        <f aca="false">'4.1.1'!H142/1.05</f>
        <v>16.8857142857143</v>
      </c>
      <c r="Q126" s="55" t="n">
        <f aca="false">P126-3.03</f>
        <v>13.8557142857143</v>
      </c>
      <c r="R126" s="55" t="n">
        <f aca="false">SUM(Q124:Q126)/3</f>
        <v>12.7604761904762</v>
      </c>
      <c r="S126" s="84"/>
      <c r="T126" s="85"/>
      <c r="U126" s="85"/>
      <c r="V126" s="85"/>
      <c r="W126" s="85"/>
    </row>
    <row r="127" customFormat="false" ht="14.25" hidden="false" customHeight="true" outlineLevel="0" collapsed="false">
      <c r="A127" s="85" t="n">
        <v>2000</v>
      </c>
      <c r="B127" s="56" t="n">
        <v>36526</v>
      </c>
      <c r="C127" s="56"/>
      <c r="D127" s="55" t="n">
        <v>68.8</v>
      </c>
      <c r="E127" s="55" t="n">
        <v>19.59</v>
      </c>
      <c r="F127" s="55"/>
      <c r="G127" s="55" t="n">
        <v>66.17</v>
      </c>
      <c r="H127" s="55" t="n">
        <v>18.96</v>
      </c>
      <c r="I127" s="55"/>
      <c r="J127" s="55" t="n">
        <v>64.15</v>
      </c>
      <c r="K127" s="55" t="n">
        <v>16.94</v>
      </c>
      <c r="L127" s="55"/>
      <c r="M127" s="55" t="n">
        <f aca="false">'4.1.1'!G143/1.05</f>
        <v>16.9904761904762</v>
      </c>
      <c r="N127" s="55" t="n">
        <f aca="false">M127-0</f>
        <v>16.9904761904762</v>
      </c>
      <c r="O127" s="55"/>
      <c r="P127" s="55" t="n">
        <f aca="false">'4.1.1'!H143/1.05</f>
        <v>17.2857142857143</v>
      </c>
      <c r="Q127" s="55" t="n">
        <f aca="false">P127-3.03</f>
        <v>14.2557142857143</v>
      </c>
      <c r="R127" s="55"/>
      <c r="S127" s="84"/>
      <c r="T127" s="85"/>
      <c r="U127" s="85"/>
      <c r="V127" s="85"/>
      <c r="W127" s="85"/>
    </row>
    <row r="128" customFormat="false" ht="14.25" hidden="false" customHeight="true" outlineLevel="0" collapsed="false">
      <c r="A128" s="85" t="n">
        <v>2000</v>
      </c>
      <c r="B128" s="56" t="n">
        <v>36557</v>
      </c>
      <c r="C128" s="56"/>
      <c r="D128" s="55" t="n">
        <v>68.72</v>
      </c>
      <c r="E128" s="55" t="n">
        <v>19.51</v>
      </c>
      <c r="F128" s="55"/>
      <c r="G128" s="55" t="n">
        <v>66.11</v>
      </c>
      <c r="H128" s="55" t="n">
        <v>18.9</v>
      </c>
      <c r="I128" s="55"/>
      <c r="J128" s="55" t="n">
        <v>63.95</v>
      </c>
      <c r="K128" s="55" t="n">
        <v>16.74</v>
      </c>
      <c r="L128" s="55"/>
      <c r="M128" s="55" t="n">
        <f aca="false">'4.1.1'!G144/1.05</f>
        <v>17.0666666666667</v>
      </c>
      <c r="N128" s="55" t="n">
        <f aca="false">M128-0</f>
        <v>17.0666666666667</v>
      </c>
      <c r="O128" s="55"/>
      <c r="P128" s="55" t="n">
        <f aca="false">'4.1.1'!H144/1.05</f>
        <v>17.6190476190476</v>
      </c>
      <c r="Q128" s="55" t="n">
        <f aca="false">P128-3.03</f>
        <v>14.5890476190476</v>
      </c>
      <c r="R128" s="55"/>
      <c r="S128" s="84"/>
      <c r="T128" s="85"/>
      <c r="U128" s="85"/>
      <c r="V128" s="85"/>
      <c r="W128" s="85"/>
    </row>
    <row r="129" customFormat="false" ht="14.25" hidden="false" customHeight="true" outlineLevel="0" collapsed="false">
      <c r="A129" s="85" t="n">
        <v>2000</v>
      </c>
      <c r="B129" s="56" t="n">
        <v>36586</v>
      </c>
      <c r="C129" s="56"/>
      <c r="D129" s="55" t="n">
        <v>70.63</v>
      </c>
      <c r="E129" s="55" t="n">
        <v>21.42</v>
      </c>
      <c r="F129" s="55" t="n">
        <f aca="false">SUM(E127:E129)/3</f>
        <v>20.1733333333333</v>
      </c>
      <c r="G129" s="55" t="n">
        <v>67.93</v>
      </c>
      <c r="H129" s="55" t="n">
        <v>20.72</v>
      </c>
      <c r="I129" s="55" t="n">
        <f aca="false">SUM(H127:H129)/3</f>
        <v>19.5266666666667</v>
      </c>
      <c r="J129" s="55" t="n">
        <v>66.66</v>
      </c>
      <c r="K129" s="55" t="n">
        <v>19.45</v>
      </c>
      <c r="L129" s="55" t="n">
        <f aca="false">SUM(K127:K129)/3</f>
        <v>17.71</v>
      </c>
      <c r="M129" s="55" t="n">
        <f aca="false">'4.1.1'!G145/1.05</f>
        <v>17.7428571428571</v>
      </c>
      <c r="N129" s="55" t="n">
        <f aca="false">M129-0</f>
        <v>17.7428571428571</v>
      </c>
      <c r="O129" s="55" t="n">
        <f aca="false">SUM(N127:N129)/3</f>
        <v>17.2666666666667</v>
      </c>
      <c r="P129" s="55" t="n">
        <f aca="false">'4.1.1'!H145/1.05</f>
        <v>18.152380952381</v>
      </c>
      <c r="Q129" s="55" t="n">
        <f aca="false">P129-3.03</f>
        <v>15.122380952381</v>
      </c>
      <c r="R129" s="55" t="n">
        <f aca="false">SUM(Q127:Q129)/3</f>
        <v>14.6557142857143</v>
      </c>
      <c r="S129" s="84"/>
      <c r="T129" s="85"/>
      <c r="U129" s="85"/>
      <c r="V129" s="85"/>
      <c r="W129" s="85"/>
    </row>
    <row r="130" customFormat="false" ht="14.25" hidden="false" customHeight="true" outlineLevel="0" collapsed="false">
      <c r="A130" s="85" t="n">
        <v>2000</v>
      </c>
      <c r="B130" s="56" t="n">
        <v>36617</v>
      </c>
      <c r="C130" s="56"/>
      <c r="D130" s="55" t="n">
        <v>71.87</v>
      </c>
      <c r="E130" s="55" t="n">
        <v>20.98</v>
      </c>
      <c r="F130" s="55"/>
      <c r="G130" s="55" t="n">
        <v>69</v>
      </c>
      <c r="H130" s="55" t="n">
        <v>20.18</v>
      </c>
      <c r="I130" s="55"/>
      <c r="J130" s="55" t="n">
        <v>68.05</v>
      </c>
      <c r="K130" s="55" t="n">
        <v>19.23</v>
      </c>
      <c r="L130" s="55"/>
      <c r="M130" s="55" t="n">
        <f aca="false">'4.1.1'!G146/1.05</f>
        <v>17.4571428571429</v>
      </c>
      <c r="N130" s="55" t="n">
        <f aca="false">M130-0</f>
        <v>17.4571428571429</v>
      </c>
      <c r="O130" s="55"/>
      <c r="P130" s="55" t="n">
        <f aca="false">'4.1.1'!H146/1.05</f>
        <v>17.7238095238095</v>
      </c>
      <c r="Q130" s="55" t="n">
        <f aca="false">P130-3.13</f>
        <v>14.5938095238095</v>
      </c>
      <c r="R130" s="55"/>
      <c r="S130" s="84"/>
      <c r="T130" s="85"/>
      <c r="U130" s="85"/>
      <c r="V130" s="85"/>
      <c r="W130" s="85"/>
    </row>
    <row r="131" customFormat="false" ht="14.25" hidden="false" customHeight="true" outlineLevel="0" collapsed="false">
      <c r="A131" s="85" t="n">
        <v>2000</v>
      </c>
      <c r="B131" s="56" t="n">
        <v>36647</v>
      </c>
      <c r="C131" s="56"/>
      <c r="D131" s="55" t="n">
        <v>71.52</v>
      </c>
      <c r="E131" s="55" t="n">
        <v>20.63</v>
      </c>
      <c r="F131" s="55"/>
      <c r="G131" s="55" t="n">
        <v>68.56</v>
      </c>
      <c r="H131" s="55" t="n">
        <v>19.74</v>
      </c>
      <c r="I131" s="55"/>
      <c r="J131" s="55" t="n">
        <v>67.69</v>
      </c>
      <c r="K131" s="55" t="n">
        <v>18.87</v>
      </c>
      <c r="L131" s="55"/>
      <c r="M131" s="55" t="n">
        <f aca="false">'4.1.1'!G147/1.05</f>
        <v>16.952380952381</v>
      </c>
      <c r="N131" s="55" t="n">
        <f aca="false">M131-0</f>
        <v>16.952380952381</v>
      </c>
      <c r="O131" s="55"/>
      <c r="P131" s="55" t="n">
        <f aca="false">'4.1.1'!H147/1.05</f>
        <v>18.2571428571429</v>
      </c>
      <c r="Q131" s="55" t="n">
        <f aca="false">P131-3.13</f>
        <v>15.1271428571429</v>
      </c>
      <c r="R131" s="55"/>
      <c r="S131" s="84"/>
      <c r="T131" s="85"/>
      <c r="U131" s="85"/>
      <c r="V131" s="85"/>
      <c r="W131" s="85"/>
    </row>
    <row r="132" customFormat="false" ht="14.25" hidden="false" customHeight="true" outlineLevel="0" collapsed="false">
      <c r="A132" s="85" t="n">
        <v>2000</v>
      </c>
      <c r="B132" s="56" t="n">
        <v>36678</v>
      </c>
      <c r="C132" s="56"/>
      <c r="D132" s="55" t="n">
        <v>75.18</v>
      </c>
      <c r="E132" s="55" t="n">
        <v>24.3</v>
      </c>
      <c r="F132" s="55" t="n">
        <f aca="false">SUM(E130:E132)/3</f>
        <v>21.97</v>
      </c>
      <c r="G132" s="55" t="n">
        <v>70.57</v>
      </c>
      <c r="H132" s="55" t="n">
        <v>21.75</v>
      </c>
      <c r="I132" s="55" t="n">
        <f aca="false">SUM(H130:H132)/3</f>
        <v>20.5566666666667</v>
      </c>
      <c r="J132" s="55" t="n">
        <v>71.73</v>
      </c>
      <c r="K132" s="55" t="n">
        <v>22.91</v>
      </c>
      <c r="L132" s="55" t="n">
        <f aca="false">SUM(K130:K132)/3</f>
        <v>20.3366666666667</v>
      </c>
      <c r="M132" s="55" t="n">
        <f aca="false">'4.1.1'!G148/1.05</f>
        <v>18.0571428571429</v>
      </c>
      <c r="N132" s="55" t="n">
        <f aca="false">M132-0</f>
        <v>18.0571428571429</v>
      </c>
      <c r="O132" s="55" t="n">
        <f aca="false">SUM(N130:N132)/3</f>
        <v>17.4888888888889</v>
      </c>
      <c r="P132" s="55" t="n">
        <f aca="false">'4.1.1'!H148/1.05</f>
        <v>19.0380952380952</v>
      </c>
      <c r="Q132" s="55" t="n">
        <f aca="false">P132-3.13</f>
        <v>15.9080952380952</v>
      </c>
      <c r="R132" s="55" t="n">
        <f aca="false">SUM(Q130:Q132)/3</f>
        <v>15.2096825396825</v>
      </c>
      <c r="S132" s="84"/>
      <c r="T132" s="85"/>
      <c r="U132" s="85"/>
      <c r="V132" s="85"/>
      <c r="W132" s="85"/>
    </row>
    <row r="133" customFormat="false" ht="14.25" hidden="false" customHeight="true" outlineLevel="0" collapsed="false">
      <c r="A133" s="85" t="n">
        <v>2000</v>
      </c>
      <c r="B133" s="56" t="n">
        <v>36708</v>
      </c>
      <c r="C133" s="56"/>
      <c r="D133" s="55" t="n">
        <v>75.54</v>
      </c>
      <c r="E133" s="55" t="n">
        <v>24.65</v>
      </c>
      <c r="F133" s="55"/>
      <c r="G133" s="55" t="n">
        <v>70.79</v>
      </c>
      <c r="H133" s="55" t="n">
        <v>21.97</v>
      </c>
      <c r="I133" s="55"/>
      <c r="J133" s="55" t="n">
        <v>72.04</v>
      </c>
      <c r="K133" s="55" t="n">
        <v>23.22</v>
      </c>
      <c r="L133" s="55"/>
      <c r="M133" s="55" t="n">
        <f aca="false">'4.1.1'!G149/1.05</f>
        <v>18.9142857142857</v>
      </c>
      <c r="N133" s="55" t="n">
        <f aca="false">M133-0</f>
        <v>18.9142857142857</v>
      </c>
      <c r="O133" s="55"/>
      <c r="P133" s="55" t="n">
        <f aca="false">'4.1.1'!H149/1.05</f>
        <v>19.8190476190476</v>
      </c>
      <c r="Q133" s="55" t="n">
        <f aca="false">P133-3.13</f>
        <v>16.6890476190476</v>
      </c>
      <c r="R133" s="55"/>
      <c r="S133" s="84"/>
      <c r="T133" s="85"/>
      <c r="U133" s="85"/>
      <c r="V133" s="85"/>
      <c r="W133" s="85"/>
    </row>
    <row r="134" customFormat="false" ht="14.25" hidden="false" customHeight="true" outlineLevel="0" collapsed="false">
      <c r="A134" s="85" t="n">
        <v>2000</v>
      </c>
      <c r="B134" s="56" t="n">
        <v>36739</v>
      </c>
      <c r="C134" s="56"/>
      <c r="D134" s="55" t="n">
        <v>73.07</v>
      </c>
      <c r="E134" s="55" t="n">
        <v>22.19</v>
      </c>
      <c r="F134" s="55"/>
      <c r="G134" s="55" t="n">
        <v>68.68</v>
      </c>
      <c r="H134" s="55" t="n">
        <v>19.86</v>
      </c>
      <c r="I134" s="55"/>
      <c r="J134" s="55" t="n">
        <v>68.38</v>
      </c>
      <c r="K134" s="55" t="n">
        <v>19.55</v>
      </c>
      <c r="L134" s="55"/>
      <c r="M134" s="55" t="n">
        <f aca="false">'4.1.1'!G150/1.05</f>
        <v>19.8380952380952</v>
      </c>
      <c r="N134" s="55" t="n">
        <f aca="false">M134-0</f>
        <v>19.8380952380952</v>
      </c>
      <c r="O134" s="55"/>
      <c r="P134" s="55" t="n">
        <f aca="false">'4.1.1'!H150/1.05</f>
        <v>20.7333333333333</v>
      </c>
      <c r="Q134" s="55" t="n">
        <f aca="false">P134-3.13</f>
        <v>17.6033333333333</v>
      </c>
      <c r="R134" s="55"/>
      <c r="S134" s="84"/>
      <c r="T134" s="85"/>
      <c r="U134" s="85"/>
      <c r="V134" s="85"/>
      <c r="W134" s="85"/>
    </row>
    <row r="135" customFormat="false" ht="14.25" hidden="false" customHeight="true" outlineLevel="0" collapsed="false">
      <c r="A135" s="85" t="n">
        <v>2000</v>
      </c>
      <c r="B135" s="56" t="n">
        <v>36770</v>
      </c>
      <c r="C135" s="56"/>
      <c r="D135" s="55" t="n">
        <v>72.94</v>
      </c>
      <c r="E135" s="55" t="n">
        <v>22.05</v>
      </c>
      <c r="F135" s="55" t="n">
        <f aca="false">SUM(E133:E135)/3</f>
        <v>22.9633333333333</v>
      </c>
      <c r="G135" s="55" t="n">
        <v>70.05</v>
      </c>
      <c r="H135" s="55" t="n">
        <v>21.23</v>
      </c>
      <c r="I135" s="55" t="n">
        <f aca="false">SUM(H133:H135)/3</f>
        <v>21.02</v>
      </c>
      <c r="J135" s="55" t="n">
        <v>68.27</v>
      </c>
      <c r="K135" s="55" t="n">
        <v>19.41</v>
      </c>
      <c r="L135" s="55" t="n">
        <f aca="false">SUM(K133:K135)/3</f>
        <v>20.7266666666667</v>
      </c>
      <c r="M135" s="55" t="n">
        <f aca="false">'4.1.1'!G151/1.05</f>
        <v>23.5904761904762</v>
      </c>
      <c r="N135" s="55" t="n">
        <f aca="false">M135-0</f>
        <v>23.5904761904762</v>
      </c>
      <c r="O135" s="55" t="n">
        <f aca="false">SUM(N133:N135)/3</f>
        <v>20.7809523809524</v>
      </c>
      <c r="P135" s="55" t="n">
        <f aca="false">'4.1.1'!H151/1.05</f>
        <v>25.1428571428571</v>
      </c>
      <c r="Q135" s="55" t="n">
        <f aca="false">P135-3.13</f>
        <v>22.0128571428571</v>
      </c>
      <c r="R135" s="55" t="n">
        <f aca="false">SUM(Q133:Q135)/3</f>
        <v>18.7684126984127</v>
      </c>
      <c r="S135" s="84"/>
      <c r="T135" s="85"/>
      <c r="U135" s="85"/>
      <c r="V135" s="85"/>
      <c r="W135" s="85"/>
    </row>
    <row r="136" customFormat="false" ht="14.25" hidden="false" customHeight="true" outlineLevel="0" collapsed="false">
      <c r="A136" s="85" t="n">
        <v>2000</v>
      </c>
      <c r="B136" s="56" t="n">
        <v>36800</v>
      </c>
      <c r="C136" s="56"/>
      <c r="D136" s="55" t="n">
        <v>72.4</v>
      </c>
      <c r="E136" s="55" t="n">
        <v>21.51</v>
      </c>
      <c r="F136" s="55"/>
      <c r="G136" s="55" t="n">
        <v>69.23</v>
      </c>
      <c r="H136" s="55" t="n">
        <v>20.42</v>
      </c>
      <c r="I136" s="55"/>
      <c r="J136" s="55" t="n">
        <v>67.62</v>
      </c>
      <c r="K136" s="55" t="n">
        <v>18.81</v>
      </c>
      <c r="L136" s="55"/>
      <c r="M136" s="55" t="n">
        <f aca="false">'4.1.1'!G152/1.05</f>
        <v>23.8</v>
      </c>
      <c r="N136" s="55" t="n">
        <f aca="false">M136-0</f>
        <v>23.8</v>
      </c>
      <c r="O136" s="55"/>
      <c r="P136" s="55" t="n">
        <f aca="false">'4.1.1'!H152/1.05</f>
        <v>24.8857142857143</v>
      </c>
      <c r="Q136" s="55" t="n">
        <f aca="false">P136-3.13</f>
        <v>21.7557142857143</v>
      </c>
      <c r="R136" s="55"/>
      <c r="S136" s="84"/>
      <c r="T136" s="85"/>
      <c r="U136" s="85"/>
      <c r="V136" s="85"/>
      <c r="W136" s="85"/>
    </row>
    <row r="137" customFormat="false" ht="14.25" hidden="false" customHeight="true" outlineLevel="0" collapsed="false">
      <c r="A137" s="85" t="n">
        <v>2000</v>
      </c>
      <c r="B137" s="56" t="n">
        <v>36831</v>
      </c>
      <c r="C137" s="56"/>
      <c r="D137" s="55" t="n">
        <v>73.97</v>
      </c>
      <c r="E137" s="55" t="n">
        <v>23.08</v>
      </c>
      <c r="F137" s="55"/>
      <c r="G137" s="55" t="n">
        <v>71.68</v>
      </c>
      <c r="H137" s="55" t="n">
        <v>22.85</v>
      </c>
      <c r="I137" s="55"/>
      <c r="J137" s="55" t="n">
        <v>69.83</v>
      </c>
      <c r="K137" s="55" t="n">
        <v>21.01</v>
      </c>
      <c r="L137" s="55"/>
      <c r="M137" s="55" t="n">
        <f aca="false">'4.1.1'!G153/1.05</f>
        <v>23.3714285714286</v>
      </c>
      <c r="N137" s="55" t="n">
        <f aca="false">M137-0</f>
        <v>23.3714285714286</v>
      </c>
      <c r="O137" s="55"/>
      <c r="P137" s="55" t="n">
        <f aca="false">'4.1.1'!H153/1.05</f>
        <v>24.5047619047619</v>
      </c>
      <c r="Q137" s="55" t="n">
        <f aca="false">P137-3.13</f>
        <v>21.3747619047619</v>
      </c>
      <c r="R137" s="55"/>
      <c r="S137" s="84"/>
      <c r="T137" s="85"/>
      <c r="U137" s="85"/>
      <c r="V137" s="85"/>
      <c r="W137" s="85"/>
    </row>
    <row r="138" customFormat="false" ht="14.25" hidden="false" customHeight="true" outlineLevel="0" collapsed="false">
      <c r="A138" s="85" t="n">
        <v>2000</v>
      </c>
      <c r="B138" s="56" t="n">
        <v>36861</v>
      </c>
      <c r="C138" s="56"/>
      <c r="D138" s="55" t="n">
        <v>72.33</v>
      </c>
      <c r="E138" s="55" t="n">
        <v>21.44</v>
      </c>
      <c r="F138" s="55" t="n">
        <f aca="false">SUM(E136:E138)/3</f>
        <v>22.01</v>
      </c>
      <c r="G138" s="55" t="n">
        <v>71.97</v>
      </c>
      <c r="H138" s="55" t="n">
        <v>23.15</v>
      </c>
      <c r="I138" s="55" t="n">
        <f aca="false">SUM(H136:H138)/3</f>
        <v>22.14</v>
      </c>
      <c r="J138" s="55" t="n">
        <v>67.94</v>
      </c>
      <c r="K138" s="55" t="n">
        <v>19.12</v>
      </c>
      <c r="L138" s="55" t="n">
        <f aca="false">SUM(K136:K138)/3</f>
        <v>19.6466666666667</v>
      </c>
      <c r="M138" s="55" t="n">
        <f aca="false">'4.1.1'!G154/1.05</f>
        <v>21.3333333333333</v>
      </c>
      <c r="N138" s="55" t="n">
        <f aca="false">M138-0</f>
        <v>21.3333333333333</v>
      </c>
      <c r="O138" s="55" t="n">
        <f aca="false">SUM(N136:N138)/3</f>
        <v>22.8349206349206</v>
      </c>
      <c r="P138" s="55" t="n">
        <f aca="false">'4.1.1'!H154/1.05</f>
        <v>22.6761904761905</v>
      </c>
      <c r="Q138" s="55" t="n">
        <f aca="false">P138-3.13</f>
        <v>19.5461904761905</v>
      </c>
      <c r="R138" s="55" t="n">
        <f aca="false">SUM(Q136:Q138)/3</f>
        <v>20.8922222222222</v>
      </c>
      <c r="S138" s="84"/>
      <c r="T138" s="55" t="n">
        <f aca="false">AVERAGE(G127:G138)</f>
        <v>69.2283333333333</v>
      </c>
      <c r="U138" s="55" t="n">
        <f aca="false">AVERAGE(H127:H138)</f>
        <v>20.8108333333333</v>
      </c>
      <c r="V138" s="55" t="n">
        <f aca="false">AVERAGE(J127:J138)</f>
        <v>68.0258333333334</v>
      </c>
      <c r="W138" s="55" t="n">
        <f aca="false">AVERAGE(K127:K138)</f>
        <v>19.605</v>
      </c>
    </row>
    <row r="139" customFormat="false" ht="14.25" hidden="false" customHeight="true" outlineLevel="0" collapsed="false">
      <c r="A139" s="85" t="n">
        <v>2001</v>
      </c>
      <c r="B139" s="56" t="n">
        <v>36892</v>
      </c>
      <c r="C139" s="56"/>
      <c r="D139" s="55" t="n">
        <v>69.95</v>
      </c>
      <c r="E139" s="55" t="n">
        <v>19.06</v>
      </c>
      <c r="F139" s="55"/>
      <c r="G139" s="55" t="n">
        <v>69.47</v>
      </c>
      <c r="H139" s="55" t="n">
        <v>20.65</v>
      </c>
      <c r="I139" s="55"/>
      <c r="J139" s="55" t="n">
        <v>65.4</v>
      </c>
      <c r="K139" s="55" t="n">
        <v>16.59</v>
      </c>
      <c r="L139" s="55"/>
      <c r="M139" s="55" t="n">
        <f aca="false">'4.1.1'!G155/1.05</f>
        <v>18.9142857142857</v>
      </c>
      <c r="N139" s="55" t="n">
        <f aca="false">M139-0</f>
        <v>18.9142857142857</v>
      </c>
      <c r="O139" s="55"/>
      <c r="P139" s="55" t="n">
        <f aca="false">'4.1.1'!H155/1.05</f>
        <v>19.4857142857143</v>
      </c>
      <c r="Q139" s="55" t="n">
        <f aca="false">P139-3.13</f>
        <v>16.3557142857143</v>
      </c>
      <c r="R139" s="55"/>
      <c r="S139" s="84"/>
      <c r="T139" s="85"/>
      <c r="U139" s="85"/>
      <c r="V139" s="85"/>
      <c r="W139" s="85"/>
    </row>
    <row r="140" customFormat="false" ht="14.25" hidden="false" customHeight="true" outlineLevel="0" collapsed="false">
      <c r="A140" s="85" t="n">
        <v>2001</v>
      </c>
      <c r="B140" s="56" t="n">
        <v>36923</v>
      </c>
      <c r="C140" s="56"/>
      <c r="D140" s="55" t="n">
        <v>69.76</v>
      </c>
      <c r="E140" s="55" t="n">
        <v>18.87</v>
      </c>
      <c r="F140" s="55"/>
      <c r="G140" s="55" t="n">
        <v>69.06</v>
      </c>
      <c r="H140" s="55" t="n">
        <v>20.24</v>
      </c>
      <c r="I140" s="55"/>
      <c r="J140" s="55" t="n">
        <v>65.68</v>
      </c>
      <c r="K140" s="55" t="n">
        <v>16.85</v>
      </c>
      <c r="L140" s="55"/>
      <c r="M140" s="55" t="n">
        <f aca="false">'4.1.1'!G156/1.05</f>
        <v>18.9238095238095</v>
      </c>
      <c r="N140" s="55" t="n">
        <f aca="false">M140-0</f>
        <v>18.9238095238095</v>
      </c>
      <c r="O140" s="55"/>
      <c r="P140" s="55" t="n">
        <f aca="false">'4.1.1'!H156/1.05</f>
        <v>19.7428571428571</v>
      </c>
      <c r="Q140" s="55" t="n">
        <f aca="false">P140-3.13</f>
        <v>16.6128571428571</v>
      </c>
      <c r="R140" s="55"/>
      <c r="S140" s="84"/>
      <c r="T140" s="85"/>
      <c r="U140" s="85"/>
      <c r="V140" s="85"/>
      <c r="W140" s="85"/>
    </row>
    <row r="141" customFormat="false" ht="14.25" hidden="false" customHeight="true" outlineLevel="0" collapsed="false">
      <c r="A141" s="85" t="n">
        <v>2001</v>
      </c>
      <c r="B141" s="56" t="n">
        <v>36951</v>
      </c>
      <c r="C141" s="56"/>
      <c r="D141" s="55" t="n">
        <v>66.2127659574468</v>
      </c>
      <c r="E141" s="55" t="n">
        <v>19.3927659574468</v>
      </c>
      <c r="F141" s="55" t="n">
        <f aca="false">SUM(E139:E141)/3</f>
        <v>19.1075886524823</v>
      </c>
      <c r="G141" s="55" t="n">
        <v>66.1531914893617</v>
      </c>
      <c r="H141" s="55" t="n">
        <v>20.3331914893617</v>
      </c>
      <c r="I141" s="55" t="n">
        <f aca="false">SUM(H139:H141)/3</f>
        <v>20.4077304964539</v>
      </c>
      <c r="J141" s="55" t="n">
        <v>63.72</v>
      </c>
      <c r="K141" s="55" t="n">
        <v>16.9</v>
      </c>
      <c r="L141" s="55" t="n">
        <f aca="false">SUM(K139:K141)/3</f>
        <v>16.78</v>
      </c>
      <c r="M141" s="55" t="n">
        <f aca="false">'4.1.1'!G157/1.05</f>
        <v>18.6095238095238</v>
      </c>
      <c r="N141" s="55" t="n">
        <f aca="false">M141-0</f>
        <v>18.6095238095238</v>
      </c>
      <c r="O141" s="55" t="n">
        <f aca="false">SUM(N139:N141)/3</f>
        <v>18.815873015873</v>
      </c>
      <c r="P141" s="55" t="n">
        <f aca="false">'4.1.1'!H157/1.05</f>
        <v>19.0666666666667</v>
      </c>
      <c r="Q141" s="55" t="n">
        <f aca="false">P141-3.13</f>
        <v>15.9366666666667</v>
      </c>
      <c r="R141" s="55" t="n">
        <f aca="false">SUM(Q139:Q141)/3</f>
        <v>16.301746031746</v>
      </c>
      <c r="S141" s="84"/>
      <c r="T141" s="85"/>
      <c r="U141" s="85"/>
      <c r="V141" s="85"/>
      <c r="W141" s="85"/>
    </row>
    <row r="142" customFormat="false" ht="14.25" hidden="false" customHeight="true" outlineLevel="0" collapsed="false">
      <c r="A142" s="85" t="n">
        <v>2001</v>
      </c>
      <c r="B142" s="56" t="n">
        <v>36982</v>
      </c>
      <c r="C142" s="56"/>
      <c r="D142" s="55" t="n">
        <v>66.5787234042553</v>
      </c>
      <c r="E142" s="55" t="n">
        <v>19.7587234042553</v>
      </c>
      <c r="F142" s="55"/>
      <c r="G142" s="55" t="n">
        <v>65.7957446808511</v>
      </c>
      <c r="H142" s="55" t="n">
        <v>19.9757446808511</v>
      </c>
      <c r="I142" s="55"/>
      <c r="J142" s="55" t="n">
        <f aca="false">'4.1.1'!E158/1.175</f>
        <v>64.5787234042553</v>
      </c>
      <c r="K142" s="55" t="n">
        <f aca="false">J142-45.82</f>
        <v>18.7587234042553</v>
      </c>
      <c r="L142" s="55"/>
      <c r="M142" s="55" t="n">
        <f aca="false">'4.1.1'!G158/1.05</f>
        <v>18.5333333333333</v>
      </c>
      <c r="N142" s="55" t="n">
        <f aca="false">M142-0</f>
        <v>18.5333333333333</v>
      </c>
      <c r="O142" s="55"/>
      <c r="P142" s="55" t="n">
        <f aca="false">'4.1.1'!H158/1.05</f>
        <v>19.3238095238095</v>
      </c>
      <c r="Q142" s="55" t="n">
        <f aca="false">P142-3.13</f>
        <v>16.1938095238095</v>
      </c>
      <c r="R142" s="55"/>
      <c r="S142" s="84"/>
      <c r="T142" s="85"/>
      <c r="U142" s="85"/>
      <c r="V142" s="85"/>
      <c r="W142" s="85"/>
    </row>
    <row r="143" customFormat="false" ht="14.25" hidden="false" customHeight="true" outlineLevel="0" collapsed="false">
      <c r="A143" s="85" t="n">
        <v>2001</v>
      </c>
      <c r="B143" s="56" t="n">
        <v>37012</v>
      </c>
      <c r="C143" s="56"/>
      <c r="D143" s="55" t="n">
        <v>68.1617021276596</v>
      </c>
      <c r="E143" s="55" t="n">
        <v>21.3417021276596</v>
      </c>
      <c r="F143" s="55"/>
      <c r="G143" s="55" t="n">
        <v>66.1787234042553</v>
      </c>
      <c r="H143" s="55" t="n">
        <v>20.3587234042553</v>
      </c>
      <c r="I143" s="55"/>
      <c r="J143" s="55" t="n">
        <f aca="false">'4.1.1'!E159/1.175</f>
        <v>66.536170212766</v>
      </c>
      <c r="K143" s="55" t="n">
        <f aca="false">J143-45.82</f>
        <v>20.716170212766</v>
      </c>
      <c r="L143" s="55"/>
      <c r="M143" s="55" t="n">
        <f aca="false">'4.1.1'!G159/1.05</f>
        <v>18.1714285714286</v>
      </c>
      <c r="N143" s="55" t="n">
        <f aca="false">M143-0</f>
        <v>18.1714285714286</v>
      </c>
      <c r="O143" s="55"/>
      <c r="P143" s="55" t="n">
        <f aca="false">'4.1.1'!H159/1.05</f>
        <v>18.7428571428571</v>
      </c>
      <c r="Q143" s="55" t="n">
        <f aca="false">P143-3.13</f>
        <v>15.6128571428571</v>
      </c>
      <c r="R143" s="55"/>
      <c r="S143" s="84"/>
      <c r="T143" s="85"/>
      <c r="U143" s="85"/>
      <c r="V143" s="85"/>
      <c r="W143" s="85"/>
    </row>
    <row r="144" customFormat="false" ht="14.25" hidden="false" customHeight="true" outlineLevel="0" collapsed="false">
      <c r="A144" s="85" t="n">
        <v>2001</v>
      </c>
      <c r="B144" s="56" t="n">
        <v>37043</v>
      </c>
      <c r="C144" s="56"/>
      <c r="D144" s="55" t="n">
        <v>70.068085106383</v>
      </c>
      <c r="E144" s="55" t="n">
        <v>21.248085106383</v>
      </c>
      <c r="F144" s="55" t="n">
        <f aca="false">SUM(E142:E144)/3</f>
        <v>20.7828368794326</v>
      </c>
      <c r="G144" s="55" t="n">
        <v>66.6723404255319</v>
      </c>
      <c r="H144" s="55" t="n">
        <v>20.8523404255319</v>
      </c>
      <c r="I144" s="55" t="n">
        <f aca="false">SUM(H142:H144)/3</f>
        <v>20.3956028368794</v>
      </c>
      <c r="J144" s="55" t="n">
        <f aca="false">'4.1.1'!E160/1.175</f>
        <v>67.1659574468085</v>
      </c>
      <c r="K144" s="55" t="n">
        <f aca="false">J144-45.82</f>
        <v>21.3459574468085</v>
      </c>
      <c r="L144" s="55" t="n">
        <f aca="false">SUM(K142:K144)/3</f>
        <v>20.2736170212766</v>
      </c>
      <c r="M144" s="55" t="n">
        <f aca="false">'4.1.1'!G160/1.05</f>
        <v>18.4952380952381</v>
      </c>
      <c r="N144" s="55" t="n">
        <f aca="false">M144-0</f>
        <v>18.4952380952381</v>
      </c>
      <c r="O144" s="55" t="n">
        <f aca="false">SUM(N142:N144)/3</f>
        <v>18.4</v>
      </c>
      <c r="P144" s="55" t="n">
        <f aca="false">'4.1.1'!H160/1.05</f>
        <v>19.2666666666667</v>
      </c>
      <c r="Q144" s="55" t="n">
        <f aca="false">P144-3.13</f>
        <v>16.1366666666667</v>
      </c>
      <c r="R144" s="55" t="n">
        <f aca="false">SUM(Q142:Q144)/3</f>
        <v>15.9811111111111</v>
      </c>
      <c r="S144" s="84"/>
      <c r="T144" s="85"/>
      <c r="U144" s="85"/>
      <c r="V144" s="85"/>
      <c r="W144" s="85"/>
    </row>
    <row r="145" customFormat="false" ht="14.25" hidden="false" customHeight="true" outlineLevel="0" collapsed="false">
      <c r="A145" s="85" t="n">
        <v>2001</v>
      </c>
      <c r="B145" s="56" t="n">
        <v>37073</v>
      </c>
      <c r="C145" s="56"/>
      <c r="D145" s="55" t="n">
        <f aca="false">'4.1.1'!C161/1.175</f>
        <v>69.3106382978723</v>
      </c>
      <c r="E145" s="55" t="n">
        <f aca="false">D145-48.82</f>
        <v>20.4906382978723</v>
      </c>
      <c r="F145" s="55"/>
      <c r="G145" s="55" t="n">
        <f aca="false">'4.1.1'!F161/1.175</f>
        <v>66.2808510638298</v>
      </c>
      <c r="H145" s="55" t="n">
        <f aca="false">G145-45.82</f>
        <v>20.4608510638298</v>
      </c>
      <c r="I145" s="55"/>
      <c r="J145" s="55" t="n">
        <f aca="false">'4.1.1'!E161/1.175</f>
        <v>66.2127659574468</v>
      </c>
      <c r="K145" s="55" t="n">
        <f aca="false">J145-45.82</f>
        <v>20.3927659574468</v>
      </c>
      <c r="L145" s="55"/>
      <c r="M145" s="55" t="n">
        <f aca="false">'4.1.1'!G161/1.05</f>
        <v>17.6190476190476</v>
      </c>
      <c r="N145" s="55" t="n">
        <f aca="false">M145-0</f>
        <v>17.6190476190476</v>
      </c>
      <c r="O145" s="55"/>
      <c r="P145" s="55" t="n">
        <f aca="false">'4.1.1'!H161/1.05</f>
        <v>18.647619047619</v>
      </c>
      <c r="Q145" s="55" t="n">
        <f aca="false">P145-3.13</f>
        <v>15.517619047619</v>
      </c>
      <c r="R145" s="55"/>
      <c r="S145" s="84"/>
      <c r="T145" s="85"/>
      <c r="U145" s="85"/>
      <c r="V145" s="85"/>
      <c r="W145" s="85"/>
    </row>
    <row r="146" customFormat="false" ht="14.25" hidden="false" customHeight="true" outlineLevel="0" collapsed="false">
      <c r="A146" s="85" t="n">
        <v>2001</v>
      </c>
      <c r="B146" s="56" t="n">
        <v>37104</v>
      </c>
      <c r="C146" s="56"/>
      <c r="D146" s="55" t="n">
        <f aca="false">'4.1.1'!C162/1.175</f>
        <v>68.3829787234043</v>
      </c>
      <c r="E146" s="55" t="n">
        <f aca="false">D146-48.82</f>
        <v>19.5629787234043</v>
      </c>
      <c r="F146" s="55"/>
      <c r="G146" s="55" t="n">
        <f aca="false">'4.1.1'!F162/1.175</f>
        <v>65.9914893617021</v>
      </c>
      <c r="H146" s="55" t="n">
        <f aca="false">G146-45.82</f>
        <v>20.1714893617021</v>
      </c>
      <c r="I146" s="55"/>
      <c r="J146" s="55" t="n">
        <f aca="false">'4.1.1'!E162/1.175</f>
        <v>65.3787234042553</v>
      </c>
      <c r="K146" s="55" t="n">
        <f aca="false">J146-45.82</f>
        <v>19.5587234042553</v>
      </c>
      <c r="L146" s="55"/>
      <c r="M146" s="55" t="n">
        <f aca="false">'4.1.1'!G162/1.05</f>
        <v>17.0285714285714</v>
      </c>
      <c r="N146" s="55" t="n">
        <f aca="false">M146-0</f>
        <v>17.0285714285714</v>
      </c>
      <c r="O146" s="55"/>
      <c r="P146" s="55" t="n">
        <f aca="false">'4.1.1'!H162/1.05</f>
        <v>18.5619047619048</v>
      </c>
      <c r="Q146" s="55" t="n">
        <f aca="false">P146-3.13</f>
        <v>15.4319047619048</v>
      </c>
      <c r="R146" s="55"/>
      <c r="S146" s="84"/>
      <c r="T146" s="85"/>
      <c r="U146" s="85"/>
      <c r="V146" s="85"/>
      <c r="W146" s="85"/>
    </row>
    <row r="147" customFormat="false" ht="14.25" hidden="false" customHeight="true" outlineLevel="0" collapsed="false">
      <c r="A147" s="85" t="n">
        <v>2001</v>
      </c>
      <c r="B147" s="56" t="n">
        <v>37135</v>
      </c>
      <c r="C147" s="56"/>
      <c r="D147" s="55" t="n">
        <f aca="false">'4.1.1'!C163/1.175</f>
        <v>68.0765957446808</v>
      </c>
      <c r="E147" s="55" t="n">
        <f aca="false">D147-48.82</f>
        <v>19.2565957446808</v>
      </c>
      <c r="F147" s="55" t="n">
        <f aca="false">SUM(E145:E147)/3</f>
        <v>19.7700709219858</v>
      </c>
      <c r="G147" s="55" t="n">
        <f aca="false">'4.1.1'!F163/1.175</f>
        <v>65.7021276595745</v>
      </c>
      <c r="H147" s="55" t="n">
        <f aca="false">G147-45.82</f>
        <v>19.8821276595745</v>
      </c>
      <c r="I147" s="55" t="n">
        <f aca="false">SUM(H145:H147)/3</f>
        <v>20.1714893617021</v>
      </c>
      <c r="J147" s="55" t="n">
        <f aca="false">'4.1.1'!E163/1.175</f>
        <v>65.0382978723404</v>
      </c>
      <c r="K147" s="55" t="n">
        <f aca="false">J147-45.82</f>
        <v>19.2182978723404</v>
      </c>
      <c r="L147" s="55" t="n">
        <f aca="false">SUM(K145:K147)/3</f>
        <v>19.7232624113475</v>
      </c>
      <c r="M147" s="55" t="n">
        <f aca="false">'4.1.1'!G163/1.05</f>
        <v>17.9809523809524</v>
      </c>
      <c r="N147" s="55" t="n">
        <f aca="false">M147-0</f>
        <v>17.9809523809524</v>
      </c>
      <c r="O147" s="55" t="n">
        <f aca="false">SUM(N145:N147)/3</f>
        <v>17.5428571428571</v>
      </c>
      <c r="P147" s="55" t="n">
        <f aca="false">'4.1.1'!H163/1.05</f>
        <v>18.9714285714286</v>
      </c>
      <c r="Q147" s="55" t="n">
        <f aca="false">P147-3.13</f>
        <v>15.8414285714286</v>
      </c>
      <c r="R147" s="55" t="n">
        <f aca="false">SUM(Q145:Q147)/3</f>
        <v>15.5969841269841</v>
      </c>
      <c r="S147" s="84"/>
      <c r="T147" s="85"/>
      <c r="U147" s="85"/>
      <c r="V147" s="85"/>
      <c r="W147" s="85"/>
    </row>
    <row r="148" customFormat="false" ht="14.25" hidden="false" customHeight="true" outlineLevel="0" collapsed="false">
      <c r="A148" s="85" t="n">
        <v>2001</v>
      </c>
      <c r="B148" s="56" t="n">
        <v>37165</v>
      </c>
      <c r="C148" s="56"/>
      <c r="D148" s="55" t="n">
        <f aca="false">'4.1.1'!C164/1.175</f>
        <v>67.4297872340426</v>
      </c>
      <c r="E148" s="55" t="n">
        <f aca="false">D148-48.82</f>
        <v>18.6097872340426</v>
      </c>
      <c r="F148" s="55"/>
      <c r="G148" s="55" t="n">
        <f aca="false">'4.1.1'!F164/1.175</f>
        <v>65.4127659574468</v>
      </c>
      <c r="H148" s="55" t="n">
        <f aca="false">G148-45.82</f>
        <v>19.5927659574468</v>
      </c>
      <c r="I148" s="55"/>
      <c r="J148" s="55" t="n">
        <f aca="false">'4.1.1'!E164/1.175</f>
        <v>63.9234042553192</v>
      </c>
      <c r="K148" s="55" t="n">
        <f aca="false">J148-45.82</f>
        <v>18.1034042553192</v>
      </c>
      <c r="L148" s="55"/>
      <c r="M148" s="55" t="n">
        <f aca="false">'4.1.1'!G164/1.05</f>
        <v>15.0190476190476</v>
      </c>
      <c r="N148" s="55" t="n">
        <f aca="false">M148-0</f>
        <v>15.0190476190476</v>
      </c>
      <c r="O148" s="55"/>
      <c r="P148" s="55" t="n">
        <f aca="false">'4.1.1'!H164/1.05</f>
        <v>16.6285714285714</v>
      </c>
      <c r="Q148" s="55" t="n">
        <f aca="false">P148-3.13</f>
        <v>13.4985714285714</v>
      </c>
      <c r="R148" s="55"/>
      <c r="S148" s="84"/>
      <c r="T148" s="85"/>
      <c r="U148" s="85"/>
      <c r="V148" s="85"/>
      <c r="W148" s="85"/>
    </row>
    <row r="149" customFormat="false" ht="14.25" hidden="false" customHeight="true" outlineLevel="0" collapsed="false">
      <c r="A149" s="85" t="n">
        <v>2001</v>
      </c>
      <c r="B149" s="56" t="n">
        <v>37196</v>
      </c>
      <c r="C149" s="56"/>
      <c r="D149" s="55" t="n">
        <f aca="false">'4.1.1'!C165/1.175</f>
        <v>65.6170212765957</v>
      </c>
      <c r="E149" s="55" t="n">
        <f aca="false">D149-48.82</f>
        <v>16.7970212765957</v>
      </c>
      <c r="F149" s="55"/>
      <c r="G149" s="55" t="n">
        <f aca="false">'4.1.1'!F165/1.175</f>
        <v>64.6638297872341</v>
      </c>
      <c r="H149" s="55" t="n">
        <f aca="false">G149-45.82</f>
        <v>18.8438297872341</v>
      </c>
      <c r="I149" s="55"/>
      <c r="J149" s="55" t="n">
        <f aca="false">'4.1.1'!E165/1.175</f>
        <v>59.931914893617</v>
      </c>
      <c r="K149" s="55" t="n">
        <f aca="false">J149-45.82</f>
        <v>14.111914893617</v>
      </c>
      <c r="L149" s="55"/>
      <c r="M149" s="55" t="n">
        <f aca="false">'4.1.1'!G165/1.05</f>
        <v>14.1238095238095</v>
      </c>
      <c r="N149" s="55" t="n">
        <f aca="false">M149-0</f>
        <v>14.1238095238095</v>
      </c>
      <c r="O149" s="55"/>
      <c r="P149" s="55" t="n">
        <f aca="false">'4.1.1'!H165/1.05</f>
        <v>15.4380952380952</v>
      </c>
      <c r="Q149" s="55" t="n">
        <f aca="false">P149-3.13</f>
        <v>12.3080952380952</v>
      </c>
      <c r="R149" s="55"/>
      <c r="S149" s="84"/>
      <c r="T149" s="85"/>
      <c r="U149" s="85"/>
      <c r="V149" s="85"/>
      <c r="W149" s="85"/>
    </row>
    <row r="150" customFormat="false" ht="14.25" hidden="false" customHeight="true" outlineLevel="0" collapsed="false">
      <c r="A150" s="85" t="n">
        <v>2001</v>
      </c>
      <c r="B150" s="56" t="n">
        <v>37226</v>
      </c>
      <c r="C150" s="56"/>
      <c r="D150" s="55" t="n">
        <f aca="false">'4.1.1'!C166/1.175</f>
        <v>64.5446808510638</v>
      </c>
      <c r="E150" s="55" t="n">
        <f aca="false">D150-48.82</f>
        <v>15.7246808510638</v>
      </c>
      <c r="F150" s="55" t="n">
        <f aca="false">SUM(E148:E150)/3</f>
        <v>17.043829787234</v>
      </c>
      <c r="G150" s="55" t="n">
        <f aca="false">'4.1.1'!F166/1.175</f>
        <v>63.6340425531915</v>
      </c>
      <c r="H150" s="55" t="n">
        <f aca="false">G150-45.82</f>
        <v>17.8140425531915</v>
      </c>
      <c r="I150" s="55" t="n">
        <f aca="false">SUM(H148:H150)/3</f>
        <v>18.7502127659574</v>
      </c>
      <c r="J150" s="55" t="n">
        <f aca="false">'4.1.1'!E166/1.175</f>
        <v>59.7106382978723</v>
      </c>
      <c r="K150" s="55" t="n">
        <f aca="false">J150-45.82</f>
        <v>13.8906382978723</v>
      </c>
      <c r="L150" s="55" t="n">
        <f aca="false">SUM(K148:K150)/3</f>
        <v>15.3686524822695</v>
      </c>
      <c r="M150" s="55" t="n">
        <f aca="false">'4.1.1'!G166/1.05</f>
        <v>13.752380952381</v>
      </c>
      <c r="N150" s="55" t="n">
        <f aca="false">M150-0</f>
        <v>13.752380952381</v>
      </c>
      <c r="O150" s="55" t="n">
        <f aca="false">SUM(N148:N150)/3</f>
        <v>14.2984126984127</v>
      </c>
      <c r="P150" s="55" t="n">
        <f aca="false">'4.1.1'!H166/1.05</f>
        <v>14.5809523809524</v>
      </c>
      <c r="Q150" s="55" t="n">
        <f aca="false">P150-3.13</f>
        <v>11.4509523809524</v>
      </c>
      <c r="R150" s="55" t="n">
        <f aca="false">SUM(Q148:Q150)/3</f>
        <v>12.4192063492063</v>
      </c>
      <c r="S150" s="84"/>
      <c r="T150" s="55" t="n">
        <f aca="false">AVERAGE(G139:G150)</f>
        <v>66.2512588652482</v>
      </c>
      <c r="U150" s="55" t="n">
        <f aca="false">AVERAGE(H139:H150)</f>
        <v>19.9312588652482</v>
      </c>
      <c r="V150" s="55" t="n">
        <f aca="false">AVERAGE(J139:J150)</f>
        <v>64.4397163120567</v>
      </c>
      <c r="W150" s="55" t="n">
        <f aca="false">AVERAGE(K139:K150)</f>
        <v>18.0363829787234</v>
      </c>
    </row>
    <row r="151" customFormat="false" ht="14.25" hidden="false" customHeight="true" outlineLevel="0" collapsed="false">
      <c r="A151" s="85" t="n">
        <v>2002</v>
      </c>
      <c r="B151" s="56" t="n">
        <v>37257</v>
      </c>
      <c r="C151" s="56"/>
      <c r="D151" s="55" t="n">
        <f aca="false">'4.1.1'!C167/1.175</f>
        <v>64.6297872340426</v>
      </c>
      <c r="E151" s="55" t="n">
        <f aca="false">D151-48.82</f>
        <v>15.8097872340426</v>
      </c>
      <c r="F151" s="55"/>
      <c r="G151" s="55" t="n">
        <f aca="false">'4.1.1'!F167/1.175</f>
        <v>63.531914893617</v>
      </c>
      <c r="H151" s="55" t="n">
        <f aca="false">G151-45.82</f>
        <v>17.711914893617</v>
      </c>
      <c r="I151" s="55"/>
      <c r="J151" s="55" t="n">
        <f aca="false">'4.1.1'!E167/1.175</f>
        <v>59.4893617021277</v>
      </c>
      <c r="K151" s="55" t="n">
        <f aca="false">J151-45.82</f>
        <v>13.6693617021277</v>
      </c>
      <c r="L151" s="55"/>
      <c r="M151" s="55" t="n">
        <f aca="false">'4.1.1'!G167/1.05</f>
        <v>13.9142857142857</v>
      </c>
      <c r="N151" s="55" t="n">
        <f aca="false">M151-0</f>
        <v>13.9142857142857</v>
      </c>
      <c r="O151" s="55"/>
      <c r="P151" s="55" t="n">
        <f aca="false">'4.1.1'!H167/1.05</f>
        <v>14.0095238095238</v>
      </c>
      <c r="Q151" s="55" t="n">
        <f aca="false">P151-3.13</f>
        <v>10.8795238095238</v>
      </c>
      <c r="R151" s="55"/>
      <c r="S151" s="84"/>
      <c r="T151" s="85"/>
      <c r="U151" s="85"/>
      <c r="V151" s="85"/>
      <c r="W151" s="85"/>
    </row>
    <row r="152" customFormat="false" ht="14.25" hidden="false" customHeight="true" outlineLevel="0" collapsed="false">
      <c r="A152" s="85" t="n">
        <v>2002</v>
      </c>
      <c r="B152" s="56" t="n">
        <v>37288</v>
      </c>
      <c r="C152" s="56"/>
      <c r="D152" s="55" t="n">
        <f aca="false">'4.1.1'!C168/1.175</f>
        <v>64.4085106382979</v>
      </c>
      <c r="E152" s="55" t="n">
        <f aca="false">D152-48.82</f>
        <v>15.5885106382979</v>
      </c>
      <c r="F152" s="55"/>
      <c r="G152" s="55" t="n">
        <f aca="false">'4.1.1'!F168/1.175</f>
        <v>63.3191489361702</v>
      </c>
      <c r="H152" s="55" t="n">
        <f aca="false">G152-45.82</f>
        <v>17.4991489361702</v>
      </c>
      <c r="I152" s="55"/>
      <c r="J152" s="55" t="n">
        <f aca="false">'4.1.1'!E168/1.175</f>
        <v>59.5744680851064</v>
      </c>
      <c r="K152" s="55" t="n">
        <f aca="false">J152-45.82</f>
        <v>13.7544680851064</v>
      </c>
      <c r="L152" s="55"/>
      <c r="M152" s="55" t="n">
        <f aca="false">'4.1.1'!G168/1.05</f>
        <v>13.5428571428571</v>
      </c>
      <c r="N152" s="55" t="n">
        <f aca="false">M152-0</f>
        <v>13.5428571428571</v>
      </c>
      <c r="O152" s="55"/>
      <c r="P152" s="55" t="n">
        <f aca="false">'4.1.1'!H168/1.05</f>
        <v>13.7619047619048</v>
      </c>
      <c r="Q152" s="55" t="n">
        <f aca="false">P152-3.13</f>
        <v>10.6319047619048</v>
      </c>
      <c r="R152" s="55"/>
      <c r="S152" s="84"/>
      <c r="T152" s="85"/>
      <c r="U152" s="85"/>
      <c r="V152" s="85"/>
      <c r="W152" s="85"/>
    </row>
    <row r="153" customFormat="false" ht="14.25" hidden="false" customHeight="true" outlineLevel="0" collapsed="false">
      <c r="A153" s="85" t="n">
        <v>2002</v>
      </c>
      <c r="B153" s="56" t="n">
        <v>37316</v>
      </c>
      <c r="C153" s="56"/>
      <c r="D153" s="55" t="n">
        <f aca="false">'4.1.1'!C169/1.175</f>
        <v>64.8085106382979</v>
      </c>
      <c r="E153" s="55" t="n">
        <f aca="false">D153-48.82</f>
        <v>15.9885106382979</v>
      </c>
      <c r="F153" s="55" t="n">
        <f aca="false">SUM(E151:E153)/3</f>
        <v>15.7956028368794</v>
      </c>
      <c r="G153" s="55" t="n">
        <f aca="false">'4.1.1'!F169/1.175</f>
        <v>63.6851063829787</v>
      </c>
      <c r="H153" s="55" t="n">
        <f aca="false">G153-45.82</f>
        <v>17.8651063829787</v>
      </c>
      <c r="I153" s="55" t="n">
        <f aca="false">SUM(H151:H153)/3</f>
        <v>17.6920567375887</v>
      </c>
      <c r="J153" s="55" t="n">
        <f aca="false">'4.1.1'!E169/1.175</f>
        <v>60.8510638297872</v>
      </c>
      <c r="K153" s="55" t="n">
        <f aca="false">J153-45.82</f>
        <v>15.0310638297872</v>
      </c>
      <c r="L153" s="55" t="n">
        <f aca="false">SUM(K151:K153)/3</f>
        <v>14.1516312056738</v>
      </c>
      <c r="M153" s="55" t="n">
        <f aca="false">'4.1.1'!G169/1.05</f>
        <v>14.3047619047619</v>
      </c>
      <c r="N153" s="55" t="n">
        <f aca="false">M153-0</f>
        <v>14.3047619047619</v>
      </c>
      <c r="O153" s="55" t="n">
        <f aca="false">SUM(N151:N153)/3</f>
        <v>13.9206349206349</v>
      </c>
      <c r="P153" s="55" t="n">
        <f aca="false">'4.1.1'!H169/1.05</f>
        <v>14.247619047619</v>
      </c>
      <c r="Q153" s="55" t="n">
        <f aca="false">P153-3.13</f>
        <v>11.117619047619</v>
      </c>
      <c r="R153" s="55" t="n">
        <f aca="false">SUM(Q151:Q153)/3</f>
        <v>10.8763492063492</v>
      </c>
      <c r="S153" s="84"/>
      <c r="T153" s="85"/>
      <c r="U153" s="85"/>
      <c r="V153" s="85"/>
      <c r="W153" s="85"/>
    </row>
    <row r="154" customFormat="false" ht="14.25" hidden="false" customHeight="true" outlineLevel="0" collapsed="false">
      <c r="A154" s="85" t="n">
        <v>2002</v>
      </c>
      <c r="B154" s="56" t="n">
        <v>37347</v>
      </c>
      <c r="C154" s="56"/>
      <c r="D154" s="55" t="n">
        <f aca="false">'4.1.1'!C170/1.175</f>
        <v>66.2468085106383</v>
      </c>
      <c r="E154" s="55" t="n">
        <f aca="false">D154-48.82</f>
        <v>17.4268085106383</v>
      </c>
      <c r="F154" s="55"/>
      <c r="G154" s="55" t="n">
        <f aca="false">'4.1.1'!F170/1.175</f>
        <v>65.4297872340426</v>
      </c>
      <c r="H154" s="55" t="n">
        <f aca="false">G154-45.82</f>
        <v>19.6097872340426</v>
      </c>
      <c r="I154" s="55"/>
      <c r="J154" s="55" t="n">
        <f aca="false">'4.1.1'!E170/1.175</f>
        <v>63.7872340425532</v>
      </c>
      <c r="K154" s="55" t="n">
        <f aca="false">J154-45.82</f>
        <v>17.9672340425532</v>
      </c>
      <c r="L154" s="55"/>
      <c r="M154" s="55" t="n">
        <f aca="false">'4.1.1'!G170/1.05</f>
        <v>15.3142857142857</v>
      </c>
      <c r="N154" s="55" t="n">
        <f aca="false">M154-0</f>
        <v>15.3142857142857</v>
      </c>
      <c r="O154" s="55"/>
      <c r="P154" s="55" t="n">
        <f aca="false">'4.1.1'!H170/1.05</f>
        <v>15.3047619047619</v>
      </c>
      <c r="Q154" s="55" t="n">
        <f aca="false">P154-3.13</f>
        <v>12.1747619047619</v>
      </c>
      <c r="R154" s="55"/>
      <c r="S154" s="84"/>
      <c r="T154" s="85"/>
      <c r="U154" s="85"/>
      <c r="V154" s="85"/>
      <c r="W154" s="85"/>
    </row>
    <row r="155" customFormat="false" ht="14.25" hidden="false" customHeight="true" outlineLevel="0" collapsed="false">
      <c r="A155" s="85" t="n">
        <v>2002</v>
      </c>
      <c r="B155" s="56" t="n">
        <v>37377</v>
      </c>
      <c r="C155" s="56"/>
      <c r="D155" s="55" t="n">
        <f aca="false">'4.1.1'!C171/1.175</f>
        <v>66.1957446808511</v>
      </c>
      <c r="E155" s="55" t="n">
        <f aca="false">D155-48.82</f>
        <v>17.3757446808511</v>
      </c>
      <c r="F155" s="55"/>
      <c r="G155" s="55" t="n">
        <f aca="false">'4.1.1'!F171/1.175</f>
        <v>64.9957446808511</v>
      </c>
      <c r="H155" s="55" t="n">
        <f aca="false">G155-45.82</f>
        <v>19.1757446808511</v>
      </c>
      <c r="I155" s="55"/>
      <c r="J155" s="55" t="n">
        <f aca="false">'4.1.1'!E171/1.175</f>
        <v>63.6085106382979</v>
      </c>
      <c r="K155" s="55" t="n">
        <f aca="false">J155-45.82</f>
        <v>17.7885106382979</v>
      </c>
      <c r="L155" s="55"/>
      <c r="M155" s="55" t="n">
        <f aca="false">'4.1.1'!G171/1.05</f>
        <v>15.3619047619048</v>
      </c>
      <c r="N155" s="55" t="n">
        <f aca="false">M155-0</f>
        <v>15.3619047619048</v>
      </c>
      <c r="O155" s="55"/>
      <c r="P155" s="55" t="n">
        <f aca="false">'4.1.1'!H171/1.05</f>
        <v>15.2380952380952</v>
      </c>
      <c r="Q155" s="55" t="n">
        <f aca="false">P155-3.13</f>
        <v>12.1080952380952</v>
      </c>
      <c r="R155" s="55"/>
      <c r="S155" s="84"/>
      <c r="T155" s="85"/>
      <c r="U155" s="85"/>
      <c r="V155" s="85"/>
      <c r="W155" s="85"/>
    </row>
    <row r="156" customFormat="false" ht="14.25" hidden="false" customHeight="true" outlineLevel="0" collapsed="false">
      <c r="A156" s="85" t="n">
        <v>2002</v>
      </c>
      <c r="B156" s="56" t="n">
        <v>37408</v>
      </c>
      <c r="C156" s="56"/>
      <c r="D156" s="55" t="n">
        <f aca="false">'4.1.1'!C172/1.175</f>
        <v>65.7957446808511</v>
      </c>
      <c r="E156" s="55" t="n">
        <f aca="false">D156-48.82</f>
        <v>16.9757446808511</v>
      </c>
      <c r="F156" s="55" t="n">
        <f aca="false">SUM(E154:E156)/3</f>
        <v>17.2594326241135</v>
      </c>
      <c r="G156" s="55" t="n">
        <f aca="false">'4.1.1'!F172/1.175</f>
        <v>64.3744680851064</v>
      </c>
      <c r="H156" s="55" t="n">
        <f aca="false">G156-45.82</f>
        <v>18.5544680851064</v>
      </c>
      <c r="I156" s="55" t="n">
        <f aca="false">SUM(H154:H156)/3</f>
        <v>19.1133333333333</v>
      </c>
      <c r="J156" s="55" t="n">
        <f aca="false">'4.1.1'!E172/1.175</f>
        <v>62.9872340425532</v>
      </c>
      <c r="K156" s="55" t="n">
        <f aca="false">J156-45.82</f>
        <v>17.1672340425532</v>
      </c>
      <c r="L156" s="55" t="n">
        <f aca="false">SUM(K154:K156)/3</f>
        <v>17.6409929078014</v>
      </c>
      <c r="M156" s="55" t="n">
        <f aca="false">'4.1.1'!G172/1.05</f>
        <v>14.6380952380952</v>
      </c>
      <c r="N156" s="55" t="n">
        <f aca="false">M156-0</f>
        <v>14.6380952380952</v>
      </c>
      <c r="O156" s="55" t="n">
        <f aca="false">SUM(N154:N156)/3</f>
        <v>15.1047619047619</v>
      </c>
      <c r="P156" s="55" t="n">
        <f aca="false">'4.1.1'!H172/1.05</f>
        <v>14.6857142857143</v>
      </c>
      <c r="Q156" s="55" t="n">
        <f aca="false">P156-3.13</f>
        <v>11.5557142857143</v>
      </c>
      <c r="R156" s="55" t="n">
        <f aca="false">SUM(Q154:Q156)/3</f>
        <v>11.9461904761905</v>
      </c>
      <c r="S156" s="84"/>
      <c r="T156" s="85"/>
      <c r="U156" s="85"/>
      <c r="V156" s="85"/>
      <c r="W156" s="85"/>
    </row>
    <row r="157" customFormat="false" ht="14.25" hidden="false" customHeight="true" outlineLevel="0" collapsed="false">
      <c r="A157" s="85" t="n">
        <v>2002</v>
      </c>
      <c r="B157" s="56" t="n">
        <v>37438</v>
      </c>
      <c r="C157" s="56"/>
      <c r="D157" s="55" t="n">
        <f aca="false">'4.1.1'!C173/1.175</f>
        <v>65.4893617021277</v>
      </c>
      <c r="E157" s="55" t="n">
        <f aca="false">D157-48.82</f>
        <v>16.6693617021277</v>
      </c>
      <c r="F157" s="55"/>
      <c r="G157" s="55" t="n">
        <f aca="false">'4.1.1'!F173/1.175</f>
        <v>64.0765957446809</v>
      </c>
      <c r="H157" s="55" t="n">
        <f aca="false">G157-45.82</f>
        <v>18.2565957446809</v>
      </c>
      <c r="I157" s="55"/>
      <c r="J157" s="55" t="n">
        <f aca="false">'4.1.1'!E173/1.175</f>
        <v>62.6553191489362</v>
      </c>
      <c r="K157" s="55" t="n">
        <f aca="false">J157-45.82</f>
        <v>16.8353191489362</v>
      </c>
      <c r="L157" s="55"/>
      <c r="M157" s="55" t="n">
        <f aca="false">'4.1.1'!G173/1.05</f>
        <v>14.4666666666667</v>
      </c>
      <c r="N157" s="55" t="n">
        <f aca="false">M157-0</f>
        <v>14.4666666666667</v>
      </c>
      <c r="O157" s="55"/>
      <c r="P157" s="55" t="n">
        <f aca="false">'4.1.1'!H173/1.05</f>
        <v>14.8666666666667</v>
      </c>
      <c r="Q157" s="55" t="n">
        <f aca="false">P157-3.13</f>
        <v>11.7366666666667</v>
      </c>
      <c r="R157" s="55"/>
      <c r="S157" s="84"/>
      <c r="T157" s="85"/>
      <c r="U157" s="85"/>
      <c r="V157" s="85"/>
      <c r="W157" s="85"/>
    </row>
    <row r="158" customFormat="false" ht="14.25" hidden="false" customHeight="true" outlineLevel="0" collapsed="false">
      <c r="A158" s="85" t="n">
        <v>2002</v>
      </c>
      <c r="B158" s="56" t="n">
        <v>37469</v>
      </c>
      <c r="C158" s="56"/>
      <c r="D158" s="55" t="n">
        <f aca="false">'4.1.1'!C174/1.175</f>
        <v>65.6085106382979</v>
      </c>
      <c r="E158" s="55" t="n">
        <f aca="false">D158-48.82</f>
        <v>16.7885106382979</v>
      </c>
      <c r="F158" s="55"/>
      <c r="G158" s="55" t="n">
        <f aca="false">'4.1.1'!F174/1.175</f>
        <v>64.0765957446809</v>
      </c>
      <c r="H158" s="55" t="n">
        <f aca="false">G158-45.82</f>
        <v>18.2565957446809</v>
      </c>
      <c r="I158" s="55"/>
      <c r="J158" s="55" t="n">
        <f aca="false">'4.1.1'!E174/1.175</f>
        <v>62.7148936170213</v>
      </c>
      <c r="K158" s="55" t="n">
        <f aca="false">J158-45.82</f>
        <v>16.8948936170213</v>
      </c>
      <c r="L158" s="55"/>
      <c r="M158" s="55" t="n">
        <f aca="false">'4.1.1'!G174/1.05</f>
        <v>14.847619047619</v>
      </c>
      <c r="N158" s="55" t="n">
        <f aca="false">M158-0</f>
        <v>14.847619047619</v>
      </c>
      <c r="O158" s="55"/>
      <c r="P158" s="55" t="n">
        <f aca="false">'4.1.1'!H174/1.05</f>
        <v>15.4571428571429</v>
      </c>
      <c r="Q158" s="55" t="n">
        <f aca="false">P158-3.13</f>
        <v>12.3271428571429</v>
      </c>
      <c r="R158" s="55"/>
      <c r="S158" s="84"/>
      <c r="T158" s="85"/>
      <c r="U158" s="85"/>
      <c r="V158" s="85"/>
      <c r="W158" s="85"/>
    </row>
    <row r="159" customFormat="false" ht="14.25" hidden="false" customHeight="true" outlineLevel="0" collapsed="false">
      <c r="A159" s="85" t="n">
        <v>2002</v>
      </c>
      <c r="B159" s="56" t="n">
        <v>37500</v>
      </c>
      <c r="C159" s="56"/>
      <c r="D159" s="55" t="n">
        <f aca="false">'4.1.1'!C175/1.175</f>
        <v>65.863829787234</v>
      </c>
      <c r="E159" s="55" t="n">
        <f aca="false">D159-48.82</f>
        <v>17.043829787234</v>
      </c>
      <c r="F159" s="55" t="n">
        <f aca="false">SUM(E157:E159)/3</f>
        <v>16.8339007092199</v>
      </c>
      <c r="G159" s="55" t="n">
        <f aca="false">'4.1.1'!F175/1.175</f>
        <v>64.3829787234043</v>
      </c>
      <c r="H159" s="55" t="n">
        <f aca="false">G159-45.82</f>
        <v>18.5629787234043</v>
      </c>
      <c r="I159" s="55" t="n">
        <f aca="false">SUM(H157:H159)/3</f>
        <v>18.3587234042553</v>
      </c>
      <c r="J159" s="55" t="n">
        <f aca="false">'4.1.1'!E175/1.175</f>
        <v>63.1744680851064</v>
      </c>
      <c r="K159" s="55" t="n">
        <f aca="false">J159-45.82</f>
        <v>17.3544680851064</v>
      </c>
      <c r="L159" s="55" t="n">
        <f aca="false">SUM(K157:K159)/3</f>
        <v>17.0282269503546</v>
      </c>
      <c r="M159" s="55" t="n">
        <f aca="false">'4.1.1'!G175/1.05</f>
        <v>16.1333333333333</v>
      </c>
      <c r="N159" s="55" t="n">
        <f aca="false">M159-0</f>
        <v>16.1333333333333</v>
      </c>
      <c r="O159" s="55" t="n">
        <f aca="false">SUM(N157:N159)/3</f>
        <v>15.1492063492063</v>
      </c>
      <c r="P159" s="55" t="n">
        <f aca="false">'4.1.1'!H175/1.05</f>
        <v>16.247619047619</v>
      </c>
      <c r="Q159" s="55" t="n">
        <f aca="false">P159-3.13</f>
        <v>13.117619047619</v>
      </c>
      <c r="R159" s="55" t="n">
        <f aca="false">SUM(Q157:Q159)/3</f>
        <v>12.3938095238095</v>
      </c>
      <c r="S159" s="84"/>
      <c r="T159" s="85"/>
      <c r="U159" s="85"/>
      <c r="V159" s="85"/>
      <c r="W159" s="85"/>
    </row>
    <row r="160" customFormat="false" ht="14.25" hidden="false" customHeight="true" outlineLevel="0" collapsed="false">
      <c r="A160" s="85" t="n">
        <v>2002</v>
      </c>
      <c r="B160" s="56" t="n">
        <v>37530</v>
      </c>
      <c r="C160" s="56"/>
      <c r="D160" s="55" t="n">
        <f aca="false">'4.1.1'!C176/1.175</f>
        <v>66</v>
      </c>
      <c r="E160" s="55" t="n">
        <f aca="false">D160-48.82</f>
        <v>17.18</v>
      </c>
      <c r="F160" s="55"/>
      <c r="G160" s="55" t="n">
        <f aca="false">'4.1.1'!F176/1.175</f>
        <v>64.5191489361702</v>
      </c>
      <c r="H160" s="55" t="n">
        <f aca="false">G160-45.82</f>
        <v>18.6991489361702</v>
      </c>
      <c r="I160" s="55"/>
      <c r="J160" s="55" t="n">
        <f aca="false">'4.1.1'!E176/1.175</f>
        <v>63.3531914893617</v>
      </c>
      <c r="K160" s="55" t="n">
        <f aca="false">J160-45.82</f>
        <v>17.5331914893617</v>
      </c>
      <c r="L160" s="55"/>
      <c r="M160" s="55" t="n">
        <f aca="false">'4.1.1'!G176/1.05</f>
        <v>16.5904761904762</v>
      </c>
      <c r="N160" s="55" t="n">
        <f aca="false">M160-0</f>
        <v>16.5904761904762</v>
      </c>
      <c r="O160" s="55"/>
      <c r="P160" s="55" t="n">
        <f aca="false">'4.1.1'!H176/1.05</f>
        <v>16.7904761904762</v>
      </c>
      <c r="Q160" s="55" t="n">
        <f aca="false">P160-3.13</f>
        <v>13.6604761904762</v>
      </c>
      <c r="R160" s="55"/>
      <c r="S160" s="84"/>
      <c r="T160" s="85"/>
      <c r="U160" s="85"/>
      <c r="V160" s="85"/>
      <c r="W160" s="85"/>
    </row>
    <row r="161" customFormat="false" ht="14.25" hidden="false" customHeight="true" outlineLevel="0" collapsed="false">
      <c r="A161" s="85" t="n">
        <v>2002</v>
      </c>
      <c r="B161" s="56" t="n">
        <v>37561</v>
      </c>
      <c r="C161" s="56"/>
      <c r="D161" s="55" t="n">
        <f aca="false">'4.1.1'!C177/1.175</f>
        <v>65.863829787234</v>
      </c>
      <c r="E161" s="55" t="n">
        <f aca="false">D161-48.82</f>
        <v>17.043829787234</v>
      </c>
      <c r="F161" s="55"/>
      <c r="G161" s="55" t="n">
        <f aca="false">'4.1.1'!F177/1.175</f>
        <v>64.2978723404255</v>
      </c>
      <c r="H161" s="55" t="n">
        <f aca="false">G161-45.82</f>
        <v>18.4778723404255</v>
      </c>
      <c r="I161" s="55"/>
      <c r="J161" s="55" t="n">
        <f aca="false">'4.1.1'!E177/1.175</f>
        <v>63.063829787234</v>
      </c>
      <c r="K161" s="55" t="n">
        <f aca="false">J161-45.82</f>
        <v>17.243829787234</v>
      </c>
      <c r="L161" s="55"/>
      <c r="M161" s="55" t="n">
        <f aca="false">'4.1.1'!G177/1.05</f>
        <v>14.3809523809524</v>
      </c>
      <c r="N161" s="55" t="n">
        <f aca="false">M161-0</f>
        <v>14.3809523809524</v>
      </c>
      <c r="O161" s="55"/>
      <c r="P161" s="55" t="n">
        <f aca="false">'4.1.1'!H177/1.05</f>
        <v>15.0666666666667</v>
      </c>
      <c r="Q161" s="55" t="n">
        <f aca="false">P161-3.13</f>
        <v>11.9366666666667</v>
      </c>
      <c r="R161" s="55"/>
      <c r="S161" s="84"/>
      <c r="T161" s="85"/>
      <c r="U161" s="85"/>
      <c r="V161" s="85"/>
      <c r="W161" s="85"/>
    </row>
    <row r="162" customFormat="false" ht="14.25" hidden="false" customHeight="true" outlineLevel="0" collapsed="false">
      <c r="A162" s="85" t="n">
        <v>2002</v>
      </c>
      <c r="B162" s="56" t="n">
        <v>37591</v>
      </c>
      <c r="C162" s="56"/>
      <c r="D162" s="55" t="n">
        <f aca="false">'4.1.1'!C178/1.175</f>
        <v>65.8212765957447</v>
      </c>
      <c r="E162" s="55" t="n">
        <f aca="false">D162-48.82</f>
        <v>17.0012765957447</v>
      </c>
      <c r="F162" s="55" t="n">
        <f aca="false">SUM(E160:E162)/3</f>
        <v>17.0750354609929</v>
      </c>
      <c r="G162" s="55" t="n">
        <f aca="false">'4.1.1'!F178/1.175</f>
        <v>63.9574468085106</v>
      </c>
      <c r="H162" s="55" t="n">
        <f aca="false">G162-45.82</f>
        <v>18.1374468085106</v>
      </c>
      <c r="I162" s="55" t="n">
        <f aca="false">SUM(H160:H162)/3</f>
        <v>18.4381560283688</v>
      </c>
      <c r="J162" s="55" t="n">
        <f aca="false">'4.1.1'!E178/1.175</f>
        <v>62.6893617021277</v>
      </c>
      <c r="K162" s="55" t="n">
        <f aca="false">J162-45.82</f>
        <v>16.8693617021277</v>
      </c>
      <c r="L162" s="55" t="n">
        <f aca="false">SUM(K160:K162)/3</f>
        <v>17.2154609929078</v>
      </c>
      <c r="M162" s="55" t="n">
        <f aca="false">'4.1.1'!G178/1.05</f>
        <v>15.4380952380952</v>
      </c>
      <c r="N162" s="55" t="n">
        <f aca="false">M162-0</f>
        <v>15.4380952380952</v>
      </c>
      <c r="O162" s="55" t="n">
        <f aca="false">SUM(N160:N162)/3</f>
        <v>15.4698412698413</v>
      </c>
      <c r="P162" s="55" t="n">
        <f aca="false">'4.1.1'!H178/1.05</f>
        <v>16.3904761904762</v>
      </c>
      <c r="Q162" s="55" t="n">
        <f aca="false">P162-3.13</f>
        <v>13.2604761904762</v>
      </c>
      <c r="R162" s="55" t="n">
        <f aca="false">SUM(Q160:Q162)/3</f>
        <v>12.9525396825397</v>
      </c>
      <c r="S162" s="84"/>
      <c r="T162" s="55" t="n">
        <f aca="false">AVERAGE(G151:G162)</f>
        <v>64.2205673758865</v>
      </c>
      <c r="U162" s="55" t="n">
        <f aca="false">AVERAGE(H151:H162)</f>
        <v>18.4005673758865</v>
      </c>
      <c r="V162" s="55" t="n">
        <f aca="false">AVERAGE(J151:J162)</f>
        <v>62.3290780141844</v>
      </c>
      <c r="W162" s="55" t="n">
        <f aca="false">AVERAGE(K151:K162)</f>
        <v>16.5090780141844</v>
      </c>
    </row>
    <row r="163" customFormat="false" ht="14.25" hidden="false" customHeight="true" outlineLevel="0" collapsed="false">
      <c r="A163" s="85" t="n">
        <v>2003</v>
      </c>
      <c r="B163" s="56" t="n">
        <v>37622</v>
      </c>
      <c r="C163" s="56"/>
      <c r="D163" s="55" t="n">
        <f aca="false">'4.1.1'!C179/1.175</f>
        <v>66.5106382978724</v>
      </c>
      <c r="E163" s="55" t="n">
        <f aca="false">D163-48.82</f>
        <v>17.6906382978723</v>
      </c>
      <c r="F163" s="55"/>
      <c r="G163" s="55" t="n">
        <f aca="false">'4.1.1'!F179/1.175</f>
        <v>65.0042553191489</v>
      </c>
      <c r="H163" s="55" t="n">
        <f aca="false">G163-45.82</f>
        <v>19.1842553191489</v>
      </c>
      <c r="I163" s="55"/>
      <c r="J163" s="55" t="n">
        <f aca="false">'4.1.1'!E179/1.175</f>
        <v>63.7872340425532</v>
      </c>
      <c r="K163" s="55" t="n">
        <f aca="false">J163-45.82</f>
        <v>17.9672340425532</v>
      </c>
      <c r="L163" s="55"/>
      <c r="M163" s="55" t="n">
        <f aca="false">'4.1.1'!G179/1.05</f>
        <v>16.9809523809524</v>
      </c>
      <c r="N163" s="55" t="n">
        <f aca="false">M163-0</f>
        <v>16.9809523809524</v>
      </c>
      <c r="O163" s="55"/>
      <c r="P163" s="55" t="n">
        <f aca="false">'4.1.1'!H179/1.05</f>
        <v>17.7428571428571</v>
      </c>
      <c r="Q163" s="55" t="n">
        <f aca="false">P163-3.13</f>
        <v>14.6128571428571</v>
      </c>
      <c r="R163" s="55"/>
      <c r="S163" s="84"/>
      <c r="T163" s="85"/>
      <c r="U163" s="85"/>
      <c r="V163" s="85"/>
      <c r="W163" s="85"/>
    </row>
    <row r="164" customFormat="false" ht="14.25" hidden="false" customHeight="true" outlineLevel="0" collapsed="false">
      <c r="A164" s="85" t="n">
        <v>2003</v>
      </c>
      <c r="B164" s="56" t="n">
        <v>37653</v>
      </c>
      <c r="C164" s="56"/>
      <c r="D164" s="55" t="n">
        <f aca="false">'4.1.1'!C180/1.175</f>
        <v>67.4978723404255</v>
      </c>
      <c r="E164" s="55" t="n">
        <f aca="false">D164-48.82</f>
        <v>18.6778723404255</v>
      </c>
      <c r="F164" s="55"/>
      <c r="G164" s="55" t="n">
        <f aca="false">'4.1.1'!F180/1.175</f>
        <v>66.3914893617021</v>
      </c>
      <c r="H164" s="55" t="n">
        <f aca="false">G164-45.82</f>
        <v>20.5714893617021</v>
      </c>
      <c r="I164" s="87"/>
      <c r="J164" s="55" t="n">
        <f aca="false">'4.1.1'!E180/1.175</f>
        <v>65.2425531914894</v>
      </c>
      <c r="K164" s="55" t="n">
        <f aca="false">J164-45.82</f>
        <v>19.4225531914894</v>
      </c>
      <c r="L164" s="85"/>
      <c r="M164" s="55" t="n">
        <f aca="false">'4.1.1'!G180/1.05</f>
        <v>19.2761904761905</v>
      </c>
      <c r="N164" s="55" t="n">
        <f aca="false">M164-0</f>
        <v>19.2761904761905</v>
      </c>
      <c r="O164" s="58"/>
      <c r="P164" s="55" t="n">
        <f aca="false">'4.1.1'!H180/1.05</f>
        <v>19.5238095238095</v>
      </c>
      <c r="Q164" s="55" t="n">
        <f aca="false">P164-3.13</f>
        <v>16.3938095238095</v>
      </c>
      <c r="R164" s="58"/>
      <c r="S164" s="84"/>
      <c r="T164" s="85"/>
      <c r="U164" s="85"/>
      <c r="V164" s="85"/>
      <c r="W164" s="85"/>
    </row>
    <row r="165" customFormat="false" ht="14.25" hidden="false" customHeight="true" outlineLevel="0" collapsed="false">
      <c r="A165" s="85" t="n">
        <v>2003</v>
      </c>
      <c r="B165" s="56" t="n">
        <v>37681</v>
      </c>
      <c r="C165" s="56"/>
      <c r="D165" s="55" t="n">
        <f aca="false">'4.1.1'!C181/1.175</f>
        <v>69.2425531914894</v>
      </c>
      <c r="E165" s="55" t="n">
        <f aca="false">D165-48.82</f>
        <v>20.4225531914894</v>
      </c>
      <c r="F165" s="55" t="n">
        <f aca="false">SUM(E163:E165)/3</f>
        <v>18.9303546099291</v>
      </c>
      <c r="G165" s="55" t="n">
        <f aca="false">'4.1.1'!F181/1.175</f>
        <v>69.0212765957447</v>
      </c>
      <c r="H165" s="55" t="n">
        <f aca="false">G165-45.82</f>
        <v>23.2012765957447</v>
      </c>
      <c r="I165" s="55" t="n">
        <f aca="false">SUM(H163:H165)/3</f>
        <v>20.9856737588652</v>
      </c>
      <c r="J165" s="55" t="n">
        <f aca="false">'4.1.1'!E181/1.175</f>
        <v>66.8510638297872</v>
      </c>
      <c r="K165" s="55" t="n">
        <f aca="false">J165-45.82</f>
        <v>21.0310638297872</v>
      </c>
      <c r="L165" s="55" t="n">
        <f aca="false">SUM(K163:K165)/3</f>
        <v>19.4736170212766</v>
      </c>
      <c r="M165" s="55" t="n">
        <f aca="false">'4.1.1'!G181/1.05</f>
        <v>21.4190476190476</v>
      </c>
      <c r="N165" s="55" t="n">
        <f aca="false">M165-0</f>
        <v>21.4190476190476</v>
      </c>
      <c r="O165" s="55" t="n">
        <f aca="false">SUM(N163:N165)/3</f>
        <v>19.2253968253968</v>
      </c>
      <c r="P165" s="55" t="n">
        <f aca="false">'4.1.1'!H181/1.05</f>
        <v>21.7809523809524</v>
      </c>
      <c r="Q165" s="55" t="n">
        <f aca="false">P165-3.13</f>
        <v>18.6509523809524</v>
      </c>
      <c r="R165" s="55" t="n">
        <f aca="false">SUM(Q163:Q165)/3</f>
        <v>16.5525396825397</v>
      </c>
      <c r="S165" s="84"/>
      <c r="T165" s="85"/>
      <c r="U165" s="85"/>
      <c r="V165" s="85"/>
      <c r="W165" s="85"/>
    </row>
    <row r="166" customFormat="false" ht="14.25" hidden="false" customHeight="true" outlineLevel="0" collapsed="false">
      <c r="A166" s="85" t="n">
        <v>2003</v>
      </c>
      <c r="B166" s="56" t="n">
        <v>37712</v>
      </c>
      <c r="C166" s="56"/>
      <c r="D166" s="55" t="n">
        <f aca="false">'4.1.1'!C182/1.175</f>
        <v>69.2936170212766</v>
      </c>
      <c r="E166" s="55" t="n">
        <f aca="false">D166-48.82</f>
        <v>20.4736170212766</v>
      </c>
      <c r="F166" s="55"/>
      <c r="G166" s="55" t="n">
        <f aca="false">'4.1.1'!F182/1.175</f>
        <v>68.8085106382979</v>
      </c>
      <c r="H166" s="55" t="n">
        <f aca="false">G166-45.82</f>
        <v>22.9885106382979</v>
      </c>
      <c r="I166" s="55"/>
      <c r="J166" s="55" t="n">
        <f aca="false">'4.1.1'!E182/1.175</f>
        <v>66.5531914893617</v>
      </c>
      <c r="K166" s="55" t="n">
        <f aca="false">J166-45.82</f>
        <v>20.7331914893617</v>
      </c>
      <c r="L166" s="85"/>
      <c r="M166" s="55" t="n">
        <f aca="false">'4.1.1'!G182/1.05</f>
        <v>15.4</v>
      </c>
      <c r="N166" s="55" t="n">
        <f aca="false">M166-0</f>
        <v>15.4</v>
      </c>
      <c r="O166" s="55"/>
      <c r="P166" s="55" t="n">
        <f aca="false">'4.1.1'!H182/1.05</f>
        <v>16.6666666666667</v>
      </c>
      <c r="Q166" s="55" t="n">
        <f aca="false">P166-4.22</f>
        <v>12.4466666666667</v>
      </c>
      <c r="R166" s="55"/>
      <c r="S166" s="84"/>
      <c r="T166" s="85"/>
      <c r="U166" s="85"/>
      <c r="V166" s="85"/>
      <c r="W166" s="85"/>
    </row>
    <row r="167" customFormat="false" ht="14.25" hidden="false" customHeight="true" outlineLevel="0" collapsed="false">
      <c r="A167" s="85" t="n">
        <v>2003</v>
      </c>
      <c r="B167" s="56" t="n">
        <v>37742</v>
      </c>
      <c r="C167" s="56"/>
      <c r="D167" s="55" t="n">
        <f aca="false">'4.1.1'!C183/1.175</f>
        <v>68.1191489361702</v>
      </c>
      <c r="E167" s="55" t="n">
        <f aca="false">D167-48.82</f>
        <v>19.2991489361702</v>
      </c>
      <c r="F167" s="55"/>
      <c r="G167" s="55" t="n">
        <f aca="false">'4.1.1'!F183/1.175</f>
        <v>66.5531914893617</v>
      </c>
      <c r="H167" s="55" t="n">
        <f aca="false">G167-45.82</f>
        <v>20.7331914893617</v>
      </c>
      <c r="I167" s="55"/>
      <c r="J167" s="55" t="n">
        <f aca="false">'4.1.1'!E183/1.175</f>
        <v>64.5446808510638</v>
      </c>
      <c r="K167" s="55" t="n">
        <f aca="false">J167-45.82</f>
        <v>18.7246808510638</v>
      </c>
      <c r="L167" s="85"/>
      <c r="M167" s="55" t="n">
        <f aca="false">'4.1.1'!G183/1.05</f>
        <v>14.9619047619048</v>
      </c>
      <c r="N167" s="55" t="n">
        <f aca="false">M167-0</f>
        <v>14.9619047619048</v>
      </c>
      <c r="O167" s="55"/>
      <c r="P167" s="55" t="n">
        <f aca="false">'4.1.1'!H183/1.05</f>
        <v>16.0761904761905</v>
      </c>
      <c r="Q167" s="55" t="n">
        <f aca="false">P167-4.22</f>
        <v>11.8561904761905</v>
      </c>
      <c r="R167" s="55"/>
      <c r="S167" s="84"/>
      <c r="T167" s="85"/>
      <c r="U167" s="85"/>
      <c r="V167" s="85"/>
      <c r="W167" s="85"/>
    </row>
    <row r="168" customFormat="false" ht="14.25" hidden="false" customHeight="true" outlineLevel="0" collapsed="false">
      <c r="A168" s="85" t="n">
        <v>2003</v>
      </c>
      <c r="B168" s="56" t="n">
        <v>37773</v>
      </c>
      <c r="C168" s="56"/>
      <c r="D168" s="55" t="n">
        <f aca="false">'4.1.1'!C184/1.175</f>
        <v>67.5404255319149</v>
      </c>
      <c r="E168" s="55" t="n">
        <f aca="false">D168-48.82</f>
        <v>18.7204255319149</v>
      </c>
      <c r="F168" s="55" t="n">
        <f aca="false">SUM(E166:E168)/3</f>
        <v>19.4977304964539</v>
      </c>
      <c r="G168" s="55" t="n">
        <f aca="false">'4.1.1'!F184/1.175</f>
        <v>65.2425531914894</v>
      </c>
      <c r="H168" s="55" t="n">
        <f aca="false">G168-45.82</f>
        <v>19.4225531914894</v>
      </c>
      <c r="I168" s="55" t="n">
        <f aca="false">SUM(H166:H168)/3</f>
        <v>21.048085106383</v>
      </c>
      <c r="J168" s="55" t="n">
        <f aca="false">'4.1.1'!E184/1.175</f>
        <v>63.3106382978723</v>
      </c>
      <c r="K168" s="55" t="n">
        <f aca="false">J168-45.82</f>
        <v>17.4906382978723</v>
      </c>
      <c r="L168" s="55" t="n">
        <f aca="false">SUM(K166:K168)/3</f>
        <v>18.9828368794326</v>
      </c>
      <c r="M168" s="55" t="n">
        <f aca="false">'4.1.1'!G184/1.05</f>
        <v>14.4380952380952</v>
      </c>
      <c r="N168" s="55" t="n">
        <f aca="false">M168-0</f>
        <v>14.4380952380952</v>
      </c>
      <c r="O168" s="55" t="n">
        <f aca="false">SUM(N166:N168)/3</f>
        <v>14.9333333333333</v>
      </c>
      <c r="P168" s="55" t="n">
        <f aca="false">'4.1.1'!H184/1.05</f>
        <v>15.9714285714286</v>
      </c>
      <c r="Q168" s="55" t="n">
        <f aca="false">P168-4.22</f>
        <v>11.7514285714286</v>
      </c>
      <c r="R168" s="55" t="n">
        <f aca="false">SUM(Q166:Q168)/3</f>
        <v>12.0180952380952</v>
      </c>
      <c r="S168" s="84"/>
      <c r="T168" s="85"/>
      <c r="U168" s="85"/>
      <c r="V168" s="85"/>
      <c r="W168" s="85"/>
    </row>
    <row r="169" customFormat="false" ht="14.25" hidden="false" customHeight="true" outlineLevel="0" collapsed="false">
      <c r="A169" s="85" t="n">
        <v>2003</v>
      </c>
      <c r="B169" s="56" t="n">
        <v>37803</v>
      </c>
      <c r="C169" s="56"/>
      <c r="D169" s="55" t="n">
        <f aca="false">'4.1.1'!C185/1.175</f>
        <v>67.736170212766</v>
      </c>
      <c r="E169" s="55" t="n">
        <f aca="false">D169-48.82</f>
        <v>18.916170212766</v>
      </c>
      <c r="F169" s="55"/>
      <c r="G169" s="55" t="n">
        <f aca="false">'4.1.1'!F185/1.175</f>
        <v>65.1659574468085</v>
      </c>
      <c r="H169" s="55" t="n">
        <f aca="false">G169-45.82</f>
        <v>19.3459574468085</v>
      </c>
      <c r="I169" s="55"/>
      <c r="J169" s="55" t="n">
        <f aca="false">'4.1.1'!E185/1.175</f>
        <v>63.3787234042553</v>
      </c>
      <c r="K169" s="55" t="n">
        <f aca="false">J169-45.82</f>
        <v>17.5587234042553</v>
      </c>
      <c r="L169" s="25"/>
      <c r="M169" s="55" t="n">
        <f aca="false">'4.1.1'!G185/1.05</f>
        <v>15.5238095238095</v>
      </c>
      <c r="N169" s="55" t="n">
        <f aca="false">M169-0</f>
        <v>15.5238095238095</v>
      </c>
      <c r="O169" s="55"/>
      <c r="P169" s="55" t="n">
        <f aca="false">'4.1.1'!H185/1.05</f>
        <v>16.7333333333333</v>
      </c>
      <c r="Q169" s="55" t="n">
        <f aca="false">P169-4.22</f>
        <v>12.5133333333333</v>
      </c>
      <c r="R169" s="55"/>
      <c r="S169" s="84"/>
      <c r="T169" s="85"/>
      <c r="U169" s="85"/>
      <c r="V169" s="85"/>
      <c r="W169" s="85"/>
    </row>
    <row r="170" customFormat="false" ht="14.25" hidden="false" customHeight="true" outlineLevel="0" collapsed="false">
      <c r="A170" s="85" t="n">
        <v>2003</v>
      </c>
      <c r="B170" s="56" t="n">
        <v>37834</v>
      </c>
      <c r="C170" s="56"/>
      <c r="D170" s="55" t="n">
        <f aca="false">'4.1.1'!C186/1.175</f>
        <v>67.8893617021277</v>
      </c>
      <c r="E170" s="55" t="n">
        <f aca="false">D170-48.82</f>
        <v>19.0693617021277</v>
      </c>
      <c r="F170" s="55"/>
      <c r="G170" s="55" t="n">
        <f aca="false">'4.1.1'!F186/1.175</f>
        <v>65.8042553191489</v>
      </c>
      <c r="H170" s="55" t="n">
        <f aca="false">G170-45.82</f>
        <v>19.9842553191489</v>
      </c>
      <c r="I170" s="88"/>
      <c r="J170" s="55" t="n">
        <f aca="false">'4.1.1'!E186/1.175</f>
        <v>64.4510638297872</v>
      </c>
      <c r="K170" s="55" t="n">
        <f aca="false">J170-45.82</f>
        <v>18.6310638297872</v>
      </c>
      <c r="L170" s="25"/>
      <c r="M170" s="55" t="n">
        <f aca="false">'4.1.1'!G186/1.05</f>
        <v>16.4952380952381</v>
      </c>
      <c r="N170" s="55" t="n">
        <f aca="false">M170-0</f>
        <v>16.4952380952381</v>
      </c>
      <c r="O170" s="55"/>
      <c r="P170" s="55" t="n">
        <f aca="false">'4.1.1'!H186/1.05</f>
        <v>17.6285714285714</v>
      </c>
      <c r="Q170" s="55" t="n">
        <f aca="false">P170-4.22</f>
        <v>13.4085714285714</v>
      </c>
      <c r="R170" s="55"/>
      <c r="S170" s="84"/>
      <c r="T170" s="85"/>
      <c r="U170" s="85"/>
      <c r="V170" s="85"/>
      <c r="W170" s="85"/>
    </row>
    <row r="171" customFormat="false" ht="14.25" hidden="false" customHeight="true" outlineLevel="0" collapsed="false">
      <c r="A171" s="85" t="n">
        <v>2003</v>
      </c>
      <c r="B171" s="56" t="n">
        <v>37865</v>
      </c>
      <c r="C171" s="56"/>
      <c r="D171" s="55" t="n">
        <f aca="false">'4.1.1'!C187/1.175</f>
        <v>67.9234042553191</v>
      </c>
      <c r="E171" s="55" t="n">
        <f aca="false">D171-48.82</f>
        <v>19.1034042553191</v>
      </c>
      <c r="F171" s="55" t="n">
        <f aca="false">SUM(E169:E171)/3</f>
        <v>19.0296453900709</v>
      </c>
      <c r="G171" s="55" t="n">
        <f aca="false">'4.1.1'!F187/1.175</f>
        <v>66</v>
      </c>
      <c r="H171" s="55" t="n">
        <f aca="false">G171-45.82</f>
        <v>20.18</v>
      </c>
      <c r="I171" s="55" t="n">
        <f aca="false">SUM(H169:H171)/3</f>
        <v>19.8367375886525</v>
      </c>
      <c r="J171" s="55" t="n">
        <f aca="false">'4.1.1'!E187/1.175</f>
        <v>64.7659574468085</v>
      </c>
      <c r="K171" s="55" t="n">
        <f aca="false">J171-45.82</f>
        <v>18.9459574468085</v>
      </c>
      <c r="L171" s="55" t="n">
        <f aca="false">SUM(K169:K171)/3</f>
        <v>18.3785815602837</v>
      </c>
      <c r="M171" s="55" t="n">
        <f aca="false">'4.1.1'!G187/1.05</f>
        <v>16.0095238095238</v>
      </c>
      <c r="N171" s="55" t="n">
        <f aca="false">M171-0</f>
        <v>16.0095238095238</v>
      </c>
      <c r="O171" s="55" t="n">
        <f aca="false">SUM(N169:N171)/3</f>
        <v>16.0095238095238</v>
      </c>
      <c r="P171" s="55" t="n">
        <f aca="false">'4.1.1'!H187/1.05</f>
        <v>17.0857142857143</v>
      </c>
      <c r="Q171" s="55" t="n">
        <f aca="false">P171-4.22</f>
        <v>12.8657142857143</v>
      </c>
      <c r="R171" s="55" t="n">
        <f aca="false">SUM(Q169:Q171)/3</f>
        <v>12.9292063492064</v>
      </c>
      <c r="S171" s="84"/>
      <c r="T171" s="85"/>
      <c r="U171" s="85"/>
      <c r="V171" s="85"/>
      <c r="W171" s="85"/>
    </row>
    <row r="172" customFormat="false" ht="14.25" hidden="false" customHeight="true" outlineLevel="0" collapsed="false">
      <c r="A172" s="85" t="n">
        <v>2003</v>
      </c>
      <c r="B172" s="56" t="n">
        <v>37895</v>
      </c>
      <c r="C172" s="56"/>
      <c r="D172" s="55" t="n">
        <f aca="false">'4.1.1'!C188/1.175</f>
        <v>68.1276595744681</v>
      </c>
      <c r="E172" s="55" t="n">
        <f aca="false">D172-50.19</f>
        <v>17.9376595744681</v>
      </c>
      <c r="F172" s="88"/>
      <c r="G172" s="55" t="n">
        <f aca="false">'4.1.1'!F188/1.175</f>
        <v>65.8553191489362</v>
      </c>
      <c r="H172" s="55" t="n">
        <f aca="false">G172-47.1</f>
        <v>18.7553191489362</v>
      </c>
      <c r="I172" s="89"/>
      <c r="J172" s="55" t="n">
        <f aca="false">'4.1.1'!E188/1.175</f>
        <v>64.5446808510638</v>
      </c>
      <c r="K172" s="55" t="n">
        <f aca="false">J172-47.1</f>
        <v>17.4446808510638</v>
      </c>
      <c r="L172" s="25"/>
      <c r="M172" s="55" t="n">
        <f aca="false">'4.1.1'!G188/1.05</f>
        <v>16.2571428571429</v>
      </c>
      <c r="N172" s="55" t="n">
        <f aca="false">M172-0</f>
        <v>16.2571428571429</v>
      </c>
      <c r="O172" s="55"/>
      <c r="P172" s="55" t="n">
        <f aca="false">'4.1.1'!H188/1.05</f>
        <v>17.7142857142857</v>
      </c>
      <c r="Q172" s="55" t="n">
        <f aca="false">P172-4.22</f>
        <v>13.4942857142857</v>
      </c>
      <c r="R172" s="55"/>
      <c r="S172" s="84"/>
      <c r="T172" s="85"/>
      <c r="U172" s="85"/>
      <c r="V172" s="85"/>
      <c r="W172" s="85"/>
    </row>
    <row r="173" customFormat="false" ht="14.25" hidden="false" customHeight="true" outlineLevel="0" collapsed="false">
      <c r="A173" s="85" t="n">
        <v>2003</v>
      </c>
      <c r="B173" s="56" t="n">
        <v>37926</v>
      </c>
      <c r="C173" s="56"/>
      <c r="D173" s="55" t="n">
        <f aca="false">'4.1.1'!C189/1.175</f>
        <v>68.2468085106383</v>
      </c>
      <c r="E173" s="55" t="n">
        <f aca="false">D173-50.19</f>
        <v>18.0568085106383</v>
      </c>
      <c r="F173" s="88"/>
      <c r="G173" s="55" t="n">
        <f aca="false">'4.1.1'!F189/1.175</f>
        <v>65.9148936170213</v>
      </c>
      <c r="H173" s="55" t="n">
        <f aca="false">G173-47.1</f>
        <v>18.8148936170213</v>
      </c>
      <c r="I173" s="88"/>
      <c r="J173" s="55" t="n">
        <f aca="false">'4.1.1'!E189/1.175</f>
        <v>64.5617021276596</v>
      </c>
      <c r="K173" s="55" t="n">
        <f aca="false">J173-47.1</f>
        <v>17.4617021276596</v>
      </c>
      <c r="L173" s="90"/>
      <c r="M173" s="55" t="n">
        <f aca="false">'4.1.1'!G189/1.05</f>
        <v>16.7142857142857</v>
      </c>
      <c r="N173" s="57" t="n">
        <f aca="false">M173-0</f>
        <v>16.7142857142857</v>
      </c>
      <c r="O173" s="91"/>
      <c r="P173" s="55" t="n">
        <f aca="false">'4.1.1'!H189/1.05</f>
        <v>17.847619047619</v>
      </c>
      <c r="Q173" s="57" t="n">
        <f aca="false">P173-4.22</f>
        <v>13.627619047619</v>
      </c>
      <c r="R173" s="92"/>
      <c r="S173" s="84"/>
      <c r="T173" s="85"/>
      <c r="U173" s="85"/>
      <c r="V173" s="85"/>
      <c r="W173" s="85"/>
    </row>
    <row r="174" customFormat="false" ht="14.25" hidden="false" customHeight="true" outlineLevel="0" collapsed="false">
      <c r="A174" s="85" t="n">
        <v>2003</v>
      </c>
      <c r="B174" s="56" t="n">
        <v>37956</v>
      </c>
      <c r="C174" s="56"/>
      <c r="D174" s="55" t="n">
        <f aca="false">'4.1.1'!C190/1.175</f>
        <v>68.2978723404255</v>
      </c>
      <c r="E174" s="55" t="n">
        <f aca="false">D174-50.19</f>
        <v>18.1078723404255</v>
      </c>
      <c r="F174" s="55" t="n">
        <f aca="false">SUM(E172:E174)/3</f>
        <v>18.0341134751773</v>
      </c>
      <c r="G174" s="55" t="n">
        <f aca="false">'4.1.1'!F190/1.175</f>
        <v>66.0085106382979</v>
      </c>
      <c r="H174" s="55" t="n">
        <f aca="false">G174-47.1</f>
        <v>18.9085106382979</v>
      </c>
      <c r="I174" s="55" t="n">
        <f aca="false">SUM(H172:H174)/3</f>
        <v>18.8262411347518</v>
      </c>
      <c r="J174" s="55" t="n">
        <f aca="false">'4.1.1'!E190/1.175</f>
        <v>64.5787234042553</v>
      </c>
      <c r="K174" s="55" t="n">
        <f aca="false">J174-47.1</f>
        <v>17.4787234042553</v>
      </c>
      <c r="L174" s="55" t="n">
        <f aca="false">SUM(K172:K174)/3</f>
        <v>17.4617021276596</v>
      </c>
      <c r="M174" s="55" t="n">
        <f aca="false">'4.1.1'!G190/1.05</f>
        <v>17.3333333333333</v>
      </c>
      <c r="N174" s="57" t="n">
        <f aca="false">M174-0</f>
        <v>17.3333333333333</v>
      </c>
      <c r="O174" s="55" t="n">
        <f aca="false">SUM(N172:N174)/3</f>
        <v>16.768253968254</v>
      </c>
      <c r="P174" s="55" t="n">
        <f aca="false">'4.1.1'!H190/1.05</f>
        <v>17.5904761904762</v>
      </c>
      <c r="Q174" s="57" t="n">
        <f aca="false">P174-4.22</f>
        <v>13.3704761904762</v>
      </c>
      <c r="R174" s="55" t="n">
        <f aca="false">SUM(Q172:Q174)/3</f>
        <v>13.4974603174603</v>
      </c>
      <c r="S174" s="84"/>
      <c r="T174" s="55" t="n">
        <f aca="false">AVERAGE(G163:G174)</f>
        <v>66.3141843971631</v>
      </c>
      <c r="U174" s="55" t="n">
        <f aca="false">AVERAGE(H163:H174)</f>
        <v>20.1741843971631</v>
      </c>
      <c r="V174" s="55" t="n">
        <f aca="false">AVERAGE(J163:J174)</f>
        <v>64.7141843971631</v>
      </c>
      <c r="W174" s="55" t="n">
        <f aca="false">AVERAGE(K163:K174)</f>
        <v>18.5741843971631</v>
      </c>
    </row>
    <row r="175" customFormat="false" ht="14.25" hidden="false" customHeight="true" outlineLevel="0" collapsed="false">
      <c r="A175" s="85" t="n">
        <v>2004</v>
      </c>
      <c r="B175" s="56" t="n">
        <v>37987</v>
      </c>
      <c r="C175" s="56"/>
      <c r="D175" s="55" t="n">
        <f aca="false">'4.1.1'!C191/1.175</f>
        <v>68.1191489361702</v>
      </c>
      <c r="E175" s="55" t="n">
        <f aca="false">D175-50.19</f>
        <v>17.9291489361702</v>
      </c>
      <c r="F175" s="88"/>
      <c r="G175" s="55" t="n">
        <f aca="false">'4.1.1'!F191/1.175</f>
        <v>66.3148936170213</v>
      </c>
      <c r="H175" s="55" t="n">
        <f aca="false">G175-47.1</f>
        <v>19.2148936170213</v>
      </c>
      <c r="I175" s="88"/>
      <c r="J175" s="55" t="n">
        <f aca="false">'4.1.1'!E191/1.175</f>
        <v>64.8510638297872</v>
      </c>
      <c r="K175" s="55" t="n">
        <f aca="false">J175-47.1</f>
        <v>17.7510638297872</v>
      </c>
      <c r="L175" s="25"/>
      <c r="M175" s="55" t="n">
        <f aca="false">'4.1.1'!G191/1.05</f>
        <v>17.4571428571429</v>
      </c>
      <c r="N175" s="57" t="n">
        <f aca="false">M175-0</f>
        <v>17.4571428571429</v>
      </c>
      <c r="O175" s="55"/>
      <c r="P175" s="55" t="n">
        <f aca="false">'4.1.1'!H191/1.05</f>
        <v>18.047619047619</v>
      </c>
      <c r="Q175" s="57" t="n">
        <f aca="false">P175-4.22</f>
        <v>13.827619047619</v>
      </c>
      <c r="R175" s="55"/>
      <c r="S175" s="84"/>
      <c r="T175" s="85"/>
      <c r="U175" s="85"/>
      <c r="V175" s="85"/>
      <c r="W175" s="85"/>
    </row>
    <row r="176" customFormat="false" ht="14.25" hidden="false" customHeight="true" outlineLevel="0" collapsed="false">
      <c r="A176" s="85" t="n">
        <v>2004</v>
      </c>
      <c r="B176" s="56" t="n">
        <v>38018</v>
      </c>
      <c r="C176" s="56"/>
      <c r="D176" s="55" t="n">
        <f aca="false">'4.1.1'!C192/1.175</f>
        <v>67.9914893617021</v>
      </c>
      <c r="E176" s="55" t="n">
        <f aca="false">D176-50.19</f>
        <v>17.8014893617021</v>
      </c>
      <c r="F176" s="88"/>
      <c r="G176" s="55" t="n">
        <f aca="false">'4.1.1'!F192/1.175</f>
        <v>66.3234042553192</v>
      </c>
      <c r="H176" s="55" t="n">
        <f aca="false">G176-47.1</f>
        <v>19.2234042553191</v>
      </c>
      <c r="I176" s="88"/>
      <c r="J176" s="55" t="n">
        <f aca="false">'4.1.1'!E192/1.175</f>
        <v>64.9872340425532</v>
      </c>
      <c r="K176" s="55" t="n">
        <f aca="false">J176-47.1</f>
        <v>17.8872340425532</v>
      </c>
      <c r="L176" s="25"/>
      <c r="M176" s="55" t="n">
        <f aca="false">'4.1.1'!G192/1.05</f>
        <v>16.8857142857143</v>
      </c>
      <c r="N176" s="57" t="n">
        <f aca="false">M176-0</f>
        <v>16.8857142857143</v>
      </c>
      <c r="O176" s="55"/>
      <c r="P176" s="55" t="n">
        <f aca="false">'4.1.1'!H192/1.05</f>
        <v>16.7428571428571</v>
      </c>
      <c r="Q176" s="57" t="n">
        <f aca="false">P176-4.22</f>
        <v>12.5228571428571</v>
      </c>
      <c r="R176" s="55"/>
      <c r="S176" s="84"/>
      <c r="T176" s="85"/>
      <c r="U176" s="85"/>
      <c r="V176" s="85"/>
      <c r="W176" s="85"/>
    </row>
    <row r="177" customFormat="false" ht="14.25" hidden="false" customHeight="true" outlineLevel="0" collapsed="false">
      <c r="A177" s="85" t="n">
        <v>2004</v>
      </c>
      <c r="B177" s="56" t="n">
        <v>38047</v>
      </c>
      <c r="C177" s="56"/>
      <c r="D177" s="55" t="n">
        <f aca="false">'4.1.1'!C193/1.175</f>
        <v>68.9021276595745</v>
      </c>
      <c r="E177" s="55" t="n">
        <f aca="false">D177-50.19</f>
        <v>18.7121276595745</v>
      </c>
      <c r="F177" s="55" t="n">
        <f aca="false">SUM(E175:E177)/3</f>
        <v>18.1475886524823</v>
      </c>
      <c r="G177" s="55" t="n">
        <f aca="false">'4.1.1'!F193/1.175</f>
        <v>66.8936170212766</v>
      </c>
      <c r="H177" s="55" t="n">
        <f aca="false">G177-47.1</f>
        <v>19.7936170212766</v>
      </c>
      <c r="I177" s="55" t="n">
        <f aca="false">SUM(H175:H177)/3</f>
        <v>19.4106382978723</v>
      </c>
      <c r="J177" s="55" t="n">
        <f aca="false">'4.1.1'!E193/1.175</f>
        <v>65.6595744680851</v>
      </c>
      <c r="K177" s="55" t="n">
        <f aca="false">J177-47.1</f>
        <v>18.5595744680851</v>
      </c>
      <c r="L177" s="55" t="n">
        <f aca="false">SUM(K175:K177)/3</f>
        <v>18.0659574468085</v>
      </c>
      <c r="M177" s="55" t="n">
        <f aca="false">'4.1.1'!G193/1.05</f>
        <v>17.1142857142857</v>
      </c>
      <c r="N177" s="57" t="n">
        <f aca="false">M177-0</f>
        <v>17.1142857142857</v>
      </c>
      <c r="O177" s="55" t="n">
        <f aca="false">SUM(N175:N177)/3</f>
        <v>17.152380952381</v>
      </c>
      <c r="P177" s="55" t="n">
        <f aca="false">'4.1.1'!H193/1.05</f>
        <v>17.8190476190476</v>
      </c>
      <c r="Q177" s="57" t="n">
        <f aca="false">P177-4.22</f>
        <v>13.5990476190476</v>
      </c>
      <c r="R177" s="55" t="n">
        <f aca="false">SUM(Q175:Q177)/3</f>
        <v>13.3165079365079</v>
      </c>
      <c r="S177" s="84"/>
      <c r="T177" s="85"/>
      <c r="U177" s="85"/>
      <c r="V177" s="85"/>
      <c r="W177" s="85"/>
    </row>
    <row r="178" customFormat="false" ht="14.25" hidden="false" customHeight="true" outlineLevel="0" collapsed="false">
      <c r="A178" s="85" t="n">
        <v>2004</v>
      </c>
      <c r="B178" s="56" t="n">
        <v>38078</v>
      </c>
      <c r="C178" s="93" t="s">
        <v>128</v>
      </c>
      <c r="D178" s="55" t="n">
        <f aca="false">'4.1.1'!C194/1.175</f>
        <v>69.1489361702128</v>
      </c>
      <c r="E178" s="55" t="n">
        <f aca="false">D178-47.1</f>
        <v>22.0489361702128</v>
      </c>
      <c r="F178" s="88"/>
      <c r="G178" s="55" t="n">
        <f aca="false">'4.1.1'!F194/1.175</f>
        <v>67.4127659574468</v>
      </c>
      <c r="H178" s="55" t="n">
        <f aca="false">G178-47.1</f>
        <v>20.3127659574468</v>
      </c>
      <c r="I178" s="88"/>
      <c r="J178" s="55" t="n">
        <f aca="false">'4.1.1'!E194/1.175</f>
        <v>66.2212765957447</v>
      </c>
      <c r="K178" s="55" t="n">
        <f aca="false">J178-47.1</f>
        <v>19.1212765957447</v>
      </c>
      <c r="L178" s="85"/>
      <c r="M178" s="55" t="n">
        <f aca="false">'4.1.1'!G194/1.05</f>
        <v>17.4380952380952</v>
      </c>
      <c r="N178" s="57" t="n">
        <f aca="false">M178-0</f>
        <v>17.4380952380952</v>
      </c>
      <c r="O178" s="55"/>
      <c r="P178" s="55" t="n">
        <f aca="false">'4.1.1'!H194/1.05</f>
        <v>18.5714285714286</v>
      </c>
      <c r="Q178" s="57" t="n">
        <f aca="false">P178-4.22</f>
        <v>14.3514285714286</v>
      </c>
      <c r="R178" s="55"/>
      <c r="S178" s="84"/>
      <c r="T178" s="85"/>
      <c r="U178" s="85"/>
      <c r="V178" s="85"/>
      <c r="W178" s="85"/>
    </row>
    <row r="179" customFormat="false" ht="14.25" hidden="false" customHeight="true" outlineLevel="0" collapsed="false">
      <c r="A179" s="85" t="n">
        <v>2004</v>
      </c>
      <c r="B179" s="56" t="n">
        <v>38108</v>
      </c>
      <c r="C179" s="56"/>
      <c r="D179" s="55" t="n">
        <f aca="false">'4.1.1'!C195/1.175</f>
        <v>71.7617021276596</v>
      </c>
      <c r="E179" s="55" t="n">
        <f aca="false">D179-47.1</f>
        <v>24.6617021276596</v>
      </c>
      <c r="F179" s="88"/>
      <c r="G179" s="55" t="n">
        <f aca="false">'4.1.1'!F195/1.175</f>
        <v>70.0595744680851</v>
      </c>
      <c r="H179" s="55" t="n">
        <f aca="false">G179-47.1</f>
        <v>22.9595744680851</v>
      </c>
      <c r="I179" s="88"/>
      <c r="J179" s="55" t="n">
        <f aca="false">'4.1.1'!E195/1.175</f>
        <v>68.9531914893617</v>
      </c>
      <c r="K179" s="55" t="n">
        <f aca="false">J179-47.1</f>
        <v>21.8531914893617</v>
      </c>
      <c r="L179" s="85"/>
      <c r="M179" s="55" t="n">
        <f aca="false">'4.1.1'!G195/1.05</f>
        <v>20.1142857142857</v>
      </c>
      <c r="N179" s="57" t="n">
        <f aca="false">M179-0</f>
        <v>20.1142857142857</v>
      </c>
      <c r="O179" s="55"/>
      <c r="P179" s="55" t="n">
        <f aca="false">'4.1.1'!H195/1.05</f>
        <v>19.8952380952381</v>
      </c>
      <c r="Q179" s="57" t="n">
        <f aca="false">P179-4.22</f>
        <v>15.6752380952381</v>
      </c>
      <c r="R179" s="55"/>
      <c r="S179" s="84"/>
      <c r="T179" s="85"/>
      <c r="U179" s="85"/>
      <c r="V179" s="85"/>
      <c r="W179" s="85"/>
    </row>
    <row r="180" customFormat="false" ht="14.25" hidden="false" customHeight="true" outlineLevel="0" collapsed="false">
      <c r="A180" s="85" t="n">
        <v>2004</v>
      </c>
      <c r="B180" s="56" t="n">
        <v>38139</v>
      </c>
      <c r="C180" s="56"/>
      <c r="D180" s="55" t="n">
        <f aca="false">'4.1.1'!C196/1.175</f>
        <v>72.3489361702128</v>
      </c>
      <c r="E180" s="55" t="n">
        <f aca="false">D180-47.1</f>
        <v>25.2489361702128</v>
      </c>
      <c r="F180" s="55" t="n">
        <f aca="false">SUM(E178:E180)/3</f>
        <v>23.986524822695</v>
      </c>
      <c r="G180" s="55" t="n">
        <f aca="false">'4.1.1'!F196/1.175</f>
        <v>70.5191489361702</v>
      </c>
      <c r="H180" s="55" t="n">
        <f aca="false">G180-47.1</f>
        <v>23.4191489361702</v>
      </c>
      <c r="I180" s="55" t="n">
        <f aca="false">SUM(H178:H180)/3</f>
        <v>22.2304964539007</v>
      </c>
      <c r="J180" s="55" t="n">
        <f aca="false">'4.1.1'!E196/1.175</f>
        <v>69.531914893617</v>
      </c>
      <c r="K180" s="55" t="n">
        <f aca="false">J180-47.1</f>
        <v>22.431914893617</v>
      </c>
      <c r="L180" s="55" t="n">
        <f aca="false">SUM(K178:K180)/3</f>
        <v>21.1354609929078</v>
      </c>
      <c r="M180" s="55" t="n">
        <f aca="false">'4.1.1'!G196/1.05</f>
        <v>18.8285714285714</v>
      </c>
      <c r="N180" s="57" t="n">
        <f aca="false">M180-0</f>
        <v>18.8285714285714</v>
      </c>
      <c r="O180" s="55" t="n">
        <f aca="false">SUM(N178:N180)/3</f>
        <v>18.7936507936508</v>
      </c>
      <c r="P180" s="55" t="n">
        <f aca="false">'4.1.1'!H196/1.05</f>
        <v>19.5809523809524</v>
      </c>
      <c r="Q180" s="57" t="n">
        <f aca="false">P180-4.22</f>
        <v>15.3609523809524</v>
      </c>
      <c r="R180" s="55" t="n">
        <f aca="false">SUM(Q178:Q180)/3</f>
        <v>15.1292063492063</v>
      </c>
      <c r="S180" s="84"/>
      <c r="T180" s="85"/>
      <c r="U180" s="85"/>
      <c r="V180" s="85"/>
      <c r="W180" s="85"/>
    </row>
    <row r="181" customFormat="false" ht="14.25" hidden="false" customHeight="true" outlineLevel="0" collapsed="false">
      <c r="A181" s="85" t="n">
        <v>2004</v>
      </c>
      <c r="B181" s="56" t="n">
        <v>38169</v>
      </c>
      <c r="C181" s="56"/>
      <c r="D181" s="55" t="n">
        <f aca="false">'4.1.1'!C197/1.175</f>
        <v>72.1446808510638</v>
      </c>
      <c r="E181" s="55" t="n">
        <f aca="false">D181-47.1</f>
        <v>25.0446808510638</v>
      </c>
      <c r="F181" s="55"/>
      <c r="G181" s="55" t="n">
        <f aca="false">'4.1.1'!F197/1.175</f>
        <v>69.0808510638298</v>
      </c>
      <c r="H181" s="55" t="n">
        <f aca="false">G181-47.1</f>
        <v>21.9808510638298</v>
      </c>
      <c r="I181" s="55"/>
      <c r="J181" s="55" t="n">
        <f aca="false">'4.1.1'!E197/1.175</f>
        <v>68.3829787234043</v>
      </c>
      <c r="K181" s="55" t="n">
        <f aca="false">J181-47.1</f>
        <v>21.2829787234043</v>
      </c>
      <c r="L181" s="55"/>
      <c r="M181" s="55" t="n">
        <f aca="false">'4.1.1'!G197/1.05</f>
        <v>19.7047619047619</v>
      </c>
      <c r="N181" s="57" t="n">
        <f aca="false">M181-0</f>
        <v>19.7047619047619</v>
      </c>
      <c r="O181" s="55"/>
      <c r="P181" s="55" t="n">
        <f aca="false">'4.1.1'!H197/1.05</f>
        <v>20.4</v>
      </c>
      <c r="Q181" s="57" t="n">
        <f aca="false">P181-4.22</f>
        <v>16.18</v>
      </c>
      <c r="R181" s="55"/>
      <c r="S181" s="84"/>
      <c r="T181" s="85"/>
      <c r="U181" s="85"/>
      <c r="V181" s="85"/>
      <c r="W181" s="85"/>
    </row>
    <row r="182" customFormat="false" ht="14.25" hidden="false" customHeight="true" outlineLevel="0" collapsed="false">
      <c r="A182" s="85" t="n">
        <v>2004</v>
      </c>
      <c r="B182" s="56" t="n">
        <v>38200</v>
      </c>
      <c r="C182" s="56"/>
      <c r="D182" s="55" t="n">
        <f aca="false">'4.1.1'!C198/1.175</f>
        <v>72.5872340425532</v>
      </c>
      <c r="E182" s="55" t="n">
        <f aca="false">D182-47.1</f>
        <v>25.4872340425532</v>
      </c>
      <c r="F182" s="55"/>
      <c r="G182" s="55" t="n">
        <f aca="false">'4.1.1'!F198/1.175</f>
        <v>70.0255319148936</v>
      </c>
      <c r="H182" s="55" t="n">
        <f aca="false">G182-47.1</f>
        <v>22.9255319148936</v>
      </c>
      <c r="I182" s="55"/>
      <c r="J182" s="55" t="n">
        <f aca="false">'4.1.1'!E198/1.175</f>
        <v>69.0553191489362</v>
      </c>
      <c r="K182" s="55" t="n">
        <f aca="false">J182-47.1</f>
        <v>21.9553191489362</v>
      </c>
      <c r="L182" s="55"/>
      <c r="M182" s="55" t="n">
        <f aca="false">'4.1.1'!G198/1.05</f>
        <v>21.752380952381</v>
      </c>
      <c r="N182" s="57" t="n">
        <f aca="false">M182-0</f>
        <v>21.752380952381</v>
      </c>
      <c r="O182" s="55"/>
      <c r="P182" s="55" t="n">
        <f aca="false">'4.1.1'!H198/1.05</f>
        <v>22.4571428571429</v>
      </c>
      <c r="Q182" s="57" t="n">
        <f aca="false">P182-4.22</f>
        <v>18.2371428571429</v>
      </c>
      <c r="R182" s="55"/>
      <c r="S182" s="84"/>
      <c r="T182" s="85"/>
      <c r="U182" s="85"/>
      <c r="V182" s="85"/>
      <c r="W182" s="85"/>
    </row>
    <row r="183" customFormat="false" ht="14.25" hidden="false" customHeight="true" outlineLevel="0" collapsed="false">
      <c r="A183" s="85" t="n">
        <v>2004</v>
      </c>
      <c r="B183" s="56" t="n">
        <v>38231</v>
      </c>
      <c r="C183" s="56"/>
      <c r="D183" s="55" t="n">
        <f aca="false">'4.1.1'!C199/1.175</f>
        <v>73.3191489361702</v>
      </c>
      <c r="E183" s="55" t="n">
        <f aca="false">D183-47.1</f>
        <v>26.2191489361702</v>
      </c>
      <c r="F183" s="55" t="n">
        <f aca="false">SUM(E181:E183)/3</f>
        <v>25.5836879432624</v>
      </c>
      <c r="G183" s="55" t="n">
        <f aca="false">'4.1.1'!F199/1.175</f>
        <v>70.5872340425532</v>
      </c>
      <c r="H183" s="55" t="n">
        <f aca="false">G183-47.1</f>
        <v>23.4872340425532</v>
      </c>
      <c r="I183" s="55" t="n">
        <f aca="false">SUM(H181:H183)/3</f>
        <v>22.7978723404255</v>
      </c>
      <c r="J183" s="55" t="n">
        <f aca="false">'4.1.1'!E199/1.175</f>
        <v>69.1489361702128</v>
      </c>
      <c r="K183" s="55" t="n">
        <f aca="false">J183-47.1</f>
        <v>22.0489361702128</v>
      </c>
      <c r="L183" s="55" t="n">
        <f aca="false">SUM(K181:K183)/3</f>
        <v>21.7624113475177</v>
      </c>
      <c r="M183" s="55" t="n">
        <f aca="false">'4.1.1'!G199/1.05</f>
        <v>22.4571428571429</v>
      </c>
      <c r="N183" s="57" t="n">
        <f aca="false">M183-0</f>
        <v>22.4571428571429</v>
      </c>
      <c r="O183" s="55" t="n">
        <f aca="false">SUM(N181:N183)/3</f>
        <v>21.3047619047619</v>
      </c>
      <c r="P183" s="55" t="n">
        <f aca="false">'4.1.1'!H199/1.05</f>
        <v>22.8190476190476</v>
      </c>
      <c r="Q183" s="57" t="n">
        <f aca="false">P183-4.22</f>
        <v>18.5990476190476</v>
      </c>
      <c r="R183" s="55" t="n">
        <f aca="false">SUM(Q181:Q183)/3</f>
        <v>17.6720634920635</v>
      </c>
      <c r="S183" s="84"/>
      <c r="T183" s="85"/>
      <c r="U183" s="85"/>
      <c r="V183" s="85"/>
      <c r="W183" s="85"/>
    </row>
    <row r="184" customFormat="false" ht="14.25" hidden="false" customHeight="true" outlineLevel="0" collapsed="false">
      <c r="A184" s="85" t="n">
        <v>2004</v>
      </c>
      <c r="B184" s="56" t="n">
        <v>38261</v>
      </c>
      <c r="C184" s="56"/>
      <c r="D184" s="55" t="n">
        <f aca="false">'4.1.1'!C200/1.175</f>
        <v>74.6382978723404</v>
      </c>
      <c r="E184" s="55" t="n">
        <f aca="false">D184-47.1</f>
        <v>27.5382978723404</v>
      </c>
      <c r="F184" s="55"/>
      <c r="G184" s="55" t="n">
        <f aca="false">'4.1.1'!F200/1.175</f>
        <v>72.6553191489362</v>
      </c>
      <c r="H184" s="55" t="n">
        <f aca="false">G184-47.1</f>
        <v>25.5553191489362</v>
      </c>
      <c r="I184" s="55"/>
      <c r="J184" s="55" t="n">
        <f aca="false">'4.1.1'!E200/1.175</f>
        <v>70.7489361702128</v>
      </c>
      <c r="K184" s="55" t="n">
        <f aca="false">J184-47.1</f>
        <v>23.6489361702128</v>
      </c>
      <c r="L184" s="55"/>
      <c r="M184" s="55" t="n">
        <f aca="false">'4.1.1'!G200/1.05</f>
        <v>25.8095238095238</v>
      </c>
      <c r="N184" s="57" t="n">
        <f aca="false">M184-0</f>
        <v>25.8095238095238</v>
      </c>
      <c r="O184" s="55"/>
      <c r="P184" s="55" t="n">
        <f aca="false">'4.1.1'!H200/1.05</f>
        <v>26.9238095238095</v>
      </c>
      <c r="Q184" s="57" t="n">
        <f aca="false">P184-4.22</f>
        <v>22.7038095238095</v>
      </c>
      <c r="R184" s="55"/>
      <c r="S184" s="84"/>
      <c r="T184" s="85"/>
      <c r="U184" s="85"/>
      <c r="V184" s="85"/>
      <c r="W184" s="85"/>
    </row>
    <row r="185" customFormat="false" ht="14.25" hidden="false" customHeight="true" outlineLevel="0" collapsed="false">
      <c r="A185" s="85" t="n">
        <v>2004</v>
      </c>
      <c r="B185" s="56" t="n">
        <v>38292</v>
      </c>
      <c r="C185" s="56"/>
      <c r="D185" s="55" t="n">
        <f aca="false">'4.1.1'!C201/1.175</f>
        <v>75.7957446808511</v>
      </c>
      <c r="E185" s="55" t="n">
        <f aca="false">D185-47.1</f>
        <v>28.6957446808511</v>
      </c>
      <c r="F185" s="55"/>
      <c r="G185" s="55" t="n">
        <f aca="false">'4.1.1'!F201/1.175</f>
        <v>73.5489361702128</v>
      </c>
      <c r="H185" s="55" t="n">
        <f aca="false">G185-47.1</f>
        <v>26.4489361702128</v>
      </c>
      <c r="I185" s="55"/>
      <c r="J185" s="55" t="n">
        <f aca="false">'4.1.1'!E201/1.175</f>
        <v>71.6340425531915</v>
      </c>
      <c r="K185" s="55" t="n">
        <f aca="false">J185-47.1</f>
        <v>24.5340425531915</v>
      </c>
      <c r="L185" s="55"/>
      <c r="M185" s="55" t="n">
        <f aca="false">'4.1.1'!G201/1.05</f>
        <v>24.1619047619048</v>
      </c>
      <c r="N185" s="57" t="n">
        <f aca="false">M185-0</f>
        <v>24.1619047619048</v>
      </c>
      <c r="O185" s="55"/>
      <c r="P185" s="55" t="n">
        <f aca="false">'4.1.1'!H201/1.05</f>
        <v>24.8571428571429</v>
      </c>
      <c r="Q185" s="57" t="n">
        <f aca="false">P185-4.22</f>
        <v>20.6371428571429</v>
      </c>
      <c r="R185" s="55"/>
      <c r="S185" s="84"/>
      <c r="T185" s="85"/>
      <c r="U185" s="85"/>
      <c r="V185" s="85"/>
      <c r="W185" s="85"/>
    </row>
    <row r="186" customFormat="false" ht="14.25" hidden="false" customHeight="true" outlineLevel="0" collapsed="false">
      <c r="A186" s="85" t="n">
        <v>2004</v>
      </c>
      <c r="B186" s="56" t="n">
        <v>38322</v>
      </c>
      <c r="C186" s="56"/>
      <c r="D186" s="55" t="n">
        <f aca="false">'4.1.1'!C202/1.175</f>
        <v>75.3872340425532</v>
      </c>
      <c r="E186" s="55" t="n">
        <f aca="false">D186-47.1</f>
        <v>28.2872340425532</v>
      </c>
      <c r="F186" s="55" t="n">
        <f aca="false">SUM(E184:E186)/3</f>
        <v>28.1737588652482</v>
      </c>
      <c r="G186" s="55" t="n">
        <f aca="false">'4.1.1'!F202/1.175</f>
        <v>73.131914893617</v>
      </c>
      <c r="H186" s="55" t="n">
        <f aca="false">G186-47.1</f>
        <v>26.031914893617</v>
      </c>
      <c r="I186" s="55" t="n">
        <f aca="false">SUM(H184:H186)/3</f>
        <v>26.0120567375887</v>
      </c>
      <c r="J186" s="55" t="n">
        <f aca="false">'4.1.1'!E202/1.175</f>
        <v>70.136170212766</v>
      </c>
      <c r="K186" s="55" t="n">
        <f aca="false">J186-47.1</f>
        <v>23.0361702127659</v>
      </c>
      <c r="L186" s="55" t="n">
        <f aca="false">SUM(K184:K186)/3</f>
        <v>23.7397163120567</v>
      </c>
      <c r="M186" s="55" t="n">
        <f aca="false">'4.1.1'!G202/1.05</f>
        <v>21.2952380952381</v>
      </c>
      <c r="N186" s="57" t="n">
        <f aca="false">M186-0</f>
        <v>21.2952380952381</v>
      </c>
      <c r="O186" s="55" t="n">
        <f aca="false">SUM(N184:N186)/3</f>
        <v>23.7555555555556</v>
      </c>
      <c r="P186" s="55" t="n">
        <f aca="false">'4.1.1'!H202/1.05</f>
        <v>22.8571428571429</v>
      </c>
      <c r="Q186" s="57" t="n">
        <f aca="false">P186-5.22</f>
        <v>17.6371428571429</v>
      </c>
      <c r="R186" s="55" t="n">
        <f aca="false">SUM(Q184:Q186)/3</f>
        <v>20.3260317460317</v>
      </c>
      <c r="S186" s="84"/>
      <c r="T186" s="55" t="n">
        <f aca="false">AVERAGE(G175:G186)</f>
        <v>69.7127659574468</v>
      </c>
      <c r="U186" s="55" t="n">
        <f aca="false">AVERAGE(H175:H186)</f>
        <v>22.6127659574468</v>
      </c>
      <c r="V186" s="55" t="n">
        <f aca="false">AVERAGE(J175:J186)</f>
        <v>68.2758865248227</v>
      </c>
      <c r="W186" s="55" t="n">
        <f aca="false">AVERAGE(K175:K186)</f>
        <v>21.1758865248227</v>
      </c>
    </row>
    <row r="187" customFormat="false" ht="14.25" hidden="false" customHeight="true" outlineLevel="0" collapsed="false">
      <c r="A187" s="85" t="n">
        <v>2005</v>
      </c>
      <c r="B187" s="56" t="n">
        <v>38353</v>
      </c>
      <c r="C187" s="56"/>
      <c r="D187" s="55" t="n">
        <f aca="false">'4.1.1'!C203/1.175</f>
        <v>74.1787234042553</v>
      </c>
      <c r="E187" s="55" t="n">
        <f aca="false">D187-47.1</f>
        <v>27.0787234042553</v>
      </c>
      <c r="F187" s="55"/>
      <c r="G187" s="55" t="n">
        <f aca="false">'4.1.1'!F203/1.175</f>
        <v>71.6170212765958</v>
      </c>
      <c r="H187" s="55" t="n">
        <f aca="false">G187-47.1</f>
        <v>24.5170212765958</v>
      </c>
      <c r="I187" s="55"/>
      <c r="J187" s="55" t="n">
        <f aca="false">'4.1.1'!E203/1.175</f>
        <v>67.2255319148936</v>
      </c>
      <c r="K187" s="55" t="n">
        <f aca="false">J187-47.1</f>
        <v>20.1255319148936</v>
      </c>
      <c r="L187" s="55"/>
      <c r="M187" s="55" t="n">
        <f aca="false">'4.1.1'!G203/1.05</f>
        <v>21.1047619047619</v>
      </c>
      <c r="N187" s="57" t="n">
        <f aca="false">M187-0</f>
        <v>21.1047619047619</v>
      </c>
      <c r="O187" s="55"/>
      <c r="P187" s="55" t="n">
        <f aca="false">'4.1.1'!H203/1.05</f>
        <v>22.847619047619</v>
      </c>
      <c r="Q187" s="57" t="n">
        <f aca="false">P187-5.22</f>
        <v>17.627619047619</v>
      </c>
      <c r="R187" s="55"/>
      <c r="S187" s="84"/>
      <c r="T187" s="85"/>
      <c r="U187" s="85"/>
      <c r="V187" s="85"/>
      <c r="W187" s="85"/>
    </row>
    <row r="188" customFormat="false" ht="14.25" hidden="false" customHeight="true" outlineLevel="0" collapsed="false">
      <c r="A188" s="85" t="n">
        <v>2005</v>
      </c>
      <c r="B188" s="56" t="n">
        <v>38384</v>
      </c>
      <c r="C188" s="56"/>
      <c r="D188" s="55" t="n">
        <f aca="false">'4.1.1'!C204/1.175</f>
        <v>74.2042553191489</v>
      </c>
      <c r="E188" s="55" t="n">
        <f aca="false">D188-47.1</f>
        <v>27.1042553191489</v>
      </c>
      <c r="F188" s="55"/>
      <c r="G188" s="55" t="n">
        <f aca="false">'4.1.1'!F204/1.175</f>
        <v>71.7702127659574</v>
      </c>
      <c r="H188" s="55" t="n">
        <f aca="false">G188-47.1</f>
        <v>24.6702127659574</v>
      </c>
      <c r="I188" s="55"/>
      <c r="J188" s="55" t="n">
        <f aca="false">'4.1.1'!E204/1.175</f>
        <v>68.0510638297872</v>
      </c>
      <c r="K188" s="55" t="n">
        <f aca="false">J188-47.1</f>
        <v>20.9510638297872</v>
      </c>
      <c r="L188" s="25"/>
      <c r="M188" s="55" t="n">
        <f aca="false">'4.1.1'!G204/1.05</f>
        <v>21.7047619047619</v>
      </c>
      <c r="N188" s="57" t="n">
        <f aca="false">M188-0</f>
        <v>21.7047619047619</v>
      </c>
      <c r="O188" s="55"/>
      <c r="P188" s="55" t="n">
        <f aca="false">'4.1.1'!H204/1.05</f>
        <v>23.2190476190476</v>
      </c>
      <c r="Q188" s="57" t="n">
        <f aca="false">P188-5.22</f>
        <v>17.9990476190476</v>
      </c>
      <c r="R188" s="55"/>
      <c r="S188" s="84"/>
      <c r="T188" s="85"/>
      <c r="U188" s="85"/>
      <c r="V188" s="85"/>
      <c r="W188" s="85"/>
    </row>
    <row r="189" customFormat="false" ht="14.25" hidden="false" customHeight="true" outlineLevel="0" collapsed="false">
      <c r="A189" s="85" t="n">
        <v>2005</v>
      </c>
      <c r="B189" s="56" t="n">
        <v>38412</v>
      </c>
      <c r="C189" s="56"/>
      <c r="D189" s="55" t="n">
        <f aca="false">'4.1.1'!C205/1.175</f>
        <v>75.1574468085106</v>
      </c>
      <c r="E189" s="55" t="n">
        <f aca="false">D189-47.1</f>
        <v>28.0574468085106</v>
      </c>
      <c r="F189" s="55" t="n">
        <f aca="false">SUM(E187:E189)/3</f>
        <v>27.413475177305</v>
      </c>
      <c r="G189" s="55" t="n">
        <f aca="false">'4.1.1'!F205/1.175</f>
        <v>73.2255319148936</v>
      </c>
      <c r="H189" s="55" t="n">
        <f aca="false">G189-47.1</f>
        <v>26.1255319148936</v>
      </c>
      <c r="I189" s="55" t="n">
        <f aca="false">SUM(H187:H189)/3</f>
        <v>25.1042553191489</v>
      </c>
      <c r="J189" s="55" t="n">
        <f aca="false">'4.1.1'!E205/1.175</f>
        <v>69.3021276595745</v>
      </c>
      <c r="K189" s="55" t="n">
        <f aca="false">J189-47.1</f>
        <v>22.2021276595745</v>
      </c>
      <c r="L189" s="55" t="n">
        <f aca="false">SUM(K187:K189)/3</f>
        <v>21.0929078014184</v>
      </c>
      <c r="M189" s="55" t="n">
        <f aca="false">'4.1.1'!G205/1.05</f>
        <v>24.3047619047619</v>
      </c>
      <c r="N189" s="57" t="n">
        <f aca="false">M189-0</f>
        <v>24.3047619047619</v>
      </c>
      <c r="O189" s="55" t="n">
        <f aca="false">SUM(N187:N189)/3</f>
        <v>22.3714285714286</v>
      </c>
      <c r="P189" s="55" t="n">
        <f aca="false">'4.1.1'!H205/1.05</f>
        <v>25.8380952380952</v>
      </c>
      <c r="Q189" s="57" t="n">
        <f aca="false">P189-5.22</f>
        <v>20.6180952380952</v>
      </c>
      <c r="R189" s="55" t="n">
        <f aca="false">SUM(Q187:Q189)/3</f>
        <v>18.748253968254</v>
      </c>
      <c r="S189" s="84"/>
      <c r="T189" s="85"/>
      <c r="U189" s="85"/>
      <c r="V189" s="85"/>
      <c r="W189" s="85"/>
    </row>
    <row r="190" customFormat="false" ht="14.25" hidden="false" customHeight="true" outlineLevel="0" collapsed="false">
      <c r="A190" s="85" t="n">
        <v>2005</v>
      </c>
      <c r="B190" s="56" t="n">
        <v>38443</v>
      </c>
      <c r="C190" s="56"/>
      <c r="D190" s="55" t="n">
        <f aca="false">'4.1.1'!C206/1.175</f>
        <v>75.3021276595745</v>
      </c>
      <c r="E190" s="55" t="n">
        <f aca="false">D190-47.1</f>
        <v>28.2021276595745</v>
      </c>
      <c r="F190" s="55"/>
      <c r="G190" s="55" t="n">
        <f aca="false">'4.1.1'!F206/1.175</f>
        <v>76.2553191489362</v>
      </c>
      <c r="H190" s="55" t="n">
        <f aca="false">G190-47.1</f>
        <v>29.1553191489362</v>
      </c>
      <c r="I190" s="55"/>
      <c r="J190" s="55" t="n">
        <f aca="false">'4.1.1'!E206/1.175</f>
        <v>72.6382978723404</v>
      </c>
      <c r="K190" s="55" t="n">
        <f aca="false">J190-47.1</f>
        <v>25.5382978723404</v>
      </c>
      <c r="L190" s="25"/>
      <c r="M190" s="55" t="n">
        <f aca="false">'4.1.1'!G206/1.05</f>
        <v>27.4761904761905</v>
      </c>
      <c r="N190" s="57" t="n">
        <f aca="false">M190-0</f>
        <v>27.4761904761905</v>
      </c>
      <c r="O190" s="55"/>
      <c r="P190" s="55" t="n">
        <f aca="false">'4.1.1'!H206/1.05</f>
        <v>27.5619047619048</v>
      </c>
      <c r="Q190" s="57" t="n">
        <f aca="false">P190-5.22</f>
        <v>22.3419047619048</v>
      </c>
      <c r="R190" s="55"/>
      <c r="S190" s="84"/>
      <c r="T190" s="85"/>
      <c r="U190" s="85"/>
      <c r="V190" s="85"/>
      <c r="W190" s="85"/>
    </row>
    <row r="191" customFormat="false" ht="14.25" hidden="false" customHeight="true" outlineLevel="0" collapsed="false">
      <c r="A191" s="85" t="n">
        <v>2005</v>
      </c>
      <c r="B191" s="56" t="n">
        <v>38473</v>
      </c>
      <c r="C191" s="56"/>
      <c r="D191" s="55" t="n">
        <f aca="false">'4.1.1'!C207/1.175</f>
        <v>75.7106382978723</v>
      </c>
      <c r="E191" s="55" t="n">
        <f aca="false">D191-47.1</f>
        <v>28.6106382978723</v>
      </c>
      <c r="F191" s="55"/>
      <c r="G191" s="55" t="n">
        <f aca="false">'4.1.1'!F207/1.175</f>
        <v>76.1021276595745</v>
      </c>
      <c r="H191" s="55" t="n">
        <f aca="false">G191-47.1</f>
        <v>29.0021276595745</v>
      </c>
      <c r="I191" s="55"/>
      <c r="J191" s="55" t="n">
        <f aca="false">'4.1.1'!E207/1.175</f>
        <v>72.4765957446809</v>
      </c>
      <c r="K191" s="55" t="n">
        <f aca="false">J191-47.1</f>
        <v>25.3765957446809</v>
      </c>
      <c r="L191" s="25"/>
      <c r="M191" s="55" t="n">
        <f aca="false">'4.1.1'!G207/1.05</f>
        <v>25.3809523809524</v>
      </c>
      <c r="N191" s="57" t="n">
        <f aca="false">M191-0</f>
        <v>25.3809523809524</v>
      </c>
      <c r="O191" s="55"/>
      <c r="P191" s="55" t="n">
        <f aca="false">'4.1.1'!H207/1.05</f>
        <v>25.8380952380952</v>
      </c>
      <c r="Q191" s="57" t="n">
        <f aca="false">P191-5.22</f>
        <v>20.6180952380952</v>
      </c>
      <c r="R191" s="55"/>
      <c r="S191" s="84"/>
      <c r="T191" s="85"/>
      <c r="U191" s="85"/>
      <c r="V191" s="85"/>
      <c r="W191" s="85"/>
    </row>
    <row r="192" customFormat="false" ht="14.25" hidden="false" customHeight="true" outlineLevel="0" collapsed="false">
      <c r="A192" s="85" t="n">
        <v>2005</v>
      </c>
      <c r="B192" s="56" t="n">
        <v>38504</v>
      </c>
      <c r="C192" s="56"/>
      <c r="D192" s="55" t="n">
        <f aca="false">'4.1.1'!C208/1.175</f>
        <v>74.7063829787234</v>
      </c>
      <c r="E192" s="55" t="n">
        <f aca="false">D192-47.1</f>
        <v>27.6063829787234</v>
      </c>
      <c r="F192" s="55" t="n">
        <f aca="false">SUM(E190:E192)/3</f>
        <v>28.1397163120567</v>
      </c>
      <c r="G192" s="55" t="n">
        <f aca="false">'4.1.1'!F208/1.175</f>
        <v>75.7787234042553</v>
      </c>
      <c r="H192" s="55" t="n">
        <f aca="false">G192-47.1</f>
        <v>28.6787234042553</v>
      </c>
      <c r="I192" s="55" t="n">
        <f aca="false">SUM(H190:H192)/3</f>
        <v>28.945390070922</v>
      </c>
      <c r="J192" s="55" t="n">
        <f aca="false">'4.1.1'!E208/1.175</f>
        <v>72.2297872340426</v>
      </c>
      <c r="K192" s="55" t="n">
        <f aca="false">J192-47.1</f>
        <v>25.1297872340426</v>
      </c>
      <c r="L192" s="55" t="n">
        <f aca="false">SUM(K190:K192)/3</f>
        <v>25.3482269503546</v>
      </c>
      <c r="M192" s="55" t="n">
        <f aca="false">'4.1.1'!G208/1.05</f>
        <v>27.2285714285714</v>
      </c>
      <c r="N192" s="57" t="n">
        <f aca="false">M192-0</f>
        <v>27.2285714285714</v>
      </c>
      <c r="O192" s="55" t="n">
        <f aca="false">SUM(N190:N192)/3</f>
        <v>26.6952380952381</v>
      </c>
      <c r="P192" s="55" t="n">
        <f aca="false">'4.1.1'!H208/1.05</f>
        <v>28.6666666666667</v>
      </c>
      <c r="Q192" s="57" t="n">
        <f aca="false">P192-5.22</f>
        <v>23.4466666666667</v>
      </c>
      <c r="R192" s="55" t="n">
        <f aca="false">SUM(Q190:Q192)/3</f>
        <v>22.1355555555556</v>
      </c>
      <c r="S192" s="84"/>
      <c r="T192" s="85"/>
      <c r="U192" s="85"/>
      <c r="V192" s="85"/>
      <c r="W192" s="85"/>
    </row>
    <row r="193" customFormat="false" ht="14.25" hidden="false" customHeight="true" outlineLevel="0" collapsed="false">
      <c r="A193" s="85" t="n">
        <v>2005</v>
      </c>
      <c r="B193" s="56" t="n">
        <v>38534</v>
      </c>
      <c r="C193" s="56"/>
      <c r="D193" s="55" t="n">
        <f aca="false">'4.1.1'!C209/1.175</f>
        <v>77.0127659574468</v>
      </c>
      <c r="E193" s="55" t="n">
        <f aca="false">D193-47.1</f>
        <v>29.9127659574468</v>
      </c>
      <c r="F193" s="55"/>
      <c r="G193" s="55" t="n">
        <f aca="false">'4.1.1'!F209/1.175</f>
        <v>78.6638297872341</v>
      </c>
      <c r="H193" s="55" t="n">
        <f aca="false">G193-47.1</f>
        <v>31.5638297872341</v>
      </c>
      <c r="I193" s="55"/>
      <c r="J193" s="55" t="n">
        <f aca="false">'4.1.1'!E209/1.175</f>
        <v>75.1148936170213</v>
      </c>
      <c r="K193" s="55" t="n">
        <f aca="false">J193-47.1</f>
        <v>28.0148936170213</v>
      </c>
      <c r="L193" s="55"/>
      <c r="M193" s="55" t="n">
        <f aca="false">'4.1.1'!G209/1.05</f>
        <v>30.0571428571429</v>
      </c>
      <c r="N193" s="57" t="n">
        <f aca="false">M193-0</f>
        <v>30.0571428571429</v>
      </c>
      <c r="O193" s="55"/>
      <c r="P193" s="55" t="n">
        <f aca="false">'4.1.1'!H209/1.05</f>
        <v>31.3714285714286</v>
      </c>
      <c r="Q193" s="57" t="n">
        <f aca="false">P193-5.22</f>
        <v>26.1514285714286</v>
      </c>
      <c r="R193" s="55"/>
      <c r="S193" s="84"/>
      <c r="T193" s="85"/>
      <c r="U193" s="85"/>
      <c r="V193" s="85"/>
      <c r="W193" s="85"/>
    </row>
    <row r="194" customFormat="false" ht="14.25" hidden="false" customHeight="true" outlineLevel="0" collapsed="false">
      <c r="A194" s="85" t="n">
        <v>2005</v>
      </c>
      <c r="B194" s="56" t="n">
        <v>38565</v>
      </c>
      <c r="C194" s="56"/>
      <c r="D194" s="55" t="n">
        <f aca="false">'4.1.1'!C210/1.175</f>
        <v>78.2893617021277</v>
      </c>
      <c r="E194" s="55" t="n">
        <f aca="false">D194-47.1</f>
        <v>31.1893617021277</v>
      </c>
      <c r="F194" s="55"/>
      <c r="G194" s="55" t="n">
        <f aca="false">'4.1.1'!F210/1.175</f>
        <v>80.2808510638298</v>
      </c>
      <c r="H194" s="55" t="n">
        <f aca="false">G194-47.1</f>
        <v>33.1808510638298</v>
      </c>
      <c r="I194" s="55"/>
      <c r="J194" s="55" t="n">
        <f aca="false">'4.1.1'!E210/1.175</f>
        <v>76.936170212766</v>
      </c>
      <c r="K194" s="55" t="n">
        <f aca="false">J194-47.1</f>
        <v>29.836170212766</v>
      </c>
      <c r="L194" s="55"/>
      <c r="M194" s="55" t="n">
        <f aca="false">'4.1.1'!G210/1.05</f>
        <v>30.5809523809524</v>
      </c>
      <c r="N194" s="57" t="n">
        <f aca="false">M194-0</f>
        <v>30.5809523809524</v>
      </c>
      <c r="O194" s="55"/>
      <c r="P194" s="55" t="n">
        <f aca="false">'4.1.1'!H210/1.05</f>
        <v>31.8761904761905</v>
      </c>
      <c r="Q194" s="57" t="n">
        <f aca="false">P194-5.22</f>
        <v>26.6561904761905</v>
      </c>
      <c r="R194" s="55"/>
      <c r="S194" s="84"/>
      <c r="T194" s="85"/>
      <c r="U194" s="85"/>
      <c r="V194" s="85"/>
      <c r="W194" s="85"/>
    </row>
    <row r="195" customFormat="false" ht="14.25" hidden="false" customHeight="true" outlineLevel="0" collapsed="false">
      <c r="A195" s="85" t="n">
        <v>2005</v>
      </c>
      <c r="B195" s="56" t="n">
        <v>38596</v>
      </c>
      <c r="C195" s="56"/>
      <c r="D195" s="55"/>
      <c r="E195" s="57"/>
      <c r="F195" s="55"/>
      <c r="G195" s="55" t="n">
        <f aca="false">'4.1.1'!F211/1.175</f>
        <v>83.0468085106383</v>
      </c>
      <c r="H195" s="55" t="n">
        <f aca="false">G195-47.1</f>
        <v>35.9468085106383</v>
      </c>
      <c r="I195" s="55" t="n">
        <f aca="false">SUM(H193:H195)/3</f>
        <v>33.5638297872341</v>
      </c>
      <c r="J195" s="55" t="n">
        <f aca="false">'4.1.1'!E211/1.175</f>
        <v>80.6553191489362</v>
      </c>
      <c r="K195" s="55" t="n">
        <f aca="false">J195-47.1</f>
        <v>33.5553191489362</v>
      </c>
      <c r="L195" s="55" t="n">
        <f aca="false">SUM(K193:K195)/3</f>
        <v>30.4687943262411</v>
      </c>
      <c r="M195" s="55" t="n">
        <f aca="false">'4.1.1'!G211/1.05</f>
        <v>31.9714285714286</v>
      </c>
      <c r="N195" s="57" t="n">
        <f aca="false">M195-0</f>
        <v>31.9714285714286</v>
      </c>
      <c r="O195" s="55" t="n">
        <f aca="false">SUM(N193:N195)/3</f>
        <v>30.8698412698413</v>
      </c>
      <c r="P195" s="55" t="n">
        <f aca="false">'4.1.1'!H211/1.05</f>
        <v>33.8476190476191</v>
      </c>
      <c r="Q195" s="57" t="n">
        <f aca="false">P195-5.22</f>
        <v>28.6276190476191</v>
      </c>
      <c r="R195" s="55" t="n">
        <f aca="false">SUM(Q193:Q195)/3</f>
        <v>27.1450793650794</v>
      </c>
      <c r="S195" s="84"/>
      <c r="T195" s="85"/>
      <c r="U195" s="85"/>
      <c r="V195" s="85"/>
      <c r="W195" s="85"/>
    </row>
    <row r="196" customFormat="false" ht="14.25" hidden="false" customHeight="true" outlineLevel="0" collapsed="false">
      <c r="A196" s="85" t="n">
        <v>2005</v>
      </c>
      <c r="B196" s="56" t="n">
        <v>38626</v>
      </c>
      <c r="C196" s="56"/>
      <c r="D196" s="57"/>
      <c r="E196" s="57"/>
      <c r="F196" s="55"/>
      <c r="G196" s="55" t="n">
        <f aca="false">'4.1.1'!F212/1.175</f>
        <v>82.5021276595745</v>
      </c>
      <c r="H196" s="55" t="n">
        <f aca="false">G196-47.1</f>
        <v>35.4021276595745</v>
      </c>
      <c r="I196" s="55"/>
      <c r="J196" s="55" t="n">
        <f aca="false">'4.1.1'!E212/1.175</f>
        <v>80</v>
      </c>
      <c r="K196" s="55" t="n">
        <f aca="false">J196-47.1</f>
        <v>32.9</v>
      </c>
      <c r="L196" s="55"/>
      <c r="M196" s="55" t="n">
        <f aca="false">'4.1.1'!G212/1.05</f>
        <v>33.2857142857143</v>
      </c>
      <c r="N196" s="57" t="n">
        <f aca="false">M196-0</f>
        <v>33.2857142857143</v>
      </c>
      <c r="O196" s="55"/>
      <c r="P196" s="55" t="n">
        <f aca="false">'4.1.1'!H212/1.05</f>
        <v>34.6095238095238</v>
      </c>
      <c r="Q196" s="57" t="n">
        <f aca="false">P196-5.22</f>
        <v>29.3895238095238</v>
      </c>
      <c r="R196" s="55"/>
      <c r="S196" s="84"/>
      <c r="T196" s="85"/>
      <c r="U196" s="85"/>
      <c r="V196" s="85"/>
      <c r="W196" s="85"/>
    </row>
    <row r="197" customFormat="false" ht="14.25" hidden="false" customHeight="true" outlineLevel="0" collapsed="false">
      <c r="A197" s="85" t="n">
        <v>2005</v>
      </c>
      <c r="B197" s="56" t="n">
        <v>38657</v>
      </c>
      <c r="C197" s="56"/>
      <c r="D197" s="57"/>
      <c r="E197" s="57"/>
      <c r="F197" s="55"/>
      <c r="G197" s="55" t="n">
        <f aca="false">'4.1.1'!F213/1.175</f>
        <v>80.6297872340426</v>
      </c>
      <c r="H197" s="55" t="n">
        <f aca="false">G197-47.1</f>
        <v>33.5297872340426</v>
      </c>
      <c r="I197" s="55"/>
      <c r="J197" s="55" t="n">
        <f aca="false">'4.1.1'!E213/1.175</f>
        <v>76.8510638297872</v>
      </c>
      <c r="K197" s="55" t="n">
        <f aca="false">J197-47.1</f>
        <v>29.7510638297872</v>
      </c>
      <c r="L197" s="55"/>
      <c r="M197" s="55" t="n">
        <f aca="false">'4.1.1'!G213/1.05</f>
        <v>29.6190476190476</v>
      </c>
      <c r="N197" s="57" t="n">
        <f aca="false">M197-0</f>
        <v>29.6190476190476</v>
      </c>
      <c r="O197" s="55"/>
      <c r="P197" s="55" t="n">
        <f aca="false">'4.1.1'!H213/1.05</f>
        <v>31.5142857142857</v>
      </c>
      <c r="Q197" s="57" t="n">
        <f aca="false">P197-5.22</f>
        <v>26.2942857142857</v>
      </c>
      <c r="R197" s="55"/>
      <c r="S197" s="84"/>
      <c r="T197" s="85"/>
      <c r="U197" s="85"/>
      <c r="V197" s="85"/>
      <c r="W197" s="85"/>
    </row>
    <row r="198" customFormat="false" ht="14.25" hidden="false" customHeight="true" outlineLevel="0" collapsed="false">
      <c r="A198" s="85" t="n">
        <v>2005</v>
      </c>
      <c r="B198" s="56" t="n">
        <v>38687</v>
      </c>
      <c r="C198" s="56"/>
      <c r="D198" s="57"/>
      <c r="E198" s="57"/>
      <c r="F198" s="55"/>
      <c r="G198" s="55" t="n">
        <f aca="false">'4.1.1'!F214/1.175</f>
        <v>78.0595744680851</v>
      </c>
      <c r="H198" s="55" t="n">
        <f aca="false">G198-47.1</f>
        <v>30.9595744680851</v>
      </c>
      <c r="I198" s="55" t="n">
        <f aca="false">SUM(H196:H198)/3</f>
        <v>33.2971631205674</v>
      </c>
      <c r="J198" s="55" t="n">
        <f aca="false">'4.1.1'!E214/1.175</f>
        <v>74.4255319148936</v>
      </c>
      <c r="K198" s="55" t="n">
        <f aca="false">J198-47.1</f>
        <v>27.3255319148936</v>
      </c>
      <c r="L198" s="55" t="n">
        <f aca="false">SUM(K196:K198)/3</f>
        <v>29.9921985815603</v>
      </c>
      <c r="M198" s="55" t="n">
        <f aca="false">'4.1.1'!G214/1.05</f>
        <v>29.0761904761905</v>
      </c>
      <c r="N198" s="57" t="n">
        <f aca="false">M198-0</f>
        <v>29.0761904761905</v>
      </c>
      <c r="O198" s="55" t="n">
        <f aca="false">SUM(N196:N198)/3</f>
        <v>30.6603174603175</v>
      </c>
      <c r="P198" s="55" t="n">
        <f aca="false">'4.1.1'!H214/1.05</f>
        <v>31.7142857142857</v>
      </c>
      <c r="Q198" s="57" t="n">
        <f aca="false">P198-6.44</f>
        <v>25.2742857142857</v>
      </c>
      <c r="R198" s="55" t="n">
        <f aca="false">SUM(Q196:Q198)/3</f>
        <v>26.9860317460317</v>
      </c>
      <c r="S198" s="84"/>
      <c r="T198" s="55" t="n">
        <f aca="false">AVERAGE(G187:G198)</f>
        <v>77.3276595744681</v>
      </c>
      <c r="U198" s="55" t="n">
        <f aca="false">AVERAGE(H187:H198)</f>
        <v>30.2276595744681</v>
      </c>
      <c r="V198" s="55" t="n">
        <f aca="false">AVERAGE(J187:J198)</f>
        <v>73.8255319148936</v>
      </c>
      <c r="W198" s="55" t="n">
        <f aca="false">AVERAGE(K187:K198)</f>
        <v>26.7255319148936</v>
      </c>
    </row>
    <row r="199" customFormat="false" ht="14.25" hidden="false" customHeight="true" outlineLevel="0" collapsed="false">
      <c r="A199" s="85" t="n">
        <v>2006</v>
      </c>
      <c r="B199" s="56" t="n">
        <v>38718</v>
      </c>
      <c r="C199" s="56"/>
      <c r="D199" s="57"/>
      <c r="E199" s="57"/>
      <c r="F199" s="55"/>
      <c r="G199" s="55" t="n">
        <f aca="false">'4.1.1'!F215/1.175</f>
        <v>79.2085106382979</v>
      </c>
      <c r="H199" s="55" t="n">
        <f aca="false">G199-47.1</f>
        <v>32.1085106382979</v>
      </c>
      <c r="I199" s="55"/>
      <c r="J199" s="55" t="n">
        <f aca="false">'4.1.1'!E215/1.175</f>
        <v>75.6085106382979</v>
      </c>
      <c r="K199" s="55" t="n">
        <f aca="false">J199-47.1</f>
        <v>28.5085106382979</v>
      </c>
      <c r="L199" s="55"/>
      <c r="M199" s="55" t="n">
        <f aca="false">'4.1.1'!G215/1.05</f>
        <v>30.0761904761905</v>
      </c>
      <c r="N199" s="57" t="n">
        <f aca="false">M199-0</f>
        <v>30.0761904761905</v>
      </c>
      <c r="O199" s="55"/>
      <c r="P199" s="55" t="n">
        <f aca="false">'4.1.1'!H215/1.05</f>
        <v>32</v>
      </c>
      <c r="Q199" s="57" t="n">
        <f aca="false">P199-6.44</f>
        <v>25.56</v>
      </c>
      <c r="R199" s="55"/>
      <c r="S199" s="84"/>
      <c r="T199" s="85"/>
      <c r="U199" s="85"/>
      <c r="V199" s="85"/>
      <c r="W199" s="85"/>
    </row>
    <row r="200" customFormat="false" ht="14.25" hidden="false" customHeight="true" outlineLevel="0" collapsed="false">
      <c r="A200" s="85" t="n">
        <v>2006</v>
      </c>
      <c r="B200" s="56" t="n">
        <v>38749</v>
      </c>
      <c r="C200" s="56"/>
      <c r="D200" s="57"/>
      <c r="E200" s="57"/>
      <c r="F200" s="55"/>
      <c r="G200" s="55" t="n">
        <f aca="false">'4.1.1'!F216/1.175</f>
        <v>79.7106382978723</v>
      </c>
      <c r="H200" s="55" t="n">
        <f aca="false">G200-47.1</f>
        <v>32.6106382978723</v>
      </c>
      <c r="I200" s="55"/>
      <c r="J200" s="55" t="n">
        <f aca="false">'4.1.1'!E216/1.175</f>
        <v>76.136170212766</v>
      </c>
      <c r="K200" s="55" t="n">
        <f aca="false">J200-47.1</f>
        <v>29.0361702127659</v>
      </c>
      <c r="L200" s="55"/>
      <c r="M200" s="55" t="n">
        <f aca="false">'4.1.1'!G216/1.05</f>
        <v>30.6285714285714</v>
      </c>
      <c r="N200" s="57" t="n">
        <f aca="false">M200-0</f>
        <v>30.6285714285714</v>
      </c>
      <c r="O200" s="55"/>
      <c r="P200" s="55" t="n">
        <f aca="false">'4.1.1'!H216/1.05</f>
        <v>32.1809523809524</v>
      </c>
      <c r="Q200" s="57" t="n">
        <f aca="false">P200-6.44</f>
        <v>25.7409523809524</v>
      </c>
      <c r="R200" s="55"/>
      <c r="S200" s="84"/>
      <c r="T200" s="85"/>
      <c r="U200" s="85"/>
      <c r="V200" s="85"/>
      <c r="W200" s="85"/>
    </row>
    <row r="201" customFormat="false" ht="14.25" hidden="false" customHeight="true" outlineLevel="0" collapsed="false">
      <c r="A201" s="85" t="n">
        <v>2006</v>
      </c>
      <c r="B201" s="56" t="n">
        <v>38777</v>
      </c>
      <c r="C201" s="56"/>
      <c r="D201" s="57"/>
      <c r="E201" s="57"/>
      <c r="F201" s="55"/>
      <c r="G201" s="55" t="n">
        <f aca="false">'4.1.1'!F217/1.175</f>
        <v>79.7872340425532</v>
      </c>
      <c r="H201" s="55" t="n">
        <f aca="false">G201-47.1</f>
        <v>32.6872340425532</v>
      </c>
      <c r="I201" s="55" t="n">
        <f aca="false">SUM(H199:H201)/3</f>
        <v>32.4687943262411</v>
      </c>
      <c r="J201" s="55" t="n">
        <f aca="false">'4.1.1'!E217/1.175</f>
        <v>76.1106382978723</v>
      </c>
      <c r="K201" s="55" t="n">
        <f aca="false">J201-47.1</f>
        <v>29.0106382978723</v>
      </c>
      <c r="L201" s="55" t="n">
        <f aca="false">SUM(K199:K201)/3</f>
        <v>28.8517730496454</v>
      </c>
      <c r="M201" s="55" t="n">
        <f aca="false">'4.1.1'!G217/1.05</f>
        <v>30.5904761904762</v>
      </c>
      <c r="N201" s="57" t="n">
        <f aca="false">M201-0</f>
        <v>30.5904761904762</v>
      </c>
      <c r="O201" s="55" t="n">
        <f aca="false">SUM(N199:N201)/3</f>
        <v>30.431746031746</v>
      </c>
      <c r="P201" s="55" t="n">
        <f aca="false">'4.1.1'!H217/1.05</f>
        <v>32.4571428571429</v>
      </c>
      <c r="Q201" s="57" t="n">
        <f aca="false">P201-6.44</f>
        <v>26.0171428571429</v>
      </c>
      <c r="R201" s="55" t="n">
        <f aca="false">SUM(Q199:Q201)/3</f>
        <v>25.7726984126984</v>
      </c>
      <c r="S201" s="84"/>
      <c r="T201" s="85"/>
      <c r="U201" s="85"/>
      <c r="V201" s="85"/>
      <c r="W201" s="85"/>
    </row>
    <row r="202" customFormat="false" ht="14.25" hidden="false" customHeight="true" outlineLevel="0" collapsed="false">
      <c r="A202" s="85" t="n">
        <v>2006</v>
      </c>
      <c r="B202" s="56" t="n">
        <v>38808</v>
      </c>
      <c r="C202" s="56"/>
      <c r="D202" s="57"/>
      <c r="E202" s="57"/>
      <c r="F202" s="55"/>
      <c r="G202" s="55" t="n">
        <f aca="false">'4.1.1'!F218/1.175</f>
        <v>83.0553191489362</v>
      </c>
      <c r="H202" s="55" t="n">
        <f aca="false">G202-47.1</f>
        <v>35.9553191489362</v>
      </c>
      <c r="I202" s="55"/>
      <c r="J202" s="55" t="n">
        <f aca="false">'4.1.1'!E218/1.175</f>
        <v>80.1191489361702</v>
      </c>
      <c r="K202" s="55" t="n">
        <f aca="false">J202-47.1</f>
        <v>33.0191489361702</v>
      </c>
      <c r="L202" s="55"/>
      <c r="M202" s="55" t="n">
        <f aca="false">'4.1.1'!G218/1.05</f>
        <v>31.5809523809524</v>
      </c>
      <c r="N202" s="57" t="n">
        <f aca="false">M202-0</f>
        <v>31.5809523809524</v>
      </c>
      <c r="O202" s="55"/>
      <c r="P202" s="55" t="n">
        <f aca="false">'4.1.1'!H218/1.05</f>
        <v>33.6285714285714</v>
      </c>
      <c r="Q202" s="57" t="n">
        <f aca="false">P202-6.44</f>
        <v>27.1885714285714</v>
      </c>
      <c r="R202" s="55"/>
      <c r="S202" s="84"/>
      <c r="T202" s="85"/>
      <c r="U202" s="85"/>
      <c r="V202" s="85"/>
      <c r="W202" s="85"/>
    </row>
    <row r="203" customFormat="false" ht="14.25" hidden="false" customHeight="true" outlineLevel="0" collapsed="false">
      <c r="A203" s="85" t="n">
        <v>2006</v>
      </c>
      <c r="B203" s="56" t="n">
        <v>38838</v>
      </c>
      <c r="C203" s="56"/>
      <c r="D203" s="57"/>
      <c r="E203" s="57"/>
      <c r="F203" s="55"/>
      <c r="G203" s="55" t="n">
        <f aca="false">'4.1.1'!F219/1.175</f>
        <v>83.8042553191489</v>
      </c>
      <c r="H203" s="55" t="n">
        <f aca="false">G203-47.1</f>
        <v>36.7042553191489</v>
      </c>
      <c r="I203" s="55"/>
      <c r="J203" s="55" t="n">
        <f aca="false">'4.1.1'!E219/1.175</f>
        <v>81.8042553191489</v>
      </c>
      <c r="K203" s="55" t="n">
        <f aca="false">J203-47.1</f>
        <v>34.7042553191489</v>
      </c>
      <c r="L203" s="55"/>
      <c r="M203" s="55" t="n">
        <f aca="false">'4.1.1'!G219/1.05</f>
        <v>32.4476190476191</v>
      </c>
      <c r="N203" s="57" t="n">
        <f aca="false">M203-0</f>
        <v>32.4476190476191</v>
      </c>
      <c r="O203" s="55"/>
      <c r="P203" s="55" t="n">
        <f aca="false">'4.1.1'!H219/1.05</f>
        <v>34.4</v>
      </c>
      <c r="Q203" s="57" t="n">
        <f aca="false">P203-6.44</f>
        <v>27.96</v>
      </c>
      <c r="R203" s="55"/>
      <c r="S203" s="84"/>
      <c r="T203" s="85"/>
      <c r="U203" s="85"/>
      <c r="V203" s="85"/>
      <c r="W203" s="85"/>
    </row>
    <row r="204" customFormat="false" ht="14.25" hidden="false" customHeight="true" outlineLevel="0" collapsed="false">
      <c r="A204" s="85" t="n">
        <v>2006</v>
      </c>
      <c r="B204" s="56" t="n">
        <v>38869</v>
      </c>
      <c r="C204" s="56"/>
      <c r="D204" s="57"/>
      <c r="E204" s="57"/>
      <c r="F204" s="55"/>
      <c r="G204" s="55" t="n">
        <f aca="false">'4.1.1'!F220/1.175</f>
        <v>83.1148936170213</v>
      </c>
      <c r="H204" s="55" t="n">
        <f aca="false">G204-47.1</f>
        <v>36.0148936170213</v>
      </c>
      <c r="I204" s="55" t="n">
        <f aca="false">SUM(H202:H204)/3</f>
        <v>36.2248226950355</v>
      </c>
      <c r="J204" s="55" t="n">
        <f aca="false">'4.1.1'!E220/1.175</f>
        <v>81.1063829787234</v>
      </c>
      <c r="K204" s="55" t="n">
        <f aca="false">J204-47.1</f>
        <v>34.0063829787234</v>
      </c>
      <c r="L204" s="55" t="n">
        <f aca="false">SUM(K202:K204)/3</f>
        <v>33.9099290780142</v>
      </c>
      <c r="M204" s="55" t="n">
        <f aca="false">'4.1.1'!G220/1.05</f>
        <v>32.1428571428571</v>
      </c>
      <c r="N204" s="57" t="n">
        <f aca="false">M204-0</f>
        <v>32.1428571428571</v>
      </c>
      <c r="O204" s="55" t="n">
        <f aca="false">SUM(N202:N204)/3</f>
        <v>32.0571428571429</v>
      </c>
      <c r="P204" s="55" t="n">
        <f aca="false">'4.1.1'!H220/1.05</f>
        <v>34.4476190476191</v>
      </c>
      <c r="Q204" s="57" t="n">
        <f aca="false">P204-6.44</f>
        <v>28.0076190476191</v>
      </c>
      <c r="R204" s="55" t="n">
        <f aca="false">SUM(Q202:Q204)/3</f>
        <v>27.7187301587302</v>
      </c>
      <c r="S204" s="84"/>
      <c r="T204" s="85"/>
      <c r="U204" s="85"/>
      <c r="V204" s="85"/>
      <c r="W204" s="85"/>
    </row>
    <row r="205" customFormat="false" ht="14.25" hidden="false" customHeight="true" outlineLevel="0" collapsed="false">
      <c r="A205" s="85" t="n">
        <v>2006</v>
      </c>
      <c r="B205" s="56" t="n">
        <v>38899</v>
      </c>
      <c r="C205" s="56"/>
      <c r="D205" s="57"/>
      <c r="E205" s="57"/>
      <c r="F205" s="55"/>
      <c r="G205" s="55" t="n">
        <f aca="false">'4.1.1'!F221/1.175</f>
        <v>83.9829787234043</v>
      </c>
      <c r="H205" s="55" t="n">
        <f aca="false">G205-47.1</f>
        <v>36.8829787234043</v>
      </c>
      <c r="I205" s="55"/>
      <c r="J205" s="55" t="n">
        <f aca="false">'4.1.1'!E221/1.175</f>
        <v>82.3659574468085</v>
      </c>
      <c r="K205" s="55" t="n">
        <f aca="false">J205-47.1</f>
        <v>35.2659574468085</v>
      </c>
      <c r="L205" s="55"/>
      <c r="M205" s="55" t="n">
        <f aca="false">'4.1.1'!G221/1.05</f>
        <v>35.6190476190476</v>
      </c>
      <c r="N205" s="57" t="n">
        <f aca="false">M205-0</f>
        <v>35.6190476190476</v>
      </c>
      <c r="O205" s="55"/>
      <c r="P205" s="55" t="n">
        <f aca="false">'4.1.1'!H221/1.05</f>
        <v>38.8761904761905</v>
      </c>
      <c r="Q205" s="57" t="n">
        <f aca="false">P205-6.44</f>
        <v>32.4361904761905</v>
      </c>
      <c r="R205" s="55"/>
      <c r="S205" s="84"/>
      <c r="T205" s="85"/>
      <c r="U205" s="85"/>
      <c r="V205" s="85"/>
      <c r="W205" s="85"/>
    </row>
    <row r="206" customFormat="false" ht="14.25" hidden="false" customHeight="true" outlineLevel="0" collapsed="false">
      <c r="A206" s="85" t="n">
        <v>2006</v>
      </c>
      <c r="B206" s="56" t="n">
        <v>38930</v>
      </c>
      <c r="C206" s="56"/>
      <c r="D206" s="88"/>
      <c r="E206" s="89"/>
      <c r="F206" s="88"/>
      <c r="G206" s="55" t="n">
        <f aca="false">'4.1.1'!F222/1.175</f>
        <v>84.5787234042553</v>
      </c>
      <c r="H206" s="55" t="n">
        <f aca="false">G206-47.1</f>
        <v>37.4787234042553</v>
      </c>
      <c r="I206" s="55"/>
      <c r="J206" s="55" t="n">
        <f aca="false">'4.1.1'!E222/1.175</f>
        <v>83.1234042553191</v>
      </c>
      <c r="K206" s="55" t="n">
        <f aca="false">J206-47.1</f>
        <v>36.0234042553191</v>
      </c>
      <c r="L206" s="25"/>
      <c r="M206" s="55" t="n">
        <f aca="false">'4.1.1'!G222/1.05</f>
        <v>35.5809523809524</v>
      </c>
      <c r="N206" s="57" t="n">
        <f aca="false">M206-0</f>
        <v>35.5809523809524</v>
      </c>
      <c r="O206" s="55"/>
      <c r="P206" s="55" t="n">
        <f aca="false">'4.1.1'!H222/1.05</f>
        <v>39.152380952381</v>
      </c>
      <c r="Q206" s="57" t="n">
        <f aca="false">P206-6.44</f>
        <v>32.712380952381</v>
      </c>
      <c r="R206" s="55"/>
      <c r="S206" s="84"/>
      <c r="T206" s="85"/>
      <c r="U206" s="85"/>
      <c r="V206" s="85"/>
      <c r="W206" s="85"/>
    </row>
    <row r="207" customFormat="false" ht="14.25" hidden="false" customHeight="true" outlineLevel="0" collapsed="false">
      <c r="A207" s="85" t="n">
        <v>2006</v>
      </c>
      <c r="B207" s="56" t="n">
        <v>38961</v>
      </c>
      <c r="C207" s="56"/>
      <c r="D207" s="88"/>
      <c r="E207" s="89"/>
      <c r="F207" s="88"/>
      <c r="G207" s="55" t="n">
        <f aca="false">'4.1.1'!F223/1.175</f>
        <v>80.3659574468085</v>
      </c>
      <c r="H207" s="55" t="n">
        <f aca="false">G207-47.1</f>
        <v>33.2659574468085</v>
      </c>
      <c r="I207" s="55" t="n">
        <f aca="false">SUM(H205:H207)/3</f>
        <v>35.8758865248227</v>
      </c>
      <c r="J207" s="55" t="n">
        <f aca="false">'4.1.1'!E223/1.175</f>
        <v>76.0425531914894</v>
      </c>
      <c r="K207" s="55" t="n">
        <f aca="false">J207-47.1</f>
        <v>28.9425531914894</v>
      </c>
      <c r="L207" s="55" t="n">
        <f aca="false">SUM(K205:K207)/3</f>
        <v>33.4106382978723</v>
      </c>
      <c r="M207" s="55" t="n">
        <f aca="false">'4.1.1'!G223/1.05</f>
        <v>34.0571428571429</v>
      </c>
      <c r="N207" s="57" t="n">
        <f aca="false">M207-0</f>
        <v>34.0571428571429</v>
      </c>
      <c r="O207" s="55" t="n">
        <f aca="false">SUM(N205:N207)/3</f>
        <v>35.0857142857143</v>
      </c>
      <c r="P207" s="55" t="n">
        <f aca="false">'4.1.1'!H223/1.05</f>
        <v>37.4666666666667</v>
      </c>
      <c r="Q207" s="57" t="n">
        <f aca="false">P207-6.44</f>
        <v>31.0266666666667</v>
      </c>
      <c r="R207" s="55" t="n">
        <f aca="false">SUM(Q205:Q207)/3</f>
        <v>32.0584126984127</v>
      </c>
      <c r="S207" s="84"/>
      <c r="T207" s="85"/>
      <c r="U207" s="85"/>
      <c r="V207" s="85"/>
      <c r="W207" s="85"/>
    </row>
    <row r="208" customFormat="false" ht="14.25" hidden="false" customHeight="true" outlineLevel="0" collapsed="false">
      <c r="A208" s="85" t="n">
        <v>2006</v>
      </c>
      <c r="B208" s="56" t="n">
        <v>38991</v>
      </c>
      <c r="C208" s="56"/>
      <c r="D208" s="88"/>
      <c r="E208" s="89"/>
      <c r="F208" s="88"/>
      <c r="G208" s="55" t="n">
        <f aca="false">'4.1.1'!F224/1.175</f>
        <v>77.8723404255319</v>
      </c>
      <c r="H208" s="55" t="n">
        <f aca="false">G208-47.1</f>
        <v>30.7723404255319</v>
      </c>
      <c r="I208" s="55"/>
      <c r="J208" s="55" t="n">
        <f aca="false">'4.1.1'!E224/1.175</f>
        <v>72.9702127659574</v>
      </c>
      <c r="K208" s="55" t="n">
        <f aca="false">J208-47.1</f>
        <v>25.8702127659574</v>
      </c>
      <c r="L208" s="25"/>
      <c r="M208" s="55" t="n">
        <f aca="false">'4.1.1'!G224/1.05</f>
        <v>31.6666666666667</v>
      </c>
      <c r="N208" s="57" t="n">
        <f aca="false">M208-0</f>
        <v>31.6666666666667</v>
      </c>
      <c r="O208" s="55"/>
      <c r="P208" s="55" t="n">
        <f aca="false">'4.1.1'!H224/1.05</f>
        <v>35.3238095238095</v>
      </c>
      <c r="Q208" s="57" t="n">
        <f aca="false">P208-6.44</f>
        <v>28.8838095238095</v>
      </c>
      <c r="R208" s="55"/>
      <c r="S208" s="84"/>
      <c r="T208" s="85"/>
      <c r="U208" s="85"/>
      <c r="V208" s="85"/>
      <c r="W208" s="85"/>
    </row>
    <row r="209" customFormat="false" ht="14.25" hidden="false" customHeight="true" outlineLevel="0" collapsed="false">
      <c r="A209" s="85" t="n">
        <v>2006</v>
      </c>
      <c r="B209" s="56" t="n">
        <v>39022</v>
      </c>
      <c r="C209" s="56"/>
      <c r="D209" s="88"/>
      <c r="E209" s="89"/>
      <c r="F209" s="88"/>
      <c r="G209" s="55" t="n">
        <f aca="false">'4.1.1'!F225/1.175</f>
        <v>77.5234042553192</v>
      </c>
      <c r="H209" s="55" t="n">
        <f aca="false">G209-47.1</f>
        <v>30.4234042553192</v>
      </c>
      <c r="I209" s="55"/>
      <c r="J209" s="55" t="n">
        <f aca="false">'4.1.1'!E225/1.175</f>
        <v>72.6553191489362</v>
      </c>
      <c r="K209" s="55" t="n">
        <f aca="false">J209-47.1</f>
        <v>25.5553191489362</v>
      </c>
      <c r="L209" s="25"/>
      <c r="M209" s="55" t="n">
        <f aca="false">'4.1.1'!G225/1.05</f>
        <v>29.7619047619048</v>
      </c>
      <c r="N209" s="57" t="n">
        <f aca="false">M209-0</f>
        <v>29.7619047619048</v>
      </c>
      <c r="O209" s="55"/>
      <c r="P209" s="55" t="n">
        <f aca="false">'4.1.1'!H225/1.05</f>
        <v>33.8380952380952</v>
      </c>
      <c r="Q209" s="57" t="n">
        <f aca="false">P209-6.44</f>
        <v>27.3980952380952</v>
      </c>
      <c r="R209" s="55"/>
      <c r="S209" s="84"/>
      <c r="T209" s="85"/>
      <c r="U209" s="85"/>
      <c r="V209" s="85"/>
      <c r="W209" s="85"/>
    </row>
    <row r="210" customFormat="false" ht="14.25" hidden="false" customHeight="true" outlineLevel="0" collapsed="false">
      <c r="A210" s="85" t="n">
        <v>2006</v>
      </c>
      <c r="B210" s="56" t="n">
        <v>39052</v>
      </c>
      <c r="C210" s="56"/>
      <c r="D210" s="88"/>
      <c r="E210" s="89"/>
      <c r="F210" s="88"/>
      <c r="G210" s="55" t="n">
        <f aca="false">'4.1.1'!F226/1.175</f>
        <v>79.3446808510638</v>
      </c>
      <c r="H210" s="55" t="n">
        <f aca="false">G210-48.35</f>
        <v>30.9946808510638</v>
      </c>
      <c r="I210" s="55" t="n">
        <f aca="false">SUM(H208:H210)/3</f>
        <v>30.7301418439716</v>
      </c>
      <c r="J210" s="55" t="n">
        <f aca="false">'4.1.1'!E226/1.175</f>
        <v>74.5787234042553</v>
      </c>
      <c r="K210" s="55" t="n">
        <f aca="false">J210-48.35</f>
        <v>26.2287234042553</v>
      </c>
      <c r="L210" s="55" t="n">
        <f aca="false">SUM(K208:K210)/3</f>
        <v>25.8847517730496</v>
      </c>
      <c r="M210" s="55" t="n">
        <f aca="false">'4.1.1'!G226/1.05</f>
        <v>30.5238095238095</v>
      </c>
      <c r="N210" s="57" t="n">
        <f aca="false">M210-0</f>
        <v>30.5238095238095</v>
      </c>
      <c r="O210" s="55" t="n">
        <f aca="false">SUM(N208:N210)/3</f>
        <v>30.6507936507936</v>
      </c>
      <c r="P210" s="55" t="n">
        <f aca="false">'4.1.1'!H226/1.05</f>
        <v>34.2761904761905</v>
      </c>
      <c r="Q210" s="57" t="n">
        <f aca="false">P210-7.69</f>
        <v>26.5861904761905</v>
      </c>
      <c r="R210" s="55" t="n">
        <f aca="false">SUM(Q208:Q210)/3</f>
        <v>27.6226984126984</v>
      </c>
      <c r="S210" s="94"/>
      <c r="T210" s="55" t="n">
        <f aca="false">AVERAGE(G199:G210)</f>
        <v>81.0290780141844</v>
      </c>
      <c r="U210" s="55" t="n">
        <f aca="false">AVERAGE(H199:H210)</f>
        <v>33.8249113475177</v>
      </c>
      <c r="V210" s="55" t="n">
        <f aca="false">AVERAGE(J199:J210)</f>
        <v>77.7184397163121</v>
      </c>
      <c r="W210" s="55" t="n">
        <f aca="false">AVERAGE(K199:K210)</f>
        <v>30.5142730496454</v>
      </c>
    </row>
    <row r="211" customFormat="false" ht="14.25" hidden="false" customHeight="true" outlineLevel="0" collapsed="false">
      <c r="A211" s="85" t="n">
        <v>2007</v>
      </c>
      <c r="B211" s="56" t="n">
        <v>39083</v>
      </c>
      <c r="C211" s="56"/>
      <c r="D211" s="88"/>
      <c r="E211" s="89"/>
      <c r="F211" s="88"/>
      <c r="G211" s="55" t="n">
        <f aca="false">'4.1.1'!F227/1.175</f>
        <v>77.8212765957447</v>
      </c>
      <c r="H211" s="55" t="n">
        <f aca="false">G211-48.35</f>
        <v>29.4712765957447</v>
      </c>
      <c r="I211" s="55"/>
      <c r="J211" s="55" t="n">
        <f aca="false">'4.1.1'!E227/1.175</f>
        <v>73.9659574468085</v>
      </c>
      <c r="K211" s="55" t="n">
        <f aca="false">J211-48.35</f>
        <v>25.6159574468085</v>
      </c>
      <c r="L211" s="55"/>
      <c r="M211" s="55" t="n">
        <f aca="false">'4.1.1'!G227/1.05</f>
        <v>29.4095238095238</v>
      </c>
      <c r="N211" s="57" t="n">
        <f aca="false">M211-0</f>
        <v>29.4095238095238</v>
      </c>
      <c r="O211" s="55"/>
      <c r="P211" s="55" t="n">
        <f aca="false">'4.1.1'!H227/1.05</f>
        <v>32.4095238095238</v>
      </c>
      <c r="Q211" s="57" t="n">
        <f aca="false">P211-7.69</f>
        <v>24.7195238095238</v>
      </c>
      <c r="R211" s="55"/>
      <c r="S211" s="84"/>
      <c r="T211" s="85"/>
      <c r="U211" s="85"/>
      <c r="V211" s="85"/>
      <c r="W211" s="85"/>
    </row>
    <row r="212" customFormat="false" ht="14.25" hidden="false" customHeight="true" outlineLevel="0" collapsed="false">
      <c r="A212" s="85" t="n">
        <v>2007</v>
      </c>
      <c r="B212" s="56" t="n">
        <v>39114</v>
      </c>
      <c r="C212" s="56"/>
      <c r="D212" s="88"/>
      <c r="E212" s="89"/>
      <c r="F212" s="88"/>
      <c r="G212" s="55" t="n">
        <f aca="false">'4.1.1'!F228/1.175</f>
        <v>76.7489361702128</v>
      </c>
      <c r="H212" s="55" t="n">
        <f aca="false">G212-48.35</f>
        <v>28.3989361702128</v>
      </c>
      <c r="I212" s="55"/>
      <c r="J212" s="55" t="n">
        <f aca="false">'4.1.1'!E228/1.175</f>
        <v>73.336170212766</v>
      </c>
      <c r="K212" s="55" t="n">
        <f aca="false">J212-48.35</f>
        <v>24.986170212766</v>
      </c>
      <c r="L212" s="55"/>
      <c r="M212" s="55" t="n">
        <f aca="false">'4.1.1'!G228/1.05</f>
        <v>29.1714285714286</v>
      </c>
      <c r="N212" s="57" t="n">
        <f aca="false">M212-0</f>
        <v>29.1714285714286</v>
      </c>
      <c r="O212" s="55"/>
      <c r="P212" s="55" t="n">
        <f aca="false">'4.1.1'!H228/1.05</f>
        <v>32.4761904761905</v>
      </c>
      <c r="Q212" s="57" t="n">
        <f aca="false">P212-7.69</f>
        <v>24.7861904761905</v>
      </c>
      <c r="R212" s="55"/>
      <c r="S212" s="84"/>
      <c r="T212" s="85"/>
      <c r="U212" s="85"/>
      <c r="V212" s="85"/>
      <c r="W212" s="85"/>
    </row>
    <row r="213" customFormat="false" ht="14.25" hidden="false" customHeight="true" outlineLevel="0" collapsed="false">
      <c r="A213" s="85" t="n">
        <v>2007</v>
      </c>
      <c r="B213" s="56" t="n">
        <v>39142</v>
      </c>
      <c r="C213" s="56"/>
      <c r="D213" s="88"/>
      <c r="E213" s="89"/>
      <c r="F213" s="88"/>
      <c r="G213" s="55" t="n">
        <f aca="false">'4.1.1'!F229/1.175</f>
        <v>78.4340425531915</v>
      </c>
      <c r="H213" s="55" t="n">
        <f aca="false">G213-48.35</f>
        <v>30.0840425531915</v>
      </c>
      <c r="I213" s="55" t="n">
        <f aca="false">SUM(H211:H213)/3</f>
        <v>29.318085106383</v>
      </c>
      <c r="J213" s="55" t="n">
        <f aca="false">'4.1.1'!E229/1.175</f>
        <v>75.2255319148936</v>
      </c>
      <c r="K213" s="55" t="n">
        <f aca="false">J213-48.35</f>
        <v>26.8755319148936</v>
      </c>
      <c r="L213" s="55" t="n">
        <f aca="false">SUM(K211:K213)/3</f>
        <v>25.8258865248227</v>
      </c>
      <c r="M213" s="55" t="n">
        <f aca="false">'4.1.1'!G229/1.05</f>
        <v>30.1428571428571</v>
      </c>
      <c r="N213" s="57" t="n">
        <f aca="false">M213-0</f>
        <v>30.1428571428571</v>
      </c>
      <c r="O213" s="55" t="n">
        <f aca="false">SUM(N211:N213)/3</f>
        <v>29.5746031746032</v>
      </c>
      <c r="P213" s="55" t="n">
        <f aca="false">'4.1.1'!H229/1.05</f>
        <v>34.4190476190476</v>
      </c>
      <c r="Q213" s="57" t="n">
        <f aca="false">P213-7.69</f>
        <v>26.7290476190476</v>
      </c>
      <c r="R213" s="55" t="n">
        <f aca="false">SUM(Q211:Q213)/3</f>
        <v>25.4115873015873</v>
      </c>
      <c r="S213" s="84"/>
      <c r="T213" s="85"/>
      <c r="U213" s="85"/>
      <c r="V213" s="85"/>
      <c r="W213" s="85"/>
    </row>
    <row r="214" customFormat="false" ht="14.25" hidden="false" customHeight="true" outlineLevel="0" collapsed="false">
      <c r="A214" s="85" t="n">
        <v>2007</v>
      </c>
      <c r="B214" s="56" t="n">
        <v>39173</v>
      </c>
      <c r="C214" s="56"/>
      <c r="D214" s="88"/>
      <c r="E214" s="89"/>
      <c r="F214" s="88"/>
      <c r="G214" s="55" t="n">
        <f aca="false">'4.1.1'!F230/1.175</f>
        <v>80.6212765957447</v>
      </c>
      <c r="H214" s="55" t="n">
        <f aca="false">G214-48.35</f>
        <v>32.2712765957447</v>
      </c>
      <c r="I214" s="55"/>
      <c r="J214" s="55" t="n">
        <f aca="false">'4.1.1'!E230/1.175</f>
        <v>78.2297872340426</v>
      </c>
      <c r="K214" s="55" t="n">
        <f aca="false">J214-48.35</f>
        <v>29.8797872340425</v>
      </c>
      <c r="L214" s="55"/>
      <c r="M214" s="55" t="n">
        <f aca="false">'4.1.1'!G230/1.05</f>
        <v>31.8380952380952</v>
      </c>
      <c r="N214" s="57" t="n">
        <f aca="false">M214-0</f>
        <v>31.8380952380952</v>
      </c>
      <c r="O214" s="55"/>
      <c r="P214" s="55" t="n">
        <f aca="false">'4.1.1'!H230/1.05</f>
        <v>36.4285714285714</v>
      </c>
      <c r="Q214" s="57" t="n">
        <f aca="false">P214-7.69</f>
        <v>28.7385714285714</v>
      </c>
      <c r="R214" s="55"/>
      <c r="S214" s="84"/>
      <c r="T214" s="85"/>
      <c r="U214" s="85"/>
      <c r="V214" s="85"/>
      <c r="W214" s="85"/>
    </row>
    <row r="215" customFormat="false" ht="14.25" hidden="false" customHeight="true" outlineLevel="0" collapsed="false">
      <c r="A215" s="85" t="n">
        <v>2007</v>
      </c>
      <c r="B215" s="56" t="n">
        <v>39203</v>
      </c>
      <c r="C215" s="56"/>
      <c r="D215" s="88"/>
      <c r="E215" s="89"/>
      <c r="F215" s="88"/>
      <c r="G215" s="55" t="n">
        <f aca="false">'4.1.1'!F231/1.175</f>
        <v>82.0510638297872</v>
      </c>
      <c r="H215" s="55" t="n">
        <f aca="false">G215-48.35</f>
        <v>33.7010638297872</v>
      </c>
      <c r="I215" s="55"/>
      <c r="J215" s="55" t="n">
        <f aca="false">'4.1.1'!E231/1.175</f>
        <v>80.8936170212766</v>
      </c>
      <c r="K215" s="55" t="n">
        <f aca="false">J215-48.35</f>
        <v>32.5436170212766</v>
      </c>
      <c r="L215" s="55"/>
      <c r="M215" s="55" t="n">
        <f aca="false">'4.1.1'!G231/1.05</f>
        <v>31.8761904761905</v>
      </c>
      <c r="N215" s="57" t="n">
        <f aca="false">M215-0</f>
        <v>31.8761904761905</v>
      </c>
      <c r="O215" s="55"/>
      <c r="P215" s="55" t="n">
        <f aca="false">'4.1.1'!H231/1.05</f>
        <v>36.1714285714286</v>
      </c>
      <c r="Q215" s="57" t="n">
        <f aca="false">P215-7.69</f>
        <v>28.4814285714286</v>
      </c>
      <c r="R215" s="55"/>
      <c r="S215" s="84"/>
      <c r="T215" s="85"/>
      <c r="U215" s="85"/>
      <c r="V215" s="85"/>
      <c r="W215" s="85"/>
    </row>
    <row r="216" customFormat="false" ht="14.25" hidden="false" customHeight="true" outlineLevel="0" collapsed="false">
      <c r="A216" s="85" t="n">
        <v>2007</v>
      </c>
      <c r="B216" s="56" t="n">
        <v>39234</v>
      </c>
      <c r="C216" s="56"/>
      <c r="D216" s="88"/>
      <c r="E216" s="89"/>
      <c r="F216" s="88"/>
      <c r="G216" s="55" t="n">
        <f aca="false">'4.1.1'!F232/1.175</f>
        <v>82.5702127659574</v>
      </c>
      <c r="H216" s="55" t="n">
        <f aca="false">G216-48.35</f>
        <v>34.2202127659574</v>
      </c>
      <c r="I216" s="55" t="n">
        <f aca="false">SUM(H214:H216)/3</f>
        <v>33.3975177304964</v>
      </c>
      <c r="J216" s="55" t="n">
        <f aca="false">'4.1.1'!E232/1.175</f>
        <v>82.0765957446808</v>
      </c>
      <c r="K216" s="55" t="n">
        <f aca="false">J216-48.35</f>
        <v>33.7265957446808</v>
      </c>
      <c r="L216" s="55" t="n">
        <f aca="false">SUM(K214:K216)/3</f>
        <v>32.05</v>
      </c>
      <c r="M216" s="55" t="n">
        <f aca="false">'4.1.1'!G232/1.05</f>
        <v>32.8190476190476</v>
      </c>
      <c r="N216" s="57" t="n">
        <f aca="false">M216-0</f>
        <v>32.8190476190476</v>
      </c>
      <c r="O216" s="55" t="n">
        <f aca="false">SUM(N214:N216)/3</f>
        <v>32.1777777777778</v>
      </c>
      <c r="P216" s="55" t="n">
        <f aca="false">'4.1.1'!H232/1.05</f>
        <v>37</v>
      </c>
      <c r="Q216" s="57" t="n">
        <f aca="false">P216-7.69</f>
        <v>29.31</v>
      </c>
      <c r="R216" s="55" t="n">
        <f aca="false">SUM(Q214:Q216)/3</f>
        <v>28.8433333333333</v>
      </c>
      <c r="S216" s="84"/>
      <c r="T216" s="85"/>
      <c r="U216" s="85"/>
      <c r="V216" s="85"/>
      <c r="W216" s="85"/>
    </row>
    <row r="217" customFormat="false" ht="14.25" hidden="false" customHeight="true" outlineLevel="0" collapsed="false">
      <c r="A217" s="85" t="n">
        <v>2007</v>
      </c>
      <c r="B217" s="56" t="n">
        <v>39264</v>
      </c>
      <c r="C217" s="56"/>
      <c r="D217" s="88"/>
      <c r="E217" s="89"/>
      <c r="F217" s="88"/>
      <c r="G217" s="55" t="n">
        <f aca="false">'4.1.1'!F233/1.175</f>
        <v>82.2553191489362</v>
      </c>
      <c r="H217" s="55" t="n">
        <f aca="false">G217-48.35</f>
        <v>33.9053191489362</v>
      </c>
      <c r="I217" s="55"/>
      <c r="J217" s="55" t="n">
        <f aca="false">'4.1.1'!E233/1.175</f>
        <v>81.7446808510638</v>
      </c>
      <c r="K217" s="55" t="n">
        <f aca="false">J217-48.35</f>
        <v>33.3946808510638</v>
      </c>
      <c r="L217" s="55"/>
      <c r="M217" s="55" t="n">
        <f aca="false">'4.1.1'!G233/1.05</f>
        <v>33.1619047619048</v>
      </c>
      <c r="N217" s="57" t="n">
        <f aca="false">M217-0</f>
        <v>33.1619047619048</v>
      </c>
      <c r="O217" s="55"/>
      <c r="P217" s="55" t="n">
        <f aca="false">'4.1.1'!H233/1.05</f>
        <v>37.6857142857143</v>
      </c>
      <c r="Q217" s="57" t="n">
        <f aca="false">P217-7.69</f>
        <v>29.9957142857143</v>
      </c>
      <c r="R217" s="55"/>
      <c r="S217" s="84"/>
      <c r="T217" s="85"/>
      <c r="U217" s="85"/>
      <c r="V217" s="85"/>
      <c r="W217" s="85"/>
    </row>
    <row r="218" customFormat="false" ht="14.25" hidden="false" customHeight="true" outlineLevel="0" collapsed="false">
      <c r="A218" s="85" t="n">
        <v>2007</v>
      </c>
      <c r="B218" s="56" t="n">
        <v>39295</v>
      </c>
      <c r="C218" s="56"/>
      <c r="D218" s="88"/>
      <c r="E218" s="89"/>
      <c r="F218" s="88"/>
      <c r="G218" s="55" t="n">
        <f aca="false">'4.1.1'!F234/1.175</f>
        <v>82.1617021276596</v>
      </c>
      <c r="H218" s="55" t="n">
        <f aca="false">G218-48.35</f>
        <v>33.8117021276596</v>
      </c>
      <c r="I218" s="55"/>
      <c r="J218" s="55" t="n">
        <f aca="false">'4.1.1'!E234/1.175</f>
        <v>81.4468085106383</v>
      </c>
      <c r="K218" s="55" t="n">
        <f aca="false">J218-48.35</f>
        <v>33.0968085106383</v>
      </c>
      <c r="L218" s="55"/>
      <c r="M218" s="55" t="n">
        <f aca="false">'4.1.1'!G234/1.05</f>
        <v>32.8095238095238</v>
      </c>
      <c r="N218" s="57" t="n">
        <f aca="false">M218-0</f>
        <v>32.8095238095238</v>
      </c>
      <c r="O218" s="55"/>
      <c r="P218" s="55" t="n">
        <f aca="false">'4.1.1'!H234/1.05</f>
        <v>37.3428571428571</v>
      </c>
      <c r="Q218" s="57" t="n">
        <f aca="false">P218-7.69</f>
        <v>29.6528571428571</v>
      </c>
      <c r="R218" s="55"/>
      <c r="S218" s="84"/>
      <c r="T218" s="85"/>
      <c r="U218" s="85"/>
      <c r="V218" s="85"/>
      <c r="W218" s="85"/>
    </row>
    <row r="219" customFormat="false" ht="14.25" hidden="false" customHeight="true" outlineLevel="0" collapsed="false">
      <c r="A219" s="85" t="n">
        <v>2007</v>
      </c>
      <c r="B219" s="56" t="n">
        <v>39326</v>
      </c>
      <c r="C219" s="56"/>
      <c r="D219" s="88"/>
      <c r="E219" s="89"/>
      <c r="F219" s="88"/>
      <c r="G219" s="55" t="n">
        <f aca="false">'4.1.1'!F235/1.175</f>
        <v>81.9574468085106</v>
      </c>
      <c r="H219" s="55" t="n">
        <f aca="false">G219-48.35</f>
        <v>33.6074468085106</v>
      </c>
      <c r="I219" s="55" t="n">
        <f aca="false">SUM(H217:H219)/3</f>
        <v>33.7748226950355</v>
      </c>
      <c r="J219" s="55" t="n">
        <f aca="false">'4.1.1'!E235/1.175</f>
        <v>80.3829787234043</v>
      </c>
      <c r="K219" s="55" t="n">
        <f aca="false">J219-48.35</f>
        <v>32.0329787234043</v>
      </c>
      <c r="L219" s="55" t="n">
        <f aca="false">SUM(K217:K219)/3</f>
        <v>32.8414893617021</v>
      </c>
      <c r="M219" s="55" t="n">
        <f aca="false">'4.1.1'!G235/1.05</f>
        <v>33.7714285714286</v>
      </c>
      <c r="N219" s="57" t="n">
        <f aca="false">M219-0</f>
        <v>33.7714285714286</v>
      </c>
      <c r="O219" s="55" t="n">
        <f aca="false">SUM(N217:N219)/3</f>
        <v>33.2476190476191</v>
      </c>
      <c r="P219" s="55" t="n">
        <f aca="false">'4.1.1'!H235/1.05</f>
        <v>39.2571428571429</v>
      </c>
      <c r="Q219" s="57" t="n">
        <f aca="false">P219-7.69</f>
        <v>31.5671428571429</v>
      </c>
      <c r="R219" s="55" t="n">
        <f aca="false">SUM(Q217:Q219)/3</f>
        <v>30.4052380952381</v>
      </c>
      <c r="S219" s="84"/>
      <c r="T219" s="85"/>
      <c r="U219" s="85"/>
      <c r="V219" s="85"/>
      <c r="W219" s="85"/>
    </row>
    <row r="220" customFormat="false" ht="14.25" hidden="false" customHeight="true" outlineLevel="0" collapsed="false">
      <c r="A220" s="85" t="n">
        <v>2007</v>
      </c>
      <c r="B220" s="56" t="n">
        <v>39356</v>
      </c>
      <c r="C220" s="56"/>
      <c r="D220" s="88"/>
      <c r="E220" s="89"/>
      <c r="F220" s="88"/>
      <c r="G220" s="55" t="n">
        <f aca="false">'4.1.1'!F236/1.175</f>
        <v>84.3829787234043</v>
      </c>
      <c r="H220" s="55" t="n">
        <f aca="false">G220-50.35</f>
        <v>34.0329787234043</v>
      </c>
      <c r="I220" s="55"/>
      <c r="J220" s="55" t="n">
        <f aca="false">'4.1.1'!E236/1.175</f>
        <v>82.5787234042553</v>
      </c>
      <c r="K220" s="55" t="n">
        <f aca="false">J220-50.35</f>
        <v>32.2287234042553</v>
      </c>
      <c r="L220" s="55"/>
      <c r="M220" s="55" t="n">
        <f aca="false">'4.1.1'!G236/1.05</f>
        <v>35.3619047619048</v>
      </c>
      <c r="N220" s="57" t="n">
        <f aca="false">M220-0</f>
        <v>35.3619047619048</v>
      </c>
      <c r="O220" s="55"/>
      <c r="P220" s="55" t="n">
        <f aca="false">'4.1.1'!H236/1.05</f>
        <v>41.8380952380952</v>
      </c>
      <c r="Q220" s="57" t="n">
        <f aca="false">P220-9.69</f>
        <v>32.1480952380952</v>
      </c>
      <c r="R220" s="55"/>
      <c r="S220" s="84"/>
      <c r="T220" s="85"/>
      <c r="U220" s="85"/>
      <c r="V220" s="85"/>
      <c r="W220" s="85"/>
    </row>
    <row r="221" customFormat="false" ht="14.25" hidden="false" customHeight="true" outlineLevel="0" collapsed="false">
      <c r="A221" s="85" t="n">
        <v>2007</v>
      </c>
      <c r="B221" s="56" t="n">
        <v>39387</v>
      </c>
      <c r="C221" s="56"/>
      <c r="D221" s="88"/>
      <c r="E221" s="89"/>
      <c r="F221" s="88"/>
      <c r="G221" s="55" t="n">
        <f aca="false">'4.1.1'!F237/1.175</f>
        <v>88.6723404255319</v>
      </c>
      <c r="H221" s="55" t="n">
        <f aca="false">G221-50.35</f>
        <v>38.3223404255319</v>
      </c>
      <c r="I221" s="55"/>
      <c r="J221" s="55" t="n">
        <f aca="false">'4.1.1'!E237/1.175</f>
        <v>85.4978723404255</v>
      </c>
      <c r="K221" s="55" t="n">
        <f aca="false">J221-50.35</f>
        <v>35.1478723404255</v>
      </c>
      <c r="L221" s="55"/>
      <c r="M221" s="55" t="n">
        <f aca="false">'4.1.1'!G237/1.05</f>
        <v>39.6190476190476</v>
      </c>
      <c r="N221" s="57" t="n">
        <f aca="false">M221-0</f>
        <v>39.6190476190476</v>
      </c>
      <c r="O221" s="55"/>
      <c r="P221" s="55" t="n">
        <f aca="false">'4.1.1'!H237/1.05</f>
        <v>46.3333333333333</v>
      </c>
      <c r="Q221" s="57" t="n">
        <f aca="false">P221-9.69</f>
        <v>36.6433333333333</v>
      </c>
      <c r="R221" s="55"/>
      <c r="S221" s="84"/>
      <c r="T221" s="85"/>
      <c r="U221" s="85"/>
      <c r="V221" s="85"/>
      <c r="W221" s="85"/>
    </row>
    <row r="222" customFormat="false" ht="14.25" hidden="false" customHeight="true" outlineLevel="0" collapsed="false">
      <c r="A222" s="85" t="n">
        <v>2007</v>
      </c>
      <c r="B222" s="56" t="n">
        <v>39417</v>
      </c>
      <c r="C222" s="56"/>
      <c r="D222" s="88"/>
      <c r="E222" s="89"/>
      <c r="F222" s="88"/>
      <c r="G222" s="55" t="n">
        <f aca="false">'4.1.1'!F238/1.175</f>
        <v>91.4127659574468</v>
      </c>
      <c r="H222" s="55" t="n">
        <f aca="false">G222-50.35</f>
        <v>41.0627659574468</v>
      </c>
      <c r="I222" s="55" t="n">
        <f aca="false">SUM(H220:H222)/3</f>
        <v>37.8060283687943</v>
      </c>
      <c r="J222" s="55" t="n">
        <f aca="false">'4.1.1'!E238/1.175</f>
        <v>87.1148936170213</v>
      </c>
      <c r="K222" s="55" t="n">
        <f aca="false">J222-50.35</f>
        <v>36.7648936170213</v>
      </c>
      <c r="L222" s="55" t="n">
        <f aca="false">SUM(K220:K222)/3</f>
        <v>34.713829787234</v>
      </c>
      <c r="M222" s="55" t="n">
        <f aca="false">'4.1.1'!G238/1.05</f>
        <v>40.4</v>
      </c>
      <c r="N222" s="57" t="n">
        <f aca="false">M222-0</f>
        <v>40.4</v>
      </c>
      <c r="O222" s="55" t="n">
        <f aca="false">SUM(N220:N222)/3</f>
        <v>38.4603174603175</v>
      </c>
      <c r="P222" s="55" t="n">
        <f aca="false">'4.1.1'!H238/1.05</f>
        <v>46.0666666666667</v>
      </c>
      <c r="Q222" s="57" t="n">
        <f aca="false">P222-9.69</f>
        <v>36.3766666666667</v>
      </c>
      <c r="R222" s="55" t="n">
        <f aca="false">SUM(Q220:Q222)/3</f>
        <v>35.0560317460317</v>
      </c>
      <c r="S222" s="84"/>
      <c r="T222" s="55" t="n">
        <f aca="false">AVERAGE(G211:G222)</f>
        <v>82.4241134751773</v>
      </c>
      <c r="U222" s="55" t="n">
        <f aca="false">AVERAGE(H211:H222)</f>
        <v>33.5741134751773</v>
      </c>
      <c r="V222" s="55" t="n">
        <f aca="false">AVERAGE(J211:J222)</f>
        <v>80.2078014184397</v>
      </c>
      <c r="W222" s="55" t="n">
        <f aca="false">AVERAGE(K211:K222)</f>
        <v>31.3578014184397</v>
      </c>
    </row>
    <row r="223" customFormat="false" ht="14.25" hidden="false" customHeight="true" outlineLevel="0" collapsed="false">
      <c r="A223" s="85" t="n">
        <v>2008</v>
      </c>
      <c r="B223" s="56" t="n">
        <v>39448</v>
      </c>
      <c r="C223" s="56"/>
      <c r="D223" s="88"/>
      <c r="E223" s="89"/>
      <c r="F223" s="88"/>
      <c r="G223" s="55" t="n">
        <f aca="false">'4.1.1'!F239/1.175</f>
        <v>92.5106382978723</v>
      </c>
      <c r="H223" s="55" t="n">
        <f aca="false">G223-50.35</f>
        <v>42.1606382978723</v>
      </c>
      <c r="I223" s="55"/>
      <c r="J223" s="55" t="n">
        <f aca="false">'4.1.1'!E239/1.175</f>
        <v>88.263829787234</v>
      </c>
      <c r="K223" s="55" t="n">
        <f aca="false">J223-50.35</f>
        <v>37.913829787234</v>
      </c>
      <c r="L223" s="55"/>
      <c r="M223" s="55" t="n">
        <f aca="false">'4.1.1'!G239/1.05</f>
        <v>41.8095238095238</v>
      </c>
      <c r="N223" s="57" t="n">
        <f aca="false">M223-0</f>
        <v>41.8095238095238</v>
      </c>
      <c r="O223" s="55"/>
      <c r="P223" s="55" t="n">
        <f aca="false">'4.1.1'!H239/1.05</f>
        <v>48.5809523809524</v>
      </c>
      <c r="Q223" s="57" t="n">
        <f aca="false">P223-9.69</f>
        <v>38.8909523809524</v>
      </c>
      <c r="R223" s="55"/>
      <c r="S223" s="84"/>
      <c r="T223" s="85"/>
      <c r="U223" s="85"/>
      <c r="V223" s="85"/>
      <c r="W223" s="85"/>
    </row>
    <row r="224" customFormat="false" ht="14.25" hidden="false" customHeight="true" outlineLevel="0" collapsed="false">
      <c r="A224" s="85" t="n">
        <v>2008</v>
      </c>
      <c r="B224" s="56" t="n">
        <v>39479</v>
      </c>
      <c r="C224" s="56"/>
      <c r="D224" s="88"/>
      <c r="E224" s="89"/>
      <c r="F224" s="88"/>
      <c r="G224" s="55" t="n">
        <f aca="false">'4.1.1'!F240/1.175</f>
        <v>92.6382978723404</v>
      </c>
      <c r="H224" s="55" t="n">
        <f aca="false">G224-50.35</f>
        <v>42.2882978723404</v>
      </c>
      <c r="I224" s="55"/>
      <c r="J224" s="55" t="n">
        <f aca="false">'4.1.1'!E240/1.175</f>
        <v>88.0851063829787</v>
      </c>
      <c r="K224" s="55" t="n">
        <f aca="false">J224-50.35</f>
        <v>37.7351063829787</v>
      </c>
      <c r="L224" s="55"/>
      <c r="M224" s="55" t="n">
        <f aca="false">'4.1.1'!G240/1.05</f>
        <v>42.2190476190476</v>
      </c>
      <c r="N224" s="57" t="n">
        <f aca="false">M224-0</f>
        <v>42.2190476190476</v>
      </c>
      <c r="O224" s="55"/>
      <c r="P224" s="55" t="n">
        <f aca="false">'4.1.1'!H240/1.05</f>
        <v>49.2857142857143</v>
      </c>
      <c r="Q224" s="57" t="n">
        <f aca="false">P224-9.69</f>
        <v>39.5957142857143</v>
      </c>
      <c r="R224" s="55"/>
      <c r="S224" s="84" t="n">
        <f aca="false">H224-K224</f>
        <v>4.55319148936169</v>
      </c>
      <c r="T224" s="85"/>
      <c r="U224" s="85"/>
      <c r="V224" s="85"/>
      <c r="W224" s="85"/>
    </row>
    <row r="225" customFormat="false" ht="14.25" hidden="false" customHeight="true" outlineLevel="0" collapsed="false">
      <c r="A225" s="85" t="n">
        <v>2008</v>
      </c>
      <c r="B225" s="56" t="n">
        <v>39508</v>
      </c>
      <c r="C225" s="56"/>
      <c r="D225" s="88"/>
      <c r="E225" s="89"/>
      <c r="F225" s="88"/>
      <c r="G225" s="55" t="n">
        <f aca="false">'4.1.1'!F241/1.175</f>
        <v>96.2978723404255</v>
      </c>
      <c r="H225" s="55" t="n">
        <f aca="false">G225-50.35</f>
        <v>45.9478723404255</v>
      </c>
      <c r="I225" s="55" t="n">
        <f aca="false">SUM(H223:H225)/3</f>
        <v>43.4656028368794</v>
      </c>
      <c r="J225" s="55" t="n">
        <f aca="false">'4.1.1'!E241/1.175</f>
        <v>90.5191489361702</v>
      </c>
      <c r="K225" s="55" t="n">
        <f aca="false">J225-50.35</f>
        <v>40.1691489361702</v>
      </c>
      <c r="L225" s="55" t="n">
        <f aca="false">SUM(K223:K225)/3</f>
        <v>38.6060283687943</v>
      </c>
      <c r="M225" s="55" t="n">
        <f aca="false">'4.1.1'!G241/1.05</f>
        <v>45.2761904761905</v>
      </c>
      <c r="N225" s="57" t="n">
        <f aca="false">M225-0</f>
        <v>45.2761904761905</v>
      </c>
      <c r="O225" s="55" t="n">
        <f aca="false">SUM(N223:N225)/3</f>
        <v>43.1015873015873</v>
      </c>
      <c r="P225" s="55" t="n">
        <f aca="false">'4.1.1'!H241/1.05</f>
        <v>53.1619047619048</v>
      </c>
      <c r="Q225" s="57" t="n">
        <f aca="false">P225-9.69</f>
        <v>43.4719047619048</v>
      </c>
      <c r="R225" s="55" t="n">
        <f aca="false">SUM(Q223:Q225)/3</f>
        <v>40.6528571428571</v>
      </c>
      <c r="S225" s="84" t="n">
        <f aca="false">H225-K225</f>
        <v>5.77872340425532</v>
      </c>
      <c r="T225" s="85"/>
      <c r="U225" s="85"/>
      <c r="V225" s="85"/>
      <c r="W225" s="85"/>
    </row>
    <row r="226" customFormat="false" ht="14.25" hidden="false" customHeight="true" outlineLevel="0" collapsed="false">
      <c r="A226" s="85" t="n">
        <v>2008</v>
      </c>
      <c r="B226" s="56" t="n">
        <v>39539</v>
      </c>
      <c r="C226" s="56"/>
      <c r="D226" s="88"/>
      <c r="E226" s="89"/>
      <c r="F226" s="88"/>
      <c r="G226" s="55" t="n">
        <f aca="false">'4.1.1'!F242/1.175</f>
        <v>99.1914893617021</v>
      </c>
      <c r="H226" s="55" t="n">
        <f aca="false">G226-50.35</f>
        <v>48.8414893617021</v>
      </c>
      <c r="I226" s="55"/>
      <c r="J226" s="55" t="n">
        <f aca="false">'4.1.1'!E242/1.175</f>
        <v>91.5404255319149</v>
      </c>
      <c r="K226" s="55" t="n">
        <f aca="false">J226-50.35</f>
        <v>41.1904255319149</v>
      </c>
      <c r="L226" s="55"/>
      <c r="M226" s="55" t="n">
        <f aca="false">'4.1.1'!G242/1.05</f>
        <v>50.8476190476191</v>
      </c>
      <c r="N226" s="57" t="n">
        <f aca="false">M226-0</f>
        <v>50.8476190476191</v>
      </c>
      <c r="O226" s="55"/>
      <c r="P226" s="55" t="n">
        <f aca="false">'4.1.1'!H242/1.05</f>
        <v>56.6571428571429</v>
      </c>
      <c r="Q226" s="57" t="n">
        <f aca="false">P226-9.69</f>
        <v>46.9671428571429</v>
      </c>
      <c r="R226" s="55"/>
      <c r="S226" s="84" t="n">
        <f aca="false">H226-K226</f>
        <v>7.65106382978723</v>
      </c>
      <c r="T226" s="85"/>
      <c r="U226" s="85"/>
      <c r="V226" s="85"/>
      <c r="W226" s="85"/>
    </row>
    <row r="227" customFormat="false" ht="14.25" hidden="false" customHeight="true" outlineLevel="0" collapsed="false">
      <c r="A227" s="85" t="n">
        <v>2008</v>
      </c>
      <c r="B227" s="56" t="n">
        <v>39569</v>
      </c>
      <c r="C227" s="56"/>
      <c r="D227" s="88"/>
      <c r="E227" s="89"/>
      <c r="F227" s="88"/>
      <c r="G227" s="55" t="n">
        <f aca="false">'4.1.1'!F243/1.175</f>
        <v>105.702127659574</v>
      </c>
      <c r="H227" s="55" t="n">
        <f aca="false">G227-50.35</f>
        <v>55.3521276595745</v>
      </c>
      <c r="I227" s="55"/>
      <c r="J227" s="55" t="n">
        <f aca="false">'4.1.1'!E243/1.175</f>
        <v>95.9063829787234</v>
      </c>
      <c r="K227" s="55" t="n">
        <f aca="false">J227-50.35</f>
        <v>45.5563829787234</v>
      </c>
      <c r="L227" s="55"/>
      <c r="M227" s="55" t="n">
        <f aca="false">'4.1.1'!G243/1.05</f>
        <v>57.2380952380952</v>
      </c>
      <c r="N227" s="57" t="n">
        <f aca="false">M227-0</f>
        <v>57.2380952380952</v>
      </c>
      <c r="O227" s="55"/>
      <c r="P227" s="55" t="n">
        <f aca="false">'4.1.1'!H243/1.05</f>
        <v>64.1333333333333</v>
      </c>
      <c r="Q227" s="57" t="n">
        <f aca="false">P227-9.69</f>
        <v>54.4433333333333</v>
      </c>
      <c r="R227" s="55"/>
      <c r="S227" s="84" t="n">
        <f aca="false">H227-K227</f>
        <v>9.79574468085107</v>
      </c>
      <c r="T227" s="85"/>
      <c r="U227" s="85"/>
      <c r="V227" s="85"/>
      <c r="W227" s="85"/>
    </row>
    <row r="228" customFormat="false" ht="14.25" hidden="false" customHeight="true" outlineLevel="0" collapsed="false">
      <c r="A228" s="85" t="n">
        <v>2008</v>
      </c>
      <c r="B228" s="56" t="n">
        <v>39600</v>
      </c>
      <c r="C228" s="56"/>
      <c r="D228" s="88"/>
      <c r="E228" s="89"/>
      <c r="F228" s="88"/>
      <c r="G228" s="55" t="n">
        <f aca="false">'4.1.1'!F244/1.175</f>
        <v>111.140425531915</v>
      </c>
      <c r="H228" s="55" t="n">
        <f aca="false">G228-50.35</f>
        <v>60.7904255319149</v>
      </c>
      <c r="I228" s="55" t="n">
        <f aca="false">SUM(H226:H228)/3</f>
        <v>54.9946808510638</v>
      </c>
      <c r="J228" s="55" t="n">
        <f aca="false">'4.1.1'!E244/1.175</f>
        <v>99.9914893617021</v>
      </c>
      <c r="K228" s="55" t="n">
        <f aca="false">J228-50.35</f>
        <v>49.6414893617021</v>
      </c>
      <c r="L228" s="55" t="n">
        <f aca="false">SUM(K226:K228)/3</f>
        <v>45.4627659574468</v>
      </c>
      <c r="M228" s="55" t="n">
        <f aca="false">'4.1.1'!G244/1.05</f>
        <v>58.8380952380952</v>
      </c>
      <c r="N228" s="57" t="n">
        <f aca="false">M228-0</f>
        <v>58.8380952380952</v>
      </c>
      <c r="O228" s="55" t="n">
        <f aca="false">SUM(N226:N228)/3</f>
        <v>55.6412698412698</v>
      </c>
      <c r="P228" s="55" t="n">
        <f aca="false">'4.1.1'!H244/1.05</f>
        <v>65.9142857142857</v>
      </c>
      <c r="Q228" s="57" t="n">
        <f aca="false">P228-9.69</f>
        <v>56.2242857142857</v>
      </c>
      <c r="R228" s="55" t="n">
        <f aca="false">SUM(Q226:Q228)/3</f>
        <v>52.5449206349206</v>
      </c>
      <c r="S228" s="84" t="n">
        <f aca="false">H228-K228</f>
        <v>11.1489361702128</v>
      </c>
      <c r="T228" s="85"/>
      <c r="U228" s="85"/>
      <c r="V228" s="85"/>
      <c r="W228" s="85"/>
    </row>
    <row r="229" customFormat="false" ht="14.25" hidden="false" customHeight="true" outlineLevel="0" collapsed="false">
      <c r="A229" s="85" t="n">
        <v>2008</v>
      </c>
      <c r="B229" s="56" t="n">
        <v>39630</v>
      </c>
      <c r="C229" s="56"/>
      <c r="D229" s="88"/>
      <c r="E229" s="89"/>
      <c r="F229" s="88"/>
      <c r="G229" s="55" t="n">
        <f aca="false">'4.1.1'!F245/1.175</f>
        <v>113.174468085106</v>
      </c>
      <c r="H229" s="55" t="n">
        <f aca="false">G229-50.35</f>
        <v>62.8244680851064</v>
      </c>
      <c r="I229" s="55"/>
      <c r="J229" s="55" t="n">
        <f aca="false">'4.1.1'!E245/1.175</f>
        <v>101.804255319149</v>
      </c>
      <c r="K229" s="55" t="n">
        <f aca="false">J229-50.35</f>
        <v>51.4542553191489</v>
      </c>
      <c r="L229" s="55"/>
      <c r="M229" s="55" t="n">
        <f aca="false">'4.1.1'!G245/1.05</f>
        <v>60.7904761904762</v>
      </c>
      <c r="N229" s="57" t="n">
        <f aca="false">M229-0</f>
        <v>60.7904761904762</v>
      </c>
      <c r="O229" s="55"/>
      <c r="P229" s="55" t="n">
        <f aca="false">'4.1.1'!H245/1.05</f>
        <v>66.4666666666667</v>
      </c>
      <c r="Q229" s="57" t="n">
        <f aca="false">P229-9.69</f>
        <v>56.7766666666667</v>
      </c>
      <c r="R229" s="55"/>
      <c r="S229" s="84" t="n">
        <f aca="false">H229-K229</f>
        <v>11.3702127659574</v>
      </c>
      <c r="T229" s="85"/>
      <c r="U229" s="85"/>
      <c r="V229" s="85"/>
      <c r="W229" s="85"/>
    </row>
    <row r="230" customFormat="false" ht="14.25" hidden="false" customHeight="true" outlineLevel="0" collapsed="false">
      <c r="A230" s="85" t="n">
        <v>2008</v>
      </c>
      <c r="B230" s="56" t="n">
        <v>39661</v>
      </c>
      <c r="C230" s="56"/>
      <c r="D230" s="88"/>
      <c r="E230" s="89"/>
      <c r="F230" s="88"/>
      <c r="G230" s="55" t="n">
        <f aca="false">'4.1.1'!F246/1.175</f>
        <v>105.489361702128</v>
      </c>
      <c r="H230" s="55" t="n">
        <f aca="false">G230-50.35</f>
        <v>55.1393617021277</v>
      </c>
      <c r="I230" s="55"/>
      <c r="J230" s="55" t="n">
        <f aca="false">'4.1.1'!E246/1.175</f>
        <v>95.3702127659575</v>
      </c>
      <c r="K230" s="55" t="n">
        <f aca="false">J230-50.35</f>
        <v>45.0202127659574</v>
      </c>
      <c r="L230" s="55"/>
      <c r="M230" s="55" t="n">
        <f aca="false">'4.1.1'!G246/1.05</f>
        <v>52.6666666666667</v>
      </c>
      <c r="N230" s="57" t="n">
        <f aca="false">M230-0</f>
        <v>52.6666666666667</v>
      </c>
      <c r="O230" s="55"/>
      <c r="P230" s="55" t="n">
        <f aca="false">'4.1.1'!H246/1.05</f>
        <v>59.3428571428571</v>
      </c>
      <c r="Q230" s="57" t="n">
        <f aca="false">P230-9.69</f>
        <v>49.6528571428571</v>
      </c>
      <c r="R230" s="55"/>
      <c r="S230" s="84" t="n">
        <f aca="false">H230-K230</f>
        <v>10.1191489361702</v>
      </c>
      <c r="T230" s="85"/>
      <c r="U230" s="85"/>
      <c r="V230" s="85"/>
      <c r="W230" s="85"/>
    </row>
    <row r="231" customFormat="false" ht="14.25" hidden="false" customHeight="true" outlineLevel="0" collapsed="false">
      <c r="A231" s="85" t="n">
        <v>2008</v>
      </c>
      <c r="B231" s="56" t="n">
        <v>39692</v>
      </c>
      <c r="C231" s="56"/>
      <c r="D231" s="88"/>
      <c r="E231" s="89"/>
      <c r="F231" s="88"/>
      <c r="G231" s="55" t="n">
        <f aca="false">'4.1.1'!F247/1.175</f>
        <v>105.463829787234</v>
      </c>
      <c r="H231" s="55" t="n">
        <f aca="false">G231-50.35</f>
        <v>55.113829787234</v>
      </c>
      <c r="I231" s="55" t="n">
        <f aca="false">SUM(H229:H231)/3</f>
        <v>57.6925531914893</v>
      </c>
      <c r="J231" s="55" t="n">
        <f aca="false">'4.1.1'!E247/1.175</f>
        <v>95.5744680851064</v>
      </c>
      <c r="K231" s="55" t="n">
        <f aca="false">J231-50.35</f>
        <v>45.2244680851064</v>
      </c>
      <c r="L231" s="55" t="n">
        <f aca="false">SUM(K229:K231)/3</f>
        <v>47.2329787234043</v>
      </c>
      <c r="M231" s="55" t="n">
        <f aca="false">'4.1.1'!G247/1.05</f>
        <v>52</v>
      </c>
      <c r="N231" s="57" t="n">
        <f aca="false">M231-0</f>
        <v>52</v>
      </c>
      <c r="O231" s="55" t="n">
        <f aca="false">SUM(N229:N231)/3</f>
        <v>55.152380952381</v>
      </c>
      <c r="P231" s="55" t="n">
        <f aca="false">'4.1.1'!H247/1.05</f>
        <v>59.0952380952381</v>
      </c>
      <c r="Q231" s="57" t="n">
        <f aca="false">P231-9.69</f>
        <v>49.4052380952381</v>
      </c>
      <c r="R231" s="55" t="n">
        <f aca="false">SUM(Q229:Q231)/3</f>
        <v>51.9449206349206</v>
      </c>
      <c r="S231" s="84" t="n">
        <f aca="false">H231-K231</f>
        <v>9.88936170212766</v>
      </c>
      <c r="T231" s="85"/>
      <c r="U231" s="85"/>
      <c r="V231" s="85"/>
      <c r="W231" s="85"/>
    </row>
    <row r="232" customFormat="false" ht="14.25" hidden="false" customHeight="true" outlineLevel="0" collapsed="false">
      <c r="A232" s="85" t="n">
        <v>2008</v>
      </c>
      <c r="B232" s="56" t="n">
        <v>39722</v>
      </c>
      <c r="C232" s="56"/>
      <c r="D232" s="88"/>
      <c r="E232" s="89"/>
      <c r="F232" s="88"/>
      <c r="G232" s="55" t="n">
        <f aca="false">'4.1.1'!F248/1.175</f>
        <v>100.034042553192</v>
      </c>
      <c r="H232" s="55" t="n">
        <f aca="false">G232-50.35</f>
        <v>49.6840425531915</v>
      </c>
      <c r="I232" s="55"/>
      <c r="J232" s="55" t="n">
        <f aca="false">'4.1.1'!E248/1.175</f>
        <v>90.2382978723404</v>
      </c>
      <c r="K232" s="55" t="n">
        <f aca="false">J232-50.35</f>
        <v>39.8882978723404</v>
      </c>
      <c r="L232" s="55"/>
      <c r="M232" s="55" t="n">
        <f aca="false">'4.1.1'!G248/1.05</f>
        <v>46.4285714285714</v>
      </c>
      <c r="N232" s="57" t="n">
        <f aca="false">M232-0</f>
        <v>46.4285714285714</v>
      </c>
      <c r="O232" s="55"/>
      <c r="P232" s="55" t="n">
        <f aca="false">'4.1.1'!H248/1.05</f>
        <v>53.6380952380952</v>
      </c>
      <c r="Q232" s="57" t="n">
        <f aca="false">P232-9.69</f>
        <v>43.9480952380952</v>
      </c>
      <c r="R232" s="55"/>
      <c r="S232" s="84" t="n">
        <f aca="false">H232-K232</f>
        <v>9.79574468085107</v>
      </c>
      <c r="T232" s="85"/>
      <c r="U232" s="85"/>
      <c r="V232" s="85"/>
      <c r="W232" s="85"/>
    </row>
    <row r="233" customFormat="false" ht="14.25" hidden="false" customHeight="true" outlineLevel="0" collapsed="false">
      <c r="A233" s="85" t="n">
        <v>2008</v>
      </c>
      <c r="B233" s="56" t="n">
        <v>39753</v>
      </c>
      <c r="C233" s="56"/>
      <c r="D233" s="88"/>
      <c r="E233" s="89"/>
      <c r="F233" s="88"/>
      <c r="G233" s="55" t="n">
        <f aca="false">'4.1.1'!F249/1.175</f>
        <v>92.4255319148936</v>
      </c>
      <c r="H233" s="55" t="n">
        <f aca="false">G233-50.35</f>
        <v>42.0755319148936</v>
      </c>
      <c r="I233" s="55"/>
      <c r="J233" s="55" t="n">
        <f aca="false">'4.1.1'!E249/1.175</f>
        <v>80.5531914893617</v>
      </c>
      <c r="K233" s="55" t="n">
        <f aca="false">J233-50.35</f>
        <v>30.2031914893617</v>
      </c>
      <c r="L233" s="55"/>
      <c r="M233" s="55" t="n">
        <f aca="false">'4.1.1'!G249/1.05</f>
        <v>38.8666666666667</v>
      </c>
      <c r="N233" s="57" t="n">
        <f aca="false">M233-0</f>
        <v>38.8666666666667</v>
      </c>
      <c r="O233" s="55"/>
      <c r="P233" s="55" t="n">
        <f aca="false">'4.1.1'!H249/1.05</f>
        <v>47.7333333333333</v>
      </c>
      <c r="Q233" s="57" t="n">
        <f aca="false">P233-9.69</f>
        <v>38.0433333333333</v>
      </c>
      <c r="R233" s="55"/>
      <c r="S233" s="84" t="n">
        <f aca="false">H233-K233</f>
        <v>11.8723404255319</v>
      </c>
      <c r="T233" s="85"/>
      <c r="U233" s="85"/>
      <c r="V233" s="85"/>
      <c r="W233" s="85"/>
    </row>
    <row r="234" customFormat="false" ht="14.25" hidden="false" customHeight="true" outlineLevel="0" collapsed="false">
      <c r="A234" s="85" t="n">
        <v>2008</v>
      </c>
      <c r="B234" s="56" t="n">
        <v>39783</v>
      </c>
      <c r="C234" s="85" t="s">
        <v>129</v>
      </c>
      <c r="D234" s="88"/>
      <c r="E234" s="89"/>
      <c r="F234" s="88"/>
      <c r="G234" s="55" t="n">
        <f aca="false">'4.1.1'!F250/1.15</f>
        <v>87.9130434782609</v>
      </c>
      <c r="H234" s="55" t="n">
        <f aca="false">G234-52.35</f>
        <v>35.5630434782609</v>
      </c>
      <c r="I234" s="55" t="n">
        <f aca="false">SUM(H232:H234)/3</f>
        <v>42.440872648782</v>
      </c>
      <c r="J234" s="55" t="n">
        <f aca="false">'4.1.1'!E250/1.15</f>
        <v>77.3391304347826</v>
      </c>
      <c r="K234" s="55" t="n">
        <f aca="false">J234-52.35</f>
        <v>24.9891304347826</v>
      </c>
      <c r="L234" s="55" t="n">
        <f aca="false">SUM(K232:K234)/3</f>
        <v>31.6935399321616</v>
      </c>
      <c r="M234" s="55" t="n">
        <f aca="false">'4.1.1'!G250/1.05</f>
        <v>36.4095238095238</v>
      </c>
      <c r="N234" s="57" t="n">
        <f aca="false">M234-0</f>
        <v>36.4095238095238</v>
      </c>
      <c r="O234" s="55" t="n">
        <f aca="false">SUM(N232:N234)/3</f>
        <v>40.568253968254</v>
      </c>
      <c r="P234" s="55" t="n">
        <f aca="false">'4.1.1'!H250/1.05</f>
        <v>43.6095238095238</v>
      </c>
      <c r="Q234" s="57" t="n">
        <f aca="false">P234-10.07</f>
        <v>33.5395238095238</v>
      </c>
      <c r="R234" s="55" t="n">
        <f aca="false">SUM(Q232:Q234)/3</f>
        <v>38.5103174603175</v>
      </c>
      <c r="S234" s="84" t="n">
        <f aca="false">H234-K234</f>
        <v>10.5739130434783</v>
      </c>
      <c r="T234" s="55" t="n">
        <f aca="false">AVERAGE(G223:G234)</f>
        <v>100.16509404872</v>
      </c>
      <c r="U234" s="55" t="n">
        <f aca="false">AVERAGE(H223:H234)</f>
        <v>49.6484273820537</v>
      </c>
      <c r="V234" s="55" t="n">
        <f aca="false">AVERAGE(J223:J234)</f>
        <v>91.2654949121184</v>
      </c>
      <c r="W234" s="55" t="n">
        <f aca="false">AVERAGE(K223:K234)</f>
        <v>40.7488282454517</v>
      </c>
    </row>
    <row r="235" customFormat="false" ht="14.25" hidden="false" customHeight="true" outlineLevel="0" collapsed="false">
      <c r="A235" s="85" t="n">
        <v>2009</v>
      </c>
      <c r="B235" s="56" t="n">
        <v>39814</v>
      </c>
      <c r="C235" s="56"/>
      <c r="D235" s="88"/>
      <c r="E235" s="89"/>
      <c r="F235" s="88"/>
      <c r="G235" s="55" t="n">
        <f aca="false">'4.1.1'!F251/1.15</f>
        <v>85.8608695652174</v>
      </c>
      <c r="H235" s="55" t="n">
        <f aca="false">G235-52.35</f>
        <v>33.5108695652174</v>
      </c>
      <c r="I235" s="55"/>
      <c r="J235" s="55" t="n">
        <f aca="false">'4.1.1'!E251/1.15</f>
        <v>75.0695652173913</v>
      </c>
      <c r="K235" s="55" t="n">
        <f aca="false">J235-52.35</f>
        <v>22.7195652173913</v>
      </c>
      <c r="L235" s="55"/>
      <c r="M235" s="55" t="n">
        <f aca="false">'4.1.1'!G251/1.05</f>
        <v>34.2952380952381</v>
      </c>
      <c r="N235" s="57" t="n">
        <f aca="false">M235-0</f>
        <v>34.2952380952381</v>
      </c>
      <c r="O235" s="55"/>
      <c r="P235" s="55" t="n">
        <f aca="false">'4.1.1'!H251/1.05</f>
        <v>41.7428571428571</v>
      </c>
      <c r="Q235" s="57" t="n">
        <f aca="false">P235-10.07</f>
        <v>31.6728571428571</v>
      </c>
      <c r="R235" s="55"/>
      <c r="S235" s="84" t="n">
        <f aca="false">H235-K235</f>
        <v>10.7913043478261</v>
      </c>
      <c r="T235" s="85"/>
      <c r="U235" s="85"/>
      <c r="V235" s="85"/>
      <c r="W235" s="85"/>
    </row>
    <row r="236" customFormat="false" ht="14.25" hidden="false" customHeight="true" outlineLevel="0" collapsed="false">
      <c r="A236" s="85" t="n">
        <v>2009</v>
      </c>
      <c r="B236" s="56" t="n">
        <v>39845</v>
      </c>
      <c r="C236" s="56"/>
      <c r="D236" s="88"/>
      <c r="E236" s="89"/>
      <c r="F236" s="88"/>
      <c r="G236" s="55" t="n">
        <f aca="false">'4.1.1'!F252/1.15</f>
        <v>87.1826086956522</v>
      </c>
      <c r="H236" s="55" t="n">
        <f aca="false">G236-52.35</f>
        <v>34.8326086956522</v>
      </c>
      <c r="I236" s="55"/>
      <c r="J236" s="55" t="n">
        <f aca="false">'4.1.1'!E252/1.15</f>
        <v>77.7304347826087</v>
      </c>
      <c r="K236" s="55" t="n">
        <f aca="false">J236-52.35</f>
        <v>25.3804347826087</v>
      </c>
      <c r="L236" s="55"/>
      <c r="M236" s="55" t="n">
        <f aca="false">'4.1.1'!G252/1.05</f>
        <v>32.2952380952381</v>
      </c>
      <c r="N236" s="57" t="n">
        <f aca="false">M236-0</f>
        <v>32.2952380952381</v>
      </c>
      <c r="O236" s="55"/>
      <c r="P236" s="55" t="n">
        <f aca="false">'4.1.1'!H252/1.05</f>
        <v>39.6952380952381</v>
      </c>
      <c r="Q236" s="57" t="n">
        <f aca="false">P236-10.07</f>
        <v>29.6252380952381</v>
      </c>
      <c r="R236" s="55"/>
      <c r="S236" s="84" t="n">
        <f aca="false">H236-K236</f>
        <v>9.4521739130435</v>
      </c>
      <c r="T236" s="85"/>
      <c r="U236" s="85"/>
      <c r="V236" s="85"/>
      <c r="W236" s="85"/>
    </row>
    <row r="237" customFormat="false" ht="14.25" hidden="false" customHeight="true" outlineLevel="0" collapsed="false">
      <c r="A237" s="85" t="n">
        <v>2009</v>
      </c>
      <c r="B237" s="56" t="n">
        <v>39873</v>
      </c>
      <c r="C237" s="56"/>
      <c r="D237" s="88"/>
      <c r="E237" s="89"/>
      <c r="F237" s="88"/>
      <c r="G237" s="55" t="n">
        <f aca="false">'4.1.1'!F253/1.15</f>
        <v>86.8521739130435</v>
      </c>
      <c r="H237" s="55" t="n">
        <f aca="false">G237-52.35</f>
        <v>34.5021739130435</v>
      </c>
      <c r="I237" s="55" t="n">
        <f aca="false">SUM(H235:H237)/3</f>
        <v>34.281884057971</v>
      </c>
      <c r="J237" s="55" t="n">
        <f aca="false">'4.1.1'!E253/1.15</f>
        <v>78.304347826087</v>
      </c>
      <c r="K237" s="55" t="n">
        <f aca="false">J237-52.35</f>
        <v>25.954347826087</v>
      </c>
      <c r="L237" s="55" t="n">
        <f aca="false">SUM(K235:K237)/3</f>
        <v>24.6847826086957</v>
      </c>
      <c r="M237" s="55" t="n">
        <f aca="false">'4.1.1'!G253/1.05</f>
        <v>30.2666666666667</v>
      </c>
      <c r="N237" s="57" t="n">
        <f aca="false">M237-0</f>
        <v>30.2666666666667</v>
      </c>
      <c r="O237" s="55" t="n">
        <f aca="false">SUM(N235:N237)/3</f>
        <v>32.2857142857143</v>
      </c>
      <c r="P237" s="55" t="n">
        <f aca="false">'4.1.1'!H253/1.05</f>
        <v>37.9047619047619</v>
      </c>
      <c r="Q237" s="57" t="n">
        <f aca="false">P237-10.07</f>
        <v>27.8347619047619</v>
      </c>
      <c r="R237" s="55" t="n">
        <f aca="false">SUM(Q235:Q237)/3</f>
        <v>29.7109523809524</v>
      </c>
      <c r="S237" s="84" t="n">
        <f aca="false">H237-K237</f>
        <v>8.54782608695653</v>
      </c>
      <c r="T237" s="85"/>
      <c r="U237" s="85"/>
      <c r="V237" s="85"/>
      <c r="W237" s="85"/>
    </row>
    <row r="238" customFormat="false" ht="14.25" hidden="false" customHeight="true" outlineLevel="0" collapsed="false">
      <c r="A238" s="85" t="n">
        <v>2009</v>
      </c>
      <c r="B238" s="56" t="n">
        <v>39904</v>
      </c>
      <c r="C238" s="85" t="s">
        <v>130</v>
      </c>
      <c r="D238" s="88"/>
      <c r="E238" s="89"/>
      <c r="F238" s="88"/>
      <c r="G238" s="55" t="n">
        <f aca="false">'4.1.1'!F254/1.15</f>
        <v>88.6347826086957</v>
      </c>
      <c r="H238" s="55" t="n">
        <f aca="false">G238-54.19</f>
        <v>34.4447826086957</v>
      </c>
      <c r="I238" s="55"/>
      <c r="J238" s="55" t="n">
        <f aca="false">'4.1.1'!E254/1.15</f>
        <v>81.4</v>
      </c>
      <c r="K238" s="55" t="n">
        <f aca="false">J238-54.19</f>
        <v>27.21</v>
      </c>
      <c r="L238" s="55"/>
      <c r="M238" s="55" t="n">
        <f aca="false">'4.1.1'!G254/1.05</f>
        <v>31.6095238095238</v>
      </c>
      <c r="N238" s="57" t="n">
        <f aca="false">M238-0</f>
        <v>31.6095238095238</v>
      </c>
      <c r="O238" s="55"/>
      <c r="P238" s="55" t="n">
        <f aca="false">'4.1.1'!H254/1.05</f>
        <v>39.6095238095238</v>
      </c>
      <c r="Q238" s="57" t="n">
        <f aca="false">P238-10.42</f>
        <v>29.1895238095238</v>
      </c>
      <c r="R238" s="55"/>
      <c r="S238" s="84" t="n">
        <f aca="false">H238-K238</f>
        <v>7.23478260869565</v>
      </c>
      <c r="T238" s="85"/>
      <c r="U238" s="85"/>
      <c r="V238" s="85"/>
      <c r="W238" s="85"/>
    </row>
    <row r="239" customFormat="false" ht="14.25" hidden="false" customHeight="true" outlineLevel="0" collapsed="false">
      <c r="A239" s="85" t="n">
        <v>2009</v>
      </c>
      <c r="B239" s="56" t="n">
        <v>39934</v>
      </c>
      <c r="C239" s="85"/>
      <c r="D239" s="88"/>
      <c r="E239" s="89"/>
      <c r="F239" s="88"/>
      <c r="G239" s="55" t="n">
        <f aca="false">'4.1.1'!F255/1.15</f>
        <v>89.5478260869565</v>
      </c>
      <c r="H239" s="55" t="n">
        <f aca="false">G239-54.19</f>
        <v>35.3578260869565</v>
      </c>
      <c r="I239" s="55"/>
      <c r="J239" s="55" t="n">
        <f aca="false">'4.1.1'!E255/1.15</f>
        <v>84.3304347826087</v>
      </c>
      <c r="K239" s="55" t="n">
        <f aca="false">J239-54.19</f>
        <v>30.1404347826087</v>
      </c>
      <c r="L239" s="55"/>
      <c r="M239" s="55" t="n">
        <f aca="false">'4.1.1'!G255/1.05</f>
        <v>32.8476190476191</v>
      </c>
      <c r="N239" s="57" t="n">
        <f aca="false">M239-0</f>
        <v>32.8476190476191</v>
      </c>
      <c r="O239" s="55"/>
      <c r="P239" s="55" t="n">
        <f aca="false">'4.1.1'!H255/1.05</f>
        <v>39.9142857142857</v>
      </c>
      <c r="Q239" s="57" t="n">
        <f aca="false">P239-10.42</f>
        <v>29.4942857142857</v>
      </c>
      <c r="R239" s="55"/>
      <c r="S239" s="84" t="n">
        <f aca="false">H239-K239</f>
        <v>5.21739130434783</v>
      </c>
      <c r="T239" s="85"/>
      <c r="U239" s="85"/>
      <c r="V239" s="85"/>
      <c r="W239" s="85"/>
    </row>
    <row r="240" customFormat="false" ht="14.25" hidden="false" customHeight="true" outlineLevel="0" collapsed="false">
      <c r="A240" s="85" t="n">
        <v>2009</v>
      </c>
      <c r="B240" s="56" t="n">
        <v>39965</v>
      </c>
      <c r="C240" s="85"/>
      <c r="D240" s="88"/>
      <c r="E240" s="89"/>
      <c r="F240" s="88"/>
      <c r="G240" s="55" t="n">
        <f aca="false">'4.1.1'!F256/1.15</f>
        <v>90.7217391304348</v>
      </c>
      <c r="H240" s="55" t="n">
        <f aca="false">G240-54.19</f>
        <v>36.5317391304348</v>
      </c>
      <c r="I240" s="55" t="n">
        <f aca="false">SUM(H238:H240)/3</f>
        <v>35.4447826086957</v>
      </c>
      <c r="J240" s="55" t="n">
        <f aca="false">'4.1.1'!E256/1.15</f>
        <v>88.5304347826087</v>
      </c>
      <c r="K240" s="55" t="n">
        <f aca="false">J240-54.19</f>
        <v>34.3404347826087</v>
      </c>
      <c r="L240" s="55" t="n">
        <f aca="false">SUM(K238:K240)/3</f>
        <v>30.5636231884058</v>
      </c>
      <c r="M240" s="55" t="n">
        <f aca="false">'4.1.1'!G256/1.05</f>
        <v>34.4095238095238</v>
      </c>
      <c r="N240" s="57" t="n">
        <f aca="false">M240-0</f>
        <v>34.4095238095238</v>
      </c>
      <c r="O240" s="55" t="n">
        <f aca="false">SUM(N238:N240)/3</f>
        <v>32.9555555555556</v>
      </c>
      <c r="P240" s="55" t="n">
        <f aca="false">'4.1.1'!H256/1.05</f>
        <v>41.2857142857143</v>
      </c>
      <c r="Q240" s="57" t="n">
        <f aca="false">P240-10.42</f>
        <v>30.8657142857143</v>
      </c>
      <c r="R240" s="55" t="n">
        <f aca="false">SUM(Q238:Q240)/3</f>
        <v>29.8498412698413</v>
      </c>
      <c r="S240" s="84" t="n">
        <f aca="false">H240-K240</f>
        <v>2.19130434782608</v>
      </c>
      <c r="T240" s="85"/>
      <c r="U240" s="85"/>
      <c r="V240" s="85"/>
      <c r="W240" s="85"/>
    </row>
    <row r="241" customFormat="false" ht="14.25" hidden="false" customHeight="true" outlineLevel="0" collapsed="false">
      <c r="A241" s="85" t="n">
        <v>2009</v>
      </c>
      <c r="B241" s="56" t="n">
        <v>39995</v>
      </c>
      <c r="C241" s="85"/>
      <c r="D241" s="88"/>
      <c r="E241" s="89"/>
      <c r="F241" s="88"/>
      <c r="G241" s="55" t="n">
        <f aca="false">'4.1.1'!F257/1.15</f>
        <v>90.304347826087</v>
      </c>
      <c r="H241" s="55" t="n">
        <f aca="false">G241-54.19</f>
        <v>36.114347826087</v>
      </c>
      <c r="I241" s="55"/>
      <c r="J241" s="55" t="n">
        <f aca="false">'4.1.1'!E257/1.15</f>
        <v>89.2608695652174</v>
      </c>
      <c r="K241" s="55" t="n">
        <f aca="false">J241-54.19</f>
        <v>35.0708695652174</v>
      </c>
      <c r="L241" s="55"/>
      <c r="M241" s="55" t="n">
        <f aca="false">'4.1.1'!G257/1.05</f>
        <v>34.2761904761905</v>
      </c>
      <c r="N241" s="57" t="n">
        <f aca="false">M241-0</f>
        <v>34.2761904761905</v>
      </c>
      <c r="O241" s="55"/>
      <c r="P241" s="55" t="n">
        <f aca="false">'4.1.1'!H257/1.05</f>
        <v>41.0571428571429</v>
      </c>
      <c r="Q241" s="57" t="n">
        <f aca="false">P241-10.42</f>
        <v>30.6371428571429</v>
      </c>
      <c r="R241" s="55"/>
      <c r="S241" s="84" t="n">
        <f aca="false">H241-K241</f>
        <v>1.04347826086955</v>
      </c>
      <c r="T241" s="85"/>
      <c r="U241" s="85"/>
      <c r="V241" s="85"/>
      <c r="W241" s="85"/>
    </row>
    <row r="242" customFormat="false" ht="14.25" hidden="false" customHeight="true" outlineLevel="0" collapsed="false">
      <c r="A242" s="85" t="n">
        <v>2009</v>
      </c>
      <c r="B242" s="56" t="n">
        <v>40026</v>
      </c>
      <c r="C242" s="85"/>
      <c r="D242" s="88"/>
      <c r="E242" s="89"/>
      <c r="F242" s="88"/>
      <c r="G242" s="55" t="n">
        <f aca="false">'4.1.1'!F258/1.15</f>
        <v>90.6695652173913</v>
      </c>
      <c r="H242" s="55" t="n">
        <f aca="false">G242-54.19</f>
        <v>36.4795652173913</v>
      </c>
      <c r="I242" s="55"/>
      <c r="J242" s="55" t="n">
        <f aca="false">'4.1.1'!E258/1.15</f>
        <v>90.2434782608696</v>
      </c>
      <c r="K242" s="55" t="n">
        <f aca="false">J242-54.19</f>
        <v>36.0534782608696</v>
      </c>
      <c r="L242" s="55"/>
      <c r="M242" s="55" t="n">
        <f aca="false">'4.1.1'!G258/1.05</f>
        <v>35.2952380952381</v>
      </c>
      <c r="N242" s="57" t="n">
        <f aca="false">M242-0</f>
        <v>35.2952380952381</v>
      </c>
      <c r="O242" s="55"/>
      <c r="P242" s="55" t="n">
        <f aca="false">'4.1.1'!H258/1.05</f>
        <v>42.7047619047619</v>
      </c>
      <c r="Q242" s="57" t="n">
        <f aca="false">P242-10.42</f>
        <v>32.2847619047619</v>
      </c>
      <c r="R242" s="55"/>
      <c r="S242" s="84" t="n">
        <f aca="false">H242-K242</f>
        <v>0.426086956521729</v>
      </c>
      <c r="T242" s="85"/>
      <c r="U242" s="85"/>
      <c r="V242" s="85"/>
      <c r="W242" s="85"/>
    </row>
    <row r="243" customFormat="false" ht="14.25" hidden="false" customHeight="true" outlineLevel="0" collapsed="false">
      <c r="A243" s="85" t="n">
        <v>2009</v>
      </c>
      <c r="B243" s="56" t="n">
        <v>40057</v>
      </c>
      <c r="C243" s="85" t="s">
        <v>130</v>
      </c>
      <c r="D243" s="88"/>
      <c r="E243" s="89"/>
      <c r="F243" s="88"/>
      <c r="G243" s="55" t="n">
        <f aca="false">'4.1.1'!F259/1.15</f>
        <v>92.6782608695652</v>
      </c>
      <c r="H243" s="55" t="n">
        <f aca="false">G243-56.19</f>
        <v>36.4882608695652</v>
      </c>
      <c r="I243" s="55" t="n">
        <f aca="false">SUM(H241:H243)/3</f>
        <v>36.3607246376812</v>
      </c>
      <c r="J243" s="55" t="n">
        <f aca="false">'4.1.1'!E259/1.15</f>
        <v>92.0782608695652</v>
      </c>
      <c r="K243" s="55" t="n">
        <f aca="false">J243-56.19</f>
        <v>35.8882608695652</v>
      </c>
      <c r="L243" s="55" t="n">
        <f aca="false">SUM(K241:K243)/3</f>
        <v>35.6708695652174</v>
      </c>
      <c r="M243" s="55" t="n">
        <f aca="false">'4.1.1'!G259/1.05</f>
        <v>35.6190476190476</v>
      </c>
      <c r="N243" s="57" t="n">
        <f aca="false">M243-0</f>
        <v>35.6190476190476</v>
      </c>
      <c r="O243" s="55" t="n">
        <f aca="false">SUM(N241:N243)/3</f>
        <v>35.0634920634921</v>
      </c>
      <c r="P243" s="55" t="n">
        <f aca="false">'4.1.1'!H259/1.05</f>
        <v>42.8952380952381</v>
      </c>
      <c r="Q243" s="57" t="n">
        <f aca="false">P243-10.8</f>
        <v>32.0952380952381</v>
      </c>
      <c r="R243" s="55" t="n">
        <f aca="false">SUM(Q241:Q243)/3</f>
        <v>31.672380952381</v>
      </c>
      <c r="S243" s="84" t="n">
        <f aca="false">H243-K243</f>
        <v>0.599999999999994</v>
      </c>
      <c r="T243" s="85"/>
      <c r="U243" s="85"/>
      <c r="V243" s="85"/>
      <c r="W243" s="85"/>
    </row>
    <row r="244" customFormat="false" ht="14.25" hidden="false" customHeight="true" outlineLevel="0" collapsed="false">
      <c r="A244" s="85" t="n">
        <v>2009</v>
      </c>
      <c r="B244" s="56" t="n">
        <v>40087</v>
      </c>
      <c r="C244" s="85"/>
      <c r="D244" s="88"/>
      <c r="E244" s="89"/>
      <c r="F244" s="88"/>
      <c r="G244" s="55" t="n">
        <f aca="false">'4.1.1'!F260/1.15</f>
        <v>91.7739130434783</v>
      </c>
      <c r="H244" s="55" t="n">
        <f aca="false">G244-56.19</f>
        <v>35.5839130434783</v>
      </c>
      <c r="I244" s="55"/>
      <c r="J244" s="55" t="n">
        <f aca="false">'4.1.1'!E260/1.15</f>
        <v>90.904347826087</v>
      </c>
      <c r="K244" s="55" t="n">
        <f aca="false">J244-56.19</f>
        <v>34.714347826087</v>
      </c>
      <c r="L244" s="55"/>
      <c r="M244" s="55" t="n">
        <f aca="false">'4.1.1'!G260/1.05</f>
        <v>36.152380952381</v>
      </c>
      <c r="N244" s="57" t="n">
        <f aca="false">M244-0</f>
        <v>36.152380952381</v>
      </c>
      <c r="O244" s="55"/>
      <c r="P244" s="55" t="n">
        <f aca="false">'4.1.1'!H260/1.05</f>
        <v>43.9904761904762</v>
      </c>
      <c r="Q244" s="57" t="n">
        <f aca="false">P244-10.8</f>
        <v>33.1904761904762</v>
      </c>
      <c r="R244" s="55"/>
      <c r="S244" s="84" t="n">
        <f aca="false">H244-K244</f>
        <v>0.869565217391312</v>
      </c>
      <c r="T244" s="85"/>
      <c r="U244" s="85"/>
      <c r="V244" s="85"/>
      <c r="W244" s="85"/>
    </row>
    <row r="245" customFormat="false" ht="14.25" hidden="false" customHeight="true" outlineLevel="0" collapsed="false">
      <c r="A245" s="85" t="n">
        <v>2009</v>
      </c>
      <c r="B245" s="56" t="n">
        <v>40118</v>
      </c>
      <c r="C245" s="85"/>
      <c r="D245" s="88"/>
      <c r="E245" s="89"/>
      <c r="F245" s="88"/>
      <c r="G245" s="55" t="n">
        <f aca="false">'4.1.1'!F261/1.15</f>
        <v>95.1789904262973</v>
      </c>
      <c r="H245" s="55" t="n">
        <f aca="false">G245-56.19</f>
        <v>38.9889904262973</v>
      </c>
      <c r="I245" s="55"/>
      <c r="J245" s="55" t="n">
        <f aca="false">'4.1.1'!E261/1.15</f>
        <v>94.1500626086957</v>
      </c>
      <c r="K245" s="55" t="n">
        <f aca="false">J245-56.19</f>
        <v>37.9600626086957</v>
      </c>
      <c r="L245" s="55"/>
      <c r="M245" s="55" t="n">
        <f aca="false">'4.1.1'!G261/1.05</f>
        <v>37.877773124175</v>
      </c>
      <c r="N245" s="57" t="n">
        <f aca="false">M245-0</f>
        <v>37.877773124175</v>
      </c>
      <c r="O245" s="55"/>
      <c r="P245" s="55" t="n">
        <f aca="false">'4.1.1'!H261/1.05</f>
        <v>45.8956521291333</v>
      </c>
      <c r="Q245" s="57" t="n">
        <f aca="false">P245-10.8</f>
        <v>35.0956521291333</v>
      </c>
      <c r="R245" s="55"/>
      <c r="S245" s="84" t="n">
        <f aca="false">H245-K245</f>
        <v>1.0289278176016</v>
      </c>
      <c r="T245" s="85"/>
      <c r="U245" s="85"/>
      <c r="V245" s="85"/>
      <c r="W245" s="85"/>
    </row>
    <row r="246" customFormat="false" ht="14.25" hidden="false" customHeight="true" outlineLevel="0" collapsed="false">
      <c r="A246" s="85" t="n">
        <v>2009</v>
      </c>
      <c r="B246" s="56" t="n">
        <v>40148</v>
      </c>
      <c r="C246" s="85"/>
      <c r="D246" s="88"/>
      <c r="E246" s="89"/>
      <c r="F246" s="88"/>
      <c r="G246" s="55" t="n">
        <f aca="false">'4.1.1'!F262/1.15</f>
        <v>95.0811274464592</v>
      </c>
      <c r="H246" s="55" t="n">
        <f aca="false">G246-56.19</f>
        <v>38.8911274464592</v>
      </c>
      <c r="I246" s="55" t="n">
        <f aca="false">SUM(H244:H246)/3</f>
        <v>37.8213436387449</v>
      </c>
      <c r="J246" s="55" t="n">
        <f aca="false">'4.1.1'!E262/1.15</f>
        <v>94.063</v>
      </c>
      <c r="K246" s="55" t="n">
        <f aca="false">J246-56.19</f>
        <v>37.873</v>
      </c>
      <c r="L246" s="55" t="n">
        <f aca="false">SUM(K244:K246)/3</f>
        <v>36.8491368115942</v>
      </c>
      <c r="M246" s="55" t="n">
        <f aca="false">'4.1.1'!G262/1.05</f>
        <v>38.1437493654178</v>
      </c>
      <c r="N246" s="57" t="n">
        <f aca="false">M246-0</f>
        <v>38.1437493654178</v>
      </c>
      <c r="O246" s="55" t="n">
        <f aca="false">SUM(N244:N246)/3</f>
        <v>37.3913011473246</v>
      </c>
      <c r="P246" s="55" t="n">
        <f aca="false">'4.1.1'!H262/1.05</f>
        <v>46.1103390031258</v>
      </c>
      <c r="Q246" s="57" t="n">
        <f aca="false">P246-10.8</f>
        <v>35.3103390031259</v>
      </c>
      <c r="R246" s="55" t="n">
        <f aca="false">SUM(Q244:Q246)/3</f>
        <v>34.5321557742451</v>
      </c>
      <c r="S246" s="84" t="n">
        <f aca="false">H246-K246</f>
        <v>1.01812744645918</v>
      </c>
      <c r="T246" s="55" t="n">
        <f aca="false">AVERAGE(G235:G246)</f>
        <v>90.3738504024399</v>
      </c>
      <c r="U246" s="55" t="n">
        <f aca="false">AVERAGE(H235:H246)</f>
        <v>35.9771837357732</v>
      </c>
      <c r="V246" s="55" t="n">
        <f aca="false">AVERAGE(J235:J246)</f>
        <v>86.3387697101449</v>
      </c>
      <c r="W246" s="55" t="n">
        <f aca="false">AVERAGE(K235:K246)</f>
        <v>31.9421030434783</v>
      </c>
    </row>
    <row r="247" customFormat="false" ht="14.25" hidden="false" customHeight="true" outlineLevel="0" collapsed="false">
      <c r="A247" s="85" t="n">
        <v>2010</v>
      </c>
      <c r="B247" s="56" t="n">
        <v>40179</v>
      </c>
      <c r="C247" s="85" t="s">
        <v>131</v>
      </c>
      <c r="D247" s="88"/>
      <c r="E247" s="89"/>
      <c r="F247" s="88"/>
      <c r="G247" s="55" t="n">
        <f aca="false">'4.1.1'!F263/1.175</f>
        <v>96.4348974083536</v>
      </c>
      <c r="H247" s="55" t="n">
        <f aca="false">G247-56.19</f>
        <v>40.2448974083536</v>
      </c>
      <c r="I247" s="55"/>
      <c r="J247" s="55" t="n">
        <f aca="false">'4.1.1'!E263/1.175</f>
        <v>94.8841174468085</v>
      </c>
      <c r="K247" s="55" t="n">
        <f aca="false">J247-56.19</f>
        <v>38.6941174468085</v>
      </c>
      <c r="L247" s="55"/>
      <c r="M247" s="55" t="n">
        <f aca="false">'4.1.1'!G263/1.05</f>
        <v>40.4668532338309</v>
      </c>
      <c r="N247" s="57" t="n">
        <f aca="false">M247-0</f>
        <v>40.4668532338309</v>
      </c>
      <c r="O247" s="55"/>
      <c r="P247" s="55" t="n">
        <f aca="false">'4.1.1'!H263/1.05</f>
        <v>48.2280338024688</v>
      </c>
      <c r="Q247" s="57" t="n">
        <f aca="false">P247-10.8</f>
        <v>37.4280338024688</v>
      </c>
      <c r="R247" s="55"/>
      <c r="S247" s="84" t="n">
        <f aca="false">H247-K247</f>
        <v>1.55077996154505</v>
      </c>
      <c r="T247" s="85"/>
      <c r="U247" s="85"/>
      <c r="V247" s="85"/>
      <c r="W247" s="85"/>
    </row>
    <row r="248" customFormat="false" ht="14.25" hidden="false" customHeight="true" outlineLevel="0" collapsed="false">
      <c r="A248" s="85" t="n">
        <v>2010</v>
      </c>
      <c r="B248" s="56" t="n">
        <v>40210</v>
      </c>
      <c r="C248" s="85"/>
      <c r="D248" s="88"/>
      <c r="E248" s="89"/>
      <c r="F248" s="88"/>
      <c r="G248" s="55" t="n">
        <f aca="false">'4.1.1'!F264/1.175</f>
        <v>96.4978569945567</v>
      </c>
      <c r="H248" s="55" t="n">
        <f aca="false">G248-56.19</f>
        <v>40.3078569945567</v>
      </c>
      <c r="I248" s="55"/>
      <c r="J248" s="55" t="n">
        <f aca="false">'4.1.1'!E264/1.175</f>
        <v>95.0178255319149</v>
      </c>
      <c r="K248" s="55" t="n">
        <f aca="false">J248-56.19</f>
        <v>38.8278255319149</v>
      </c>
      <c r="L248" s="55"/>
      <c r="M248" s="55" t="n">
        <f aca="false">'4.1.1'!G264/1.05</f>
        <v>41.1412579957356</v>
      </c>
      <c r="N248" s="57" t="n">
        <f aca="false">M248-0</f>
        <v>41.1412579957356</v>
      </c>
      <c r="O248" s="55"/>
      <c r="P248" s="55" t="n">
        <f aca="false">'4.1.1'!H264/1.05</f>
        <v>47.6620165098591</v>
      </c>
      <c r="Q248" s="57" t="n">
        <f aca="false">P248-10.8</f>
        <v>36.8620165098591</v>
      </c>
      <c r="R248" s="55"/>
      <c r="S248" s="84" t="n">
        <f aca="false">H248-K248</f>
        <v>1.48003146264183</v>
      </c>
      <c r="T248" s="85"/>
      <c r="U248" s="85"/>
      <c r="V248" s="85"/>
      <c r="W248" s="85"/>
    </row>
    <row r="249" customFormat="false" ht="14.25" hidden="false" customHeight="true" outlineLevel="0" collapsed="false">
      <c r="A249" s="85" t="n">
        <v>2010</v>
      </c>
      <c r="B249" s="56" t="n">
        <v>40238</v>
      </c>
      <c r="C249" s="85"/>
      <c r="D249" s="88"/>
      <c r="E249" s="89"/>
      <c r="F249" s="88"/>
      <c r="G249" s="55" t="n">
        <f aca="false">'4.1.1'!F265/1.175</f>
        <v>98.8975157746504</v>
      </c>
      <c r="H249" s="55" t="n">
        <f aca="false">G249-56.19</f>
        <v>42.7075157746504</v>
      </c>
      <c r="I249" s="55" t="n">
        <f aca="false">SUM(H247:H249)/3</f>
        <v>41.0867567258536</v>
      </c>
      <c r="J249" s="55" t="n">
        <f aca="false">'4.1.1'!E265/1.175</f>
        <v>98.2712834042553</v>
      </c>
      <c r="K249" s="55" t="n">
        <f aca="false">J249-56.19</f>
        <v>42.0812834042553</v>
      </c>
      <c r="L249" s="55" t="n">
        <f aca="false">SUM(K247:K249)/3</f>
        <v>39.8677421276596</v>
      </c>
      <c r="M249" s="55" t="n">
        <f aca="false">'4.1.1'!G265/1.05</f>
        <v>42.9691808813078</v>
      </c>
      <c r="N249" s="57" t="n">
        <f aca="false">M249-0</f>
        <v>42.9691808813078</v>
      </c>
      <c r="O249" s="55" t="n">
        <f aca="false">SUM(N247:N249)/3</f>
        <v>41.5257640369581</v>
      </c>
      <c r="P249" s="55" t="n">
        <f aca="false">'4.1.1'!H265/1.05</f>
        <v>50.0017323507753</v>
      </c>
      <c r="Q249" s="57" t="n">
        <f aca="false">P249-10.8</f>
        <v>39.2017323507753</v>
      </c>
      <c r="R249" s="55" t="n">
        <f aca="false">SUM(Q247:Q249)/3</f>
        <v>37.8305942210344</v>
      </c>
      <c r="S249" s="84" t="n">
        <f aca="false">H249-K249</f>
        <v>0.62623237039513</v>
      </c>
      <c r="T249" s="85"/>
      <c r="U249" s="85"/>
      <c r="V249" s="85"/>
      <c r="W249" s="85"/>
    </row>
    <row r="250" customFormat="false" ht="14.25" hidden="false" customHeight="true" outlineLevel="0" collapsed="false">
      <c r="A250" s="85" t="n">
        <v>2010</v>
      </c>
      <c r="B250" s="56" t="n">
        <v>40269</v>
      </c>
      <c r="C250" s="85" t="s">
        <v>130</v>
      </c>
      <c r="D250" s="88"/>
      <c r="E250" s="89"/>
      <c r="F250" s="88"/>
      <c r="G250" s="55" t="n">
        <f aca="false">'4.1.1'!F266/1.175</f>
        <v>102.966388033833</v>
      </c>
      <c r="H250" s="55" t="n">
        <f aca="false">G250-57.19</f>
        <v>45.7763880338331</v>
      </c>
      <c r="I250" s="55"/>
      <c r="J250" s="55" t="n">
        <f aca="false">'4.1.1'!E266/1.175</f>
        <v>101.959993191489</v>
      </c>
      <c r="K250" s="55" t="n">
        <f aca="false">J250-57.19</f>
        <v>44.7699931914894</v>
      </c>
      <c r="L250" s="55"/>
      <c r="M250" s="55" t="n">
        <f aca="false">'4.1.1'!G266/1.05</f>
        <v>44.4595174637019</v>
      </c>
      <c r="N250" s="57" t="n">
        <f aca="false">M250-0</f>
        <v>44.4595174637019</v>
      </c>
      <c r="O250" s="55"/>
      <c r="P250" s="55" t="n">
        <f aca="false">'4.1.1'!H266/1.05</f>
        <v>52.5288108884735</v>
      </c>
      <c r="Q250" s="57" t="n">
        <f aca="false">P250-10.99</f>
        <v>41.5388108884735</v>
      </c>
      <c r="R250" s="55"/>
      <c r="S250" s="84" t="n">
        <f aca="false">H250-K250</f>
        <v>1.00639484234377</v>
      </c>
      <c r="T250" s="85"/>
      <c r="U250" s="85"/>
      <c r="V250" s="85"/>
      <c r="W250" s="85"/>
    </row>
    <row r="251" customFormat="false" ht="14.25" hidden="false" customHeight="true" outlineLevel="0" collapsed="false">
      <c r="A251" s="85" t="n">
        <v>2010</v>
      </c>
      <c r="B251" s="56" t="n">
        <v>40299</v>
      </c>
      <c r="C251" s="85"/>
      <c r="D251" s="88"/>
      <c r="E251" s="89"/>
      <c r="F251" s="88"/>
      <c r="G251" s="55" t="n">
        <f aca="false">'4.1.1'!F267/1.175</f>
        <v>104.471251771545</v>
      </c>
      <c r="H251" s="55" t="n">
        <f aca="false">G251-57.19</f>
        <v>47.2812517715451</v>
      </c>
      <c r="I251" s="55"/>
      <c r="J251" s="55" t="n">
        <f aca="false">'4.1.1'!E267/1.175</f>
        <v>103.131222978723</v>
      </c>
      <c r="K251" s="55" t="n">
        <f aca="false">J251-57.19</f>
        <v>45.9412229787234</v>
      </c>
      <c r="L251" s="55"/>
      <c r="M251" s="55" t="n">
        <f aca="false">'4.1.1'!G267/1.05</f>
        <v>45.1557899279115</v>
      </c>
      <c r="N251" s="57" t="n">
        <f aca="false">M251-0</f>
        <v>45.1557899279115</v>
      </c>
      <c r="O251" s="55"/>
      <c r="P251" s="55" t="n">
        <f aca="false">'4.1.1'!H267/1.05</f>
        <v>53.7418220581192</v>
      </c>
      <c r="Q251" s="57" t="n">
        <f aca="false">P251-10.99</f>
        <v>42.7518220581192</v>
      </c>
      <c r="R251" s="55"/>
      <c r="S251" s="84" t="n">
        <f aca="false">H251-K251</f>
        <v>1.34002879282174</v>
      </c>
      <c r="T251" s="85"/>
      <c r="U251" s="85"/>
      <c r="V251" s="85"/>
      <c r="W251" s="85"/>
    </row>
    <row r="252" customFormat="false" ht="14.25" hidden="false" customHeight="true" outlineLevel="0" collapsed="false">
      <c r="A252" s="85" t="n">
        <v>2010</v>
      </c>
      <c r="B252" s="56" t="n">
        <v>40330</v>
      </c>
      <c r="C252" s="85"/>
      <c r="D252" s="88"/>
      <c r="E252" s="89"/>
      <c r="F252" s="88"/>
      <c r="G252" s="55" t="n">
        <f aca="false">'4.1.1'!F268/1.175</f>
        <v>102.226987967033</v>
      </c>
      <c r="H252" s="55" t="n">
        <f aca="false">G252-57.19</f>
        <v>45.0369879670335</v>
      </c>
      <c r="I252" s="55" t="n">
        <f aca="false">SUM(H250:H252)/3</f>
        <v>46.0315425908039</v>
      </c>
      <c r="J252" s="55" t="n">
        <f aca="false">'4.1.1'!E268/1.175</f>
        <v>100.170958297872</v>
      </c>
      <c r="K252" s="55" t="n">
        <f aca="false">J252-57.19</f>
        <v>42.9809582978723</v>
      </c>
      <c r="L252" s="55" t="n">
        <f aca="false">SUM(K250:K252)/3</f>
        <v>44.5640581560284</v>
      </c>
      <c r="M252" s="55" t="n">
        <f aca="false">'4.1.1'!G268/1.05</f>
        <v>44.5258922225607</v>
      </c>
      <c r="N252" s="57" t="n">
        <f aca="false">M252-0</f>
        <v>44.5258922225607</v>
      </c>
      <c r="O252" s="55" t="n">
        <f aca="false">SUM(N250:N252)/3</f>
        <v>44.7137332047247</v>
      </c>
      <c r="P252" s="55" t="n">
        <f aca="false">'4.1.1'!H268/1.05</f>
        <v>52.6761317698919</v>
      </c>
      <c r="Q252" s="57" t="n">
        <f aca="false">P252-10.99</f>
        <v>41.6861317698919</v>
      </c>
      <c r="R252" s="55" t="n">
        <f aca="false">SUM(Q250:Q252)/3</f>
        <v>41.9922549054949</v>
      </c>
      <c r="S252" s="84" t="n">
        <f aca="false">H252-K252</f>
        <v>2.05602966916113</v>
      </c>
      <c r="T252" s="85"/>
      <c r="U252" s="85"/>
      <c r="V252" s="85"/>
      <c r="W252" s="85"/>
    </row>
    <row r="253" customFormat="false" ht="14.25" hidden="false" customHeight="true" outlineLevel="0" collapsed="false">
      <c r="A253" s="85" t="n">
        <v>2010</v>
      </c>
      <c r="B253" s="56" t="n">
        <v>40360</v>
      </c>
      <c r="C253" s="85"/>
      <c r="D253" s="88"/>
      <c r="E253" s="89"/>
      <c r="F253" s="88"/>
      <c r="G253" s="55" t="n">
        <f aca="false">'4.1.1'!F269/1.175</f>
        <v>101.84000487457</v>
      </c>
      <c r="H253" s="55" t="n">
        <f aca="false">G253-57.19</f>
        <v>44.6500048745701</v>
      </c>
      <c r="I253" s="55"/>
      <c r="J253" s="55" t="n">
        <f aca="false">'4.1.1'!E269/1.175</f>
        <v>99.7649617021277</v>
      </c>
      <c r="K253" s="55" t="n">
        <f aca="false">J253-57.19</f>
        <v>42.5749617021277</v>
      </c>
      <c r="L253" s="55"/>
      <c r="M253" s="55" t="n">
        <f aca="false">'4.1.1'!G269/1.05</f>
        <v>42.3369694892883</v>
      </c>
      <c r="N253" s="57" t="n">
        <f aca="false">M253-0</f>
        <v>42.3369694892883</v>
      </c>
      <c r="O253" s="55"/>
      <c r="P253" s="55" t="n">
        <f aca="false">'4.1.1'!H269/1.05</f>
        <v>50.7843707354251</v>
      </c>
      <c r="Q253" s="57" t="n">
        <f aca="false">P253-10.99</f>
        <v>39.7943707354251</v>
      </c>
      <c r="R253" s="55"/>
      <c r="S253" s="84" t="n">
        <f aca="false">H253-K253</f>
        <v>2.07504317244242</v>
      </c>
      <c r="T253" s="85"/>
      <c r="U253" s="85"/>
      <c r="V253" s="85"/>
      <c r="W253" s="85"/>
    </row>
    <row r="254" customFormat="false" ht="14.25" hidden="false" customHeight="true" outlineLevel="0" collapsed="false">
      <c r="A254" s="85" t="n">
        <v>2010</v>
      </c>
      <c r="B254" s="56" t="n">
        <v>40391</v>
      </c>
      <c r="C254" s="85"/>
      <c r="D254" s="88"/>
      <c r="E254" s="89"/>
      <c r="F254" s="88"/>
      <c r="G254" s="55" t="n">
        <f aca="false">'4.1.1'!F270/1.175</f>
        <v>101.009364590762</v>
      </c>
      <c r="H254" s="55" t="n">
        <f aca="false">G254-57.19</f>
        <v>43.8193645907618</v>
      </c>
      <c r="I254" s="55"/>
      <c r="J254" s="55" t="n">
        <f aca="false">'4.1.1'!E270/1.175</f>
        <v>98.8894936170213</v>
      </c>
      <c r="K254" s="55" t="n">
        <f aca="false">J254-57.19</f>
        <v>41.6994936170213</v>
      </c>
      <c r="L254" s="55"/>
      <c r="M254" s="55" t="n">
        <f aca="false">'4.1.1'!G270/1.05</f>
        <v>42.0804180627475</v>
      </c>
      <c r="N254" s="57" t="n">
        <f aca="false">M254-0</f>
        <v>42.0804180627475</v>
      </c>
      <c r="O254" s="55"/>
      <c r="P254" s="55" t="n">
        <f aca="false">'4.1.1'!H270/1.05</f>
        <v>50.3703213912363</v>
      </c>
      <c r="Q254" s="57" t="n">
        <f aca="false">P254-10.99</f>
        <v>39.3803213912363</v>
      </c>
      <c r="R254" s="55"/>
      <c r="S254" s="84" t="n">
        <f aca="false">H254-K254</f>
        <v>2.11987097374052</v>
      </c>
      <c r="T254" s="85"/>
      <c r="U254" s="85"/>
      <c r="V254" s="85"/>
      <c r="W254" s="85"/>
    </row>
    <row r="255" customFormat="false" ht="14.25" hidden="false" customHeight="true" outlineLevel="0" collapsed="false">
      <c r="A255" s="85" t="n">
        <v>2010</v>
      </c>
      <c r="B255" s="56" t="n">
        <v>40422</v>
      </c>
      <c r="C255" s="85"/>
      <c r="D255" s="88"/>
      <c r="E255" s="89"/>
      <c r="F255" s="88"/>
      <c r="G255" s="55" t="n">
        <f aca="false">'4.1.1'!F271/1.175</f>
        <v>99.7274095270764</v>
      </c>
      <c r="H255" s="55" t="n">
        <f aca="false">G255-57.19</f>
        <v>42.5374095270764</v>
      </c>
      <c r="I255" s="55" t="n">
        <f aca="false">SUM(H253:H255)/3</f>
        <v>43.6689263308028</v>
      </c>
      <c r="J255" s="55" t="n">
        <f aca="false">'4.1.1'!E271/1.175</f>
        <v>97.5443174468085</v>
      </c>
      <c r="K255" s="55" t="n">
        <f aca="false">J255-57.19</f>
        <v>40.3543174468085</v>
      </c>
      <c r="L255" s="55" t="n">
        <f aca="false">SUM(K253:K255)/3</f>
        <v>41.5429242553192</v>
      </c>
      <c r="M255" s="55" t="n">
        <f aca="false">'4.1.1'!G271/1.05</f>
        <v>40.8826924053203</v>
      </c>
      <c r="N255" s="57" t="n">
        <f aca="false">M255-0</f>
        <v>40.8826924053203</v>
      </c>
      <c r="O255" s="55" t="n">
        <f aca="false">SUM(N253:N255)/3</f>
        <v>41.7666933191187</v>
      </c>
      <c r="P255" s="55" t="n">
        <f aca="false">'4.1.1'!H271/1.05</f>
        <v>50.4662145251742</v>
      </c>
      <c r="Q255" s="57" t="n">
        <f aca="false">P255-10.99</f>
        <v>39.4762145251742</v>
      </c>
      <c r="R255" s="55" t="n">
        <f aca="false">SUM(Q253:Q255)/3</f>
        <v>39.5503022172785</v>
      </c>
      <c r="S255" s="84" t="n">
        <f aca="false">H255-K255</f>
        <v>2.18309208026794</v>
      </c>
      <c r="T255" s="85"/>
      <c r="U255" s="85"/>
      <c r="V255" s="85"/>
      <c r="W255" s="85"/>
    </row>
    <row r="256" customFormat="false" ht="14.25" hidden="false" customHeight="true" outlineLevel="0" collapsed="false">
      <c r="A256" s="85" t="n">
        <v>2010</v>
      </c>
      <c r="B256" s="56" t="n">
        <v>40452</v>
      </c>
      <c r="C256" s="85" t="s">
        <v>130</v>
      </c>
      <c r="D256" s="88"/>
      <c r="E256" s="89"/>
      <c r="F256" s="88"/>
      <c r="G256" s="55" t="n">
        <f aca="false">'4.1.1'!F272/1.175</f>
        <v>102.6296112079</v>
      </c>
      <c r="H256" s="55" t="n">
        <f aca="false">G256-58.19</f>
        <v>44.4396112079004</v>
      </c>
      <c r="I256" s="55"/>
      <c r="J256" s="55" t="n">
        <f aca="false">'4.1.1'!E272/1.175</f>
        <v>99.7464731914893</v>
      </c>
      <c r="K256" s="55" t="n">
        <f aca="false">J256-58.19</f>
        <v>41.5564731914893</v>
      </c>
      <c r="L256" s="55"/>
      <c r="M256" s="55" t="n">
        <f aca="false">'4.1.1'!G272/1.05</f>
        <v>43.1447266219921</v>
      </c>
      <c r="N256" s="57" t="n">
        <f aca="false">M256-0</f>
        <v>43.1447266219921</v>
      </c>
      <c r="O256" s="55"/>
      <c r="P256" s="55" t="n">
        <f aca="false">'4.1.1'!H272/1.05</f>
        <v>52.216125693275</v>
      </c>
      <c r="Q256" s="57" t="n">
        <f aca="false">P256-11.18</f>
        <v>41.036125693275</v>
      </c>
      <c r="R256" s="55"/>
      <c r="S256" s="84" t="n">
        <f aca="false">H256-K256</f>
        <v>2.88313801641105</v>
      </c>
      <c r="T256" s="85"/>
      <c r="U256" s="85"/>
      <c r="V256" s="85"/>
      <c r="W256" s="85"/>
    </row>
    <row r="257" customFormat="false" ht="14.25" hidden="false" customHeight="true" outlineLevel="0" collapsed="false">
      <c r="A257" s="85" t="n">
        <v>2010</v>
      </c>
      <c r="B257" s="56" t="n">
        <v>40483</v>
      </c>
      <c r="C257" s="85"/>
      <c r="D257" s="88"/>
      <c r="E257" s="89"/>
      <c r="F257" s="88"/>
      <c r="G257" s="55" t="n">
        <f aca="false">'4.1.1'!F273/1.175</f>
        <v>104.229607597108</v>
      </c>
      <c r="H257" s="55" t="n">
        <f aca="false">G257-58.19</f>
        <v>46.0396075971078</v>
      </c>
      <c r="I257" s="55"/>
      <c r="J257" s="55" t="n">
        <f aca="false">'4.1.1'!E273/1.175</f>
        <v>101.022851914894</v>
      </c>
      <c r="K257" s="55" t="n">
        <f aca="false">J257-58.19</f>
        <v>42.8328519148936</v>
      </c>
      <c r="L257" s="55"/>
      <c r="M257" s="55" t="n">
        <f aca="false">'4.1.1'!G273/1.05</f>
        <v>44.4242258097269</v>
      </c>
      <c r="N257" s="57" t="n">
        <f aca="false">M257-0</f>
        <v>44.4242258097269</v>
      </c>
      <c r="O257" s="55"/>
      <c r="P257" s="55" t="n">
        <f aca="false">'4.1.1'!H273/1.05</f>
        <v>53.1296492556144</v>
      </c>
      <c r="Q257" s="57" t="n">
        <f aca="false">P257-11.18</f>
        <v>41.9496492556144</v>
      </c>
      <c r="R257" s="55"/>
      <c r="S257" s="84" t="n">
        <f aca="false">H257-K257</f>
        <v>3.20675568221415</v>
      </c>
      <c r="T257" s="85"/>
      <c r="U257" s="85"/>
      <c r="V257" s="85"/>
      <c r="W257" s="85"/>
    </row>
    <row r="258" customFormat="false" ht="14.25" hidden="false" customHeight="true" outlineLevel="0" collapsed="false">
      <c r="A258" s="85" t="n">
        <v>2010</v>
      </c>
      <c r="B258" s="56" t="n">
        <v>40513</v>
      </c>
      <c r="C258" s="85"/>
      <c r="D258" s="88"/>
      <c r="E258" s="89"/>
      <c r="F258" s="88"/>
      <c r="G258" s="55" t="n">
        <f aca="false">'4.1.1'!F274/1.175</f>
        <v>107.029555240614</v>
      </c>
      <c r="H258" s="55" t="n">
        <f aca="false">G258-58.19</f>
        <v>48.8395552406142</v>
      </c>
      <c r="I258" s="55" t="n">
        <f aca="false">SUM(H256:H258)/3</f>
        <v>46.4395913485408</v>
      </c>
      <c r="J258" s="55" t="n">
        <f aca="false">'4.1.1'!E274/1.175</f>
        <v>103.495098723404</v>
      </c>
      <c r="K258" s="55" t="n">
        <f aca="false">J258-58.19</f>
        <v>45.3050987234043</v>
      </c>
      <c r="L258" s="55" t="n">
        <f aca="false">SUM(K256:K258)/3</f>
        <v>43.2314746099291</v>
      </c>
      <c r="M258" s="55" t="n">
        <f aca="false">'4.1.1'!G274/1.05</f>
        <v>47.8556668189664</v>
      </c>
      <c r="N258" s="57" t="n">
        <f aca="false">M258-0</f>
        <v>47.8556668189664</v>
      </c>
      <c r="O258" s="55" t="n">
        <f aca="false">SUM(N256:N258)/3</f>
        <v>45.1415397502285</v>
      </c>
      <c r="P258" s="55" t="n">
        <f aca="false">'4.1.1'!H274/1.05</f>
        <v>56.9709661305855</v>
      </c>
      <c r="Q258" s="57" t="n">
        <f aca="false">P258-11.18</f>
        <v>45.7909661305855</v>
      </c>
      <c r="R258" s="55" t="n">
        <f aca="false">SUM(Q256:Q258)/3</f>
        <v>42.925580359825</v>
      </c>
      <c r="S258" s="84" t="n">
        <f aca="false">H258-K258</f>
        <v>3.53445651720992</v>
      </c>
      <c r="T258" s="55" t="n">
        <f aca="false">AVERAGE(G247:G258)</f>
        <v>101.496704249</v>
      </c>
      <c r="U258" s="55" t="n">
        <f aca="false">AVERAGE(H247:H258)</f>
        <v>44.3067042490003</v>
      </c>
      <c r="V258" s="55" t="n">
        <f aca="false">AVERAGE(J247:J258)</f>
        <v>99.491549787234</v>
      </c>
      <c r="W258" s="55" t="n">
        <f aca="false">AVERAGE(K247:K258)</f>
        <v>42.301549787234</v>
      </c>
    </row>
    <row r="259" customFormat="false" ht="14.25" hidden="false" customHeight="true" outlineLevel="0" collapsed="false">
      <c r="A259" s="85" t="n">
        <v>2011</v>
      </c>
      <c r="B259" s="56" t="n">
        <v>40544</v>
      </c>
      <c r="C259" s="85" t="s">
        <v>132</v>
      </c>
      <c r="D259" s="88"/>
      <c r="E259" s="89"/>
      <c r="F259" s="88"/>
      <c r="G259" s="55" t="n">
        <f aca="false">'4.1.1'!F275/1.2</f>
        <v>110.064878348194</v>
      </c>
      <c r="H259" s="55" t="n">
        <f aca="false">G259-58.95</f>
        <v>51.1148783481937</v>
      </c>
      <c r="I259" s="55"/>
      <c r="J259" s="55" t="n">
        <f aca="false">'4.1.1'!E275/1.2</f>
        <v>106.271429916919</v>
      </c>
      <c r="K259" s="55" t="n">
        <f aca="false">J259-58.95</f>
        <v>47.3214299169195</v>
      </c>
      <c r="L259" s="55"/>
      <c r="M259" s="55" t="n">
        <f aca="false">'4.1.1'!G275/1.05</f>
        <v>52.5111565404639</v>
      </c>
      <c r="N259" s="57" t="n">
        <f aca="false">M259-0</f>
        <v>52.5111565404639</v>
      </c>
      <c r="O259" s="55"/>
      <c r="P259" s="55" t="n">
        <f aca="false">'4.1.1'!H275/1.05</f>
        <v>58.9538548289875</v>
      </c>
      <c r="Q259" s="57" t="n">
        <f aca="false">P259-11.33</f>
        <v>47.6238548289875</v>
      </c>
      <c r="R259" s="55"/>
      <c r="S259" s="84" t="n">
        <f aca="false">H259-K259</f>
        <v>3.79344843127417</v>
      </c>
      <c r="T259" s="85"/>
      <c r="U259" s="85"/>
      <c r="V259" s="85"/>
      <c r="W259" s="85"/>
    </row>
    <row r="260" customFormat="false" ht="14.25" hidden="false" customHeight="true" outlineLevel="0" collapsed="false">
      <c r="A260" s="85" t="n">
        <v>2011</v>
      </c>
      <c r="B260" s="56" t="n">
        <v>40575</v>
      </c>
      <c r="C260" s="85"/>
      <c r="D260" s="88"/>
      <c r="E260" s="89"/>
      <c r="F260" s="88"/>
      <c r="G260" s="55" t="n">
        <f aca="false">'4.1.1'!F276/1.2</f>
        <v>111.204761772904</v>
      </c>
      <c r="H260" s="55" t="n">
        <f aca="false">G260-58.95</f>
        <v>52.2547617729043</v>
      </c>
      <c r="I260" s="55"/>
      <c r="J260" s="55" t="n">
        <f aca="false">'4.1.1'!E276/1.2</f>
        <v>106.971737751076</v>
      </c>
      <c r="K260" s="55" t="n">
        <f aca="false">J260-58.95</f>
        <v>48.0217377510757</v>
      </c>
      <c r="L260" s="55"/>
      <c r="M260" s="55" t="n">
        <f aca="false">'4.1.1'!G276/1.05</f>
        <v>52.9502962362023</v>
      </c>
      <c r="N260" s="57" t="n">
        <f aca="false">M260-0</f>
        <v>52.9502962362023</v>
      </c>
      <c r="O260" s="55"/>
      <c r="P260" s="55" t="n">
        <f aca="false">'4.1.1'!H276/1.05</f>
        <v>61.131717824448</v>
      </c>
      <c r="Q260" s="57" t="n">
        <f aca="false">P260-11.33</f>
        <v>49.801717824448</v>
      </c>
      <c r="R260" s="55"/>
      <c r="S260" s="84" t="n">
        <f aca="false">H260-K260</f>
        <v>4.23302402182857</v>
      </c>
      <c r="T260" s="85"/>
      <c r="U260" s="85"/>
      <c r="V260" s="85"/>
      <c r="W260" s="85"/>
    </row>
    <row r="261" customFormat="false" ht="14.25" hidden="false" customHeight="true" outlineLevel="0" collapsed="false">
      <c r="A261" s="85" t="n">
        <v>2011</v>
      </c>
      <c r="B261" s="56" t="n">
        <v>40603</v>
      </c>
      <c r="C261" s="85"/>
      <c r="D261" s="88"/>
      <c r="E261" s="89"/>
      <c r="F261" s="88"/>
      <c r="G261" s="55" t="n">
        <f aca="false">'4.1.1'!F277/1.2</f>
        <v>115.105233888981</v>
      </c>
      <c r="H261" s="55" t="n">
        <f aca="false">G261-58.95</f>
        <v>56.1552338889812</v>
      </c>
      <c r="I261" s="55" t="n">
        <f aca="false">SUM(H259:H261)/3</f>
        <v>53.1749580033597</v>
      </c>
      <c r="J261" s="55" t="n">
        <f aca="false">'4.1.1'!E277/1.2</f>
        <v>109.910321614816</v>
      </c>
      <c r="K261" s="55" t="n">
        <f aca="false">J261-58.95</f>
        <v>50.9603216148157</v>
      </c>
      <c r="L261" s="55" t="n">
        <f aca="false">SUM(K259:K261)/3</f>
        <v>48.767829760937</v>
      </c>
      <c r="M261" s="55" t="n">
        <f aca="false">'4.1.1'!G277/1.05</f>
        <v>54.8542665388303</v>
      </c>
      <c r="N261" s="57" t="n">
        <f aca="false">M261-0</f>
        <v>54.8542665388303</v>
      </c>
      <c r="O261" s="55" t="n">
        <f aca="false">SUM(N259:N261)/3</f>
        <v>53.4385731051655</v>
      </c>
      <c r="P261" s="55" t="n">
        <f aca="false">'4.1.1'!H277/1.05</f>
        <v>63.9105392722517</v>
      </c>
      <c r="Q261" s="57" t="n">
        <f aca="false">P261-11.33</f>
        <v>52.5805392722517</v>
      </c>
      <c r="R261" s="55" t="n">
        <f aca="false">SUM(Q259:Q261)/3</f>
        <v>50.0020373085624</v>
      </c>
      <c r="S261" s="84" t="n">
        <f aca="false">H261-K261</f>
        <v>5.19491227416548</v>
      </c>
      <c r="T261" s="85"/>
      <c r="U261" s="85"/>
      <c r="V261" s="85"/>
      <c r="W261" s="85"/>
    </row>
    <row r="262" customFormat="false" ht="14.25" hidden="false" customHeight="true" outlineLevel="0" collapsed="false">
      <c r="A262" s="85" t="n">
        <v>2011</v>
      </c>
      <c r="B262" s="56" t="n">
        <v>40634</v>
      </c>
      <c r="C262" s="85" t="s">
        <v>130</v>
      </c>
      <c r="D262" s="88"/>
      <c r="E262" s="88"/>
      <c r="F262" s="88"/>
      <c r="G262" s="55" t="n">
        <f aca="false">'4.1.1'!F278/1.2</f>
        <v>117.602317660741</v>
      </c>
      <c r="H262" s="55" t="n">
        <f aca="false">G262-57.95</f>
        <v>59.652317660741</v>
      </c>
      <c r="I262" s="55"/>
      <c r="J262" s="55" t="n">
        <f aca="false">'4.1.1'!E278/1.2</f>
        <v>112.285171415541</v>
      </c>
      <c r="K262" s="55" t="n">
        <f aca="false">J262-57.95</f>
        <v>54.3351714155414</v>
      </c>
      <c r="L262" s="55"/>
      <c r="M262" s="55" t="n">
        <f aca="false">'4.1.1'!G278/1.05</f>
        <v>58.2935565553015</v>
      </c>
      <c r="N262" s="57" t="n">
        <f aca="false">M262-0</f>
        <v>58.2935565553015</v>
      </c>
      <c r="O262" s="55"/>
      <c r="P262" s="55" t="n">
        <f aca="false">'4.1.1'!H278/1.05</f>
        <v>67.9403492576352</v>
      </c>
      <c r="Q262" s="57" t="n">
        <f aca="false">P262-11.14</f>
        <v>56.8003492576352</v>
      </c>
      <c r="R262" s="55"/>
      <c r="S262" s="84" t="n">
        <f aca="false">H262-K262</f>
        <v>5.31714624519954</v>
      </c>
      <c r="T262" s="85"/>
      <c r="U262" s="85"/>
      <c r="V262" s="85"/>
      <c r="W262" s="85"/>
    </row>
    <row r="263" customFormat="false" ht="14.25" hidden="false" customHeight="true" outlineLevel="0" collapsed="false">
      <c r="A263" s="85" t="n">
        <v>2011</v>
      </c>
      <c r="B263" s="56" t="n">
        <v>40664</v>
      </c>
      <c r="C263" s="85"/>
      <c r="D263" s="88"/>
      <c r="E263" s="88"/>
      <c r="F263" s="88"/>
      <c r="G263" s="55" t="n">
        <f aca="false">'4.1.1'!F279/1.2</f>
        <v>117.922728027912</v>
      </c>
      <c r="H263" s="55" t="n">
        <f aca="false">G263-57.95</f>
        <v>59.9727280279116</v>
      </c>
      <c r="I263" s="55"/>
      <c r="J263" s="55" t="n">
        <f aca="false">'4.1.1'!E279/1.2</f>
        <v>113.921720897032</v>
      </c>
      <c r="K263" s="55" t="n">
        <f aca="false">J263-57.95</f>
        <v>55.9717208970317</v>
      </c>
      <c r="L263" s="55"/>
      <c r="M263" s="55" t="n">
        <f aca="false">'4.1.1'!G279/1.05</f>
        <v>57.535875310372</v>
      </c>
      <c r="N263" s="57" t="n">
        <f aca="false">M263-0</f>
        <v>57.535875310372</v>
      </c>
      <c r="O263" s="55"/>
      <c r="P263" s="55" t="n">
        <f aca="false">'4.1.1'!H279/1.05</f>
        <v>65.8408223709516</v>
      </c>
      <c r="Q263" s="57" t="n">
        <f aca="false">P263-11.14</f>
        <v>54.7008223709516</v>
      </c>
      <c r="R263" s="55"/>
      <c r="S263" s="84" t="n">
        <f aca="false">H263-K263</f>
        <v>4.00100713087988</v>
      </c>
      <c r="T263" s="85"/>
      <c r="U263" s="85"/>
      <c r="V263" s="85"/>
      <c r="W263" s="85"/>
    </row>
    <row r="264" customFormat="false" ht="14.25" hidden="false" customHeight="true" outlineLevel="0" collapsed="false">
      <c r="A264" s="85" t="n">
        <v>2011</v>
      </c>
      <c r="B264" s="56" t="n">
        <v>40695</v>
      </c>
      <c r="C264" s="85"/>
      <c r="D264" s="88"/>
      <c r="E264" s="88"/>
      <c r="F264" s="88"/>
      <c r="G264" s="55" t="n">
        <f aca="false">'4.1.1'!F280/1.2</f>
        <v>116.36862574071</v>
      </c>
      <c r="H264" s="55" t="n">
        <f aca="false">G264-57.95</f>
        <v>58.41862574071</v>
      </c>
      <c r="I264" s="55" t="n">
        <f aca="false">SUM(H262:H264)/3</f>
        <v>59.3478904764542</v>
      </c>
      <c r="J264" s="55" t="n">
        <f aca="false">'4.1.1'!E280/1.2</f>
        <v>112.970621914223</v>
      </c>
      <c r="K264" s="55" t="n">
        <f aca="false">J264-57.95</f>
        <v>55.0206219142228</v>
      </c>
      <c r="L264" s="55" t="n">
        <f aca="false">SUM(K262:K264)/3</f>
        <v>55.109171408932</v>
      </c>
      <c r="M264" s="55" t="n">
        <f aca="false">'4.1.1'!G280/1.05</f>
        <v>56.0342257295278</v>
      </c>
      <c r="N264" s="57" t="n">
        <f aca="false">M264-0</f>
        <v>56.0342257295278</v>
      </c>
      <c r="O264" s="55" t="n">
        <f aca="false">SUM(N262:N264)/3</f>
        <v>57.2878858650671</v>
      </c>
      <c r="P264" s="55" t="n">
        <f aca="false">'4.1.1'!H280/1.05</f>
        <v>64.8788060620048</v>
      </c>
      <c r="Q264" s="57" t="n">
        <f aca="false">P264-11.14</f>
        <v>53.7388060620048</v>
      </c>
      <c r="R264" s="55" t="n">
        <f aca="false">SUM(Q262:Q264)/3</f>
        <v>55.0799925635305</v>
      </c>
      <c r="S264" s="84" t="n">
        <f aca="false">H264-K264</f>
        <v>3.39800382648716</v>
      </c>
      <c r="T264" s="85"/>
      <c r="U264" s="85"/>
      <c r="V264" s="85"/>
      <c r="W264" s="85"/>
    </row>
    <row r="265" customFormat="false" ht="14.25" hidden="false" customHeight="true" outlineLevel="0" collapsed="false">
      <c r="A265" s="85" t="n">
        <v>2011</v>
      </c>
      <c r="B265" s="56" t="n">
        <v>40725</v>
      </c>
      <c r="C265" s="85"/>
      <c r="D265" s="56"/>
      <c r="E265" s="88"/>
      <c r="F265" s="88"/>
      <c r="G265" s="55" t="n">
        <f aca="false">'4.1.1'!F281/1.2</f>
        <v>116.184513392775</v>
      </c>
      <c r="H265" s="55" t="n">
        <f aca="false">G265-57.95</f>
        <v>58.2345133927747</v>
      </c>
      <c r="I265" s="55"/>
      <c r="J265" s="55" t="n">
        <f aca="false">'4.1.1'!E281/1.2</f>
        <v>112.588437630123</v>
      </c>
      <c r="K265" s="55" t="n">
        <f aca="false">J265-57.95</f>
        <v>54.6384376301232</v>
      </c>
      <c r="L265" s="55"/>
      <c r="M265" s="55" t="n">
        <f aca="false">'4.1.1'!G281/1.05</f>
        <v>55.843798706886</v>
      </c>
      <c r="N265" s="57" t="n">
        <f aca="false">M265-0</f>
        <v>55.843798706886</v>
      </c>
      <c r="O265" s="55"/>
      <c r="P265" s="55" t="n">
        <f aca="false">'4.1.1'!H281/1.05</f>
        <v>65.3205669666898</v>
      </c>
      <c r="Q265" s="57" t="n">
        <f aca="false">P265-11.14</f>
        <v>54.1805669666898</v>
      </c>
      <c r="R265" s="55"/>
      <c r="S265" s="84" t="n">
        <f aca="false">H265-K265</f>
        <v>3.59607576265158</v>
      </c>
      <c r="T265" s="85"/>
      <c r="U265" s="85"/>
      <c r="V265" s="85"/>
      <c r="W265" s="85"/>
    </row>
    <row r="266" customFormat="false" ht="14.25" hidden="false" customHeight="true" outlineLevel="0" collapsed="false">
      <c r="A266" s="85" t="n">
        <v>2011</v>
      </c>
      <c r="B266" s="56" t="n">
        <v>40756</v>
      </c>
      <c r="C266" s="25"/>
      <c r="D266" s="88"/>
      <c r="E266" s="88"/>
      <c r="F266" s="88"/>
      <c r="G266" s="55" t="n">
        <f aca="false">'4.1.1'!F282/1.2</f>
        <v>116.543660353326</v>
      </c>
      <c r="H266" s="55" t="n">
        <f aca="false">G266-57.95</f>
        <v>58.5936603533256</v>
      </c>
      <c r="I266" s="55"/>
      <c r="J266" s="55" t="n">
        <f aca="false">'4.1.1'!E282/1.2</f>
        <v>112.788105010608</v>
      </c>
      <c r="K266" s="55" t="n">
        <f aca="false">J266-57.95</f>
        <v>54.8381050106081</v>
      </c>
      <c r="L266" s="55"/>
      <c r="M266" s="55" t="n">
        <f aca="false">'4.1.1'!G282/1.05</f>
        <v>54.9699289524793</v>
      </c>
      <c r="N266" s="57" t="n">
        <f aca="false">M266-0</f>
        <v>54.9699289524793</v>
      </c>
      <c r="O266" s="55"/>
      <c r="P266" s="55" t="n">
        <f aca="false">'4.1.1'!H282/1.05</f>
        <v>64.775478882991</v>
      </c>
      <c r="Q266" s="57" t="n">
        <f aca="false">P266-11.14</f>
        <v>53.635478882991</v>
      </c>
      <c r="R266" s="55"/>
      <c r="S266" s="84" t="n">
        <f aca="false">H266-K266</f>
        <v>3.75555534271747</v>
      </c>
      <c r="T266" s="85"/>
      <c r="U266" s="85"/>
      <c r="V266" s="85"/>
      <c r="W266" s="85"/>
    </row>
    <row r="267" customFormat="false" ht="14.25" hidden="false" customHeight="true" outlineLevel="0" collapsed="false">
      <c r="A267" s="85" t="n">
        <v>2011</v>
      </c>
      <c r="B267" s="56" t="n">
        <v>40787</v>
      </c>
      <c r="C267" s="25"/>
      <c r="D267" s="88"/>
      <c r="E267" s="88"/>
      <c r="F267" s="88"/>
      <c r="G267" s="55" t="n">
        <f aca="false">'4.1.1'!F283/1.2</f>
        <v>115.958687305016</v>
      </c>
      <c r="H267" s="55" t="n">
        <f aca="false">G267-57.95</f>
        <v>58.0086873050156</v>
      </c>
      <c r="I267" s="55" t="n">
        <f aca="false">SUM(H265:H267)/3</f>
        <v>58.2789536837053</v>
      </c>
      <c r="J267" s="55" t="n">
        <f aca="false">'4.1.1'!E283/1.2</f>
        <v>112.291601729027</v>
      </c>
      <c r="K267" s="55" t="n">
        <f aca="false">J267-57.95</f>
        <v>54.3416017290267</v>
      </c>
      <c r="L267" s="55" t="n">
        <f aca="false">SUM(K265:K267)/3</f>
        <v>54.6060481232526</v>
      </c>
      <c r="M267" s="55" t="n">
        <f aca="false">'4.1.1'!G283/1.05</f>
        <v>54.3432603190992</v>
      </c>
      <c r="N267" s="57" t="n">
        <f aca="false">M267-0</f>
        <v>54.3432603190992</v>
      </c>
      <c r="O267" s="55" t="n">
        <f aca="false">SUM(N265:N267)/3</f>
        <v>55.0523293261548</v>
      </c>
      <c r="P267" s="55" t="n">
        <f aca="false">'4.1.1'!H283/1.05</f>
        <v>64.728479113778</v>
      </c>
      <c r="Q267" s="57" t="n">
        <f aca="false">P267-11.14</f>
        <v>53.588479113778</v>
      </c>
      <c r="R267" s="55" t="n">
        <f aca="false">SUM(Q265:Q267)/3</f>
        <v>53.8015083211529</v>
      </c>
      <c r="S267" s="84" t="n">
        <f aca="false">H267-K267</f>
        <v>3.66708557598892</v>
      </c>
      <c r="T267" s="85"/>
      <c r="U267" s="85"/>
      <c r="V267" s="85"/>
      <c r="W267" s="85"/>
    </row>
    <row r="268" customFormat="false" ht="14.25" hidden="false" customHeight="true" outlineLevel="0" collapsed="false">
      <c r="A268" s="85" t="n">
        <v>2011</v>
      </c>
      <c r="B268" s="56" t="n">
        <v>40817</v>
      </c>
      <c r="C268" s="25"/>
      <c r="D268" s="88"/>
      <c r="E268" s="88"/>
      <c r="F268" s="88"/>
      <c r="G268" s="55" t="n">
        <f aca="false">'4.1.1'!F284/1.2</f>
        <v>116.139049029924</v>
      </c>
      <c r="H268" s="55" t="n">
        <f aca="false">G268-57.95</f>
        <v>58.1890490299237</v>
      </c>
      <c r="I268" s="55"/>
      <c r="J268" s="55" t="n">
        <f aca="false">'4.1.1'!E284/1.2</f>
        <v>111.637891856523</v>
      </c>
      <c r="K268" s="55" t="n">
        <f aca="false">J268-57.95</f>
        <v>53.6878918565225</v>
      </c>
      <c r="L268" s="55"/>
      <c r="M268" s="55" t="n">
        <f aca="false">'4.1.1'!G284/1.05</f>
        <v>54.7027853578189</v>
      </c>
      <c r="N268" s="57" t="n">
        <f aca="false">M268-0</f>
        <v>54.7027853578189</v>
      </c>
      <c r="O268" s="55"/>
      <c r="P268" s="55" t="n">
        <f aca="false">'4.1.1'!H284/1.05</f>
        <v>65.7288060620048</v>
      </c>
      <c r="Q268" s="57" t="n">
        <f aca="false">P268-11.14</f>
        <v>54.5888060620048</v>
      </c>
      <c r="R268" s="55"/>
      <c r="S268" s="84" t="n">
        <f aca="false">H268-K268</f>
        <v>4.50115717340123</v>
      </c>
      <c r="T268" s="85"/>
      <c r="U268" s="85"/>
      <c r="V268" s="85"/>
      <c r="W268" s="85"/>
    </row>
    <row r="269" customFormat="false" ht="14.25" hidden="false" customHeight="true" outlineLevel="0" collapsed="false">
      <c r="A269" s="85" t="n">
        <v>2011</v>
      </c>
      <c r="B269" s="56" t="n">
        <v>40848</v>
      </c>
      <c r="C269" s="56"/>
      <c r="D269" s="88"/>
      <c r="E269" s="88"/>
      <c r="F269" s="88"/>
      <c r="G269" s="55" t="n">
        <f aca="false">'4.1.1'!F285/1.2</f>
        <v>116.878476952613</v>
      </c>
      <c r="H269" s="55" t="n">
        <f aca="false">G269-57.95</f>
        <v>58.928476952613</v>
      </c>
      <c r="I269" s="55"/>
      <c r="J269" s="55" t="n">
        <f aca="false">'4.1.1'!E285/1.2</f>
        <v>110.97974094343</v>
      </c>
      <c r="K269" s="55" t="n">
        <f aca="false">J269-57.95</f>
        <v>53.0297409434299</v>
      </c>
      <c r="L269" s="55"/>
      <c r="M269" s="55" t="n">
        <f aca="false">'4.1.1'!G285/1.05</f>
        <v>55.1443370946727</v>
      </c>
      <c r="N269" s="57" t="n">
        <f aca="false">M269-0</f>
        <v>55.1443370946727</v>
      </c>
      <c r="O269" s="55"/>
      <c r="P269" s="55" t="n">
        <f aca="false">'4.1.1'!H285/1.05</f>
        <v>67.2307715978152</v>
      </c>
      <c r="Q269" s="57" t="n">
        <f aca="false">P269-11.14</f>
        <v>56.0907715978152</v>
      </c>
      <c r="R269" s="55"/>
      <c r="S269" s="84" t="n">
        <f aca="false">H269-K269</f>
        <v>5.8987360091831</v>
      </c>
      <c r="T269" s="85"/>
      <c r="U269" s="85"/>
      <c r="V269" s="85"/>
      <c r="W269" s="85"/>
    </row>
    <row r="270" customFormat="false" ht="14.25" hidden="false" customHeight="true" outlineLevel="0" collapsed="false">
      <c r="A270" s="85" t="n">
        <v>2011</v>
      </c>
      <c r="B270" s="56" t="n">
        <v>40878</v>
      </c>
      <c r="C270" s="56"/>
      <c r="D270" s="88"/>
      <c r="E270" s="88"/>
      <c r="F270" s="88"/>
      <c r="G270" s="55" t="n">
        <f aca="false">'4.1.1'!F286/1.2</f>
        <v>117.18833831755</v>
      </c>
      <c r="H270" s="55" t="n">
        <f aca="false">G270-57.95</f>
        <v>59.2383383175499</v>
      </c>
      <c r="I270" s="55" t="n">
        <f aca="false">SUM(H268:H270)/3</f>
        <v>58.7852881000289</v>
      </c>
      <c r="J270" s="55" t="n">
        <f aca="false">'4.1.1'!E286/1.2</f>
        <v>110.071121091349</v>
      </c>
      <c r="K270" s="55" t="n">
        <f aca="false">J270-57.95</f>
        <v>52.1211210913489</v>
      </c>
      <c r="L270" s="55" t="n">
        <f aca="false">SUM(K268:K270)/3</f>
        <v>52.9462512971004</v>
      </c>
      <c r="M270" s="55" t="n">
        <f aca="false">'4.1.1'!G286/1.05</f>
        <v>57.7022002605895</v>
      </c>
      <c r="N270" s="57" t="n">
        <f aca="false">M270-0</f>
        <v>57.7022002605895</v>
      </c>
      <c r="O270" s="55" t="n">
        <f aca="false">SUM(N268:N270)/3</f>
        <v>55.8497742376937</v>
      </c>
      <c r="P270" s="55" t="n">
        <f aca="false">'4.1.1'!H286/1.05</f>
        <v>67.8934379567659</v>
      </c>
      <c r="Q270" s="57" t="n">
        <f aca="false">P270-11.14</f>
        <v>56.7534379567659</v>
      </c>
      <c r="R270" s="55" t="n">
        <f aca="false">SUM(Q268:Q270)/3</f>
        <v>55.8110052055286</v>
      </c>
      <c r="S270" s="84" t="n">
        <f aca="false">H270-K270</f>
        <v>7.11721722620102</v>
      </c>
      <c r="T270" s="55" t="n">
        <f aca="false">AVERAGE(G259:G270)</f>
        <v>115.596772565887</v>
      </c>
      <c r="U270" s="55" t="n">
        <f aca="false">AVERAGE(H259:H270)</f>
        <v>57.396772565887</v>
      </c>
      <c r="V270" s="55" t="n">
        <f aca="false">AVERAGE(J259:J270)</f>
        <v>111.057325147556</v>
      </c>
      <c r="W270" s="55" t="n">
        <f aca="false">AVERAGE(K259:K270)</f>
        <v>52.8573251475555</v>
      </c>
    </row>
    <row r="271" customFormat="false" ht="14.25" hidden="false" customHeight="true" outlineLevel="0" collapsed="false">
      <c r="A271" s="25" t="n">
        <v>2012</v>
      </c>
      <c r="B271" s="56" t="n">
        <v>40909</v>
      </c>
      <c r="C271" s="56"/>
      <c r="D271" s="88"/>
      <c r="E271" s="88"/>
      <c r="F271" s="88"/>
      <c r="G271" s="55" t="n">
        <f aca="false">'4.1.1'!F287/1.2</f>
        <v>117.787084417862</v>
      </c>
      <c r="H271" s="55" t="n">
        <f aca="false">G271-57.95</f>
        <v>59.837084417862</v>
      </c>
      <c r="I271" s="55"/>
      <c r="J271" s="55" t="n">
        <f aca="false">'4.1.1'!E287/1.2</f>
        <v>110.739449368469</v>
      </c>
      <c r="K271" s="55" t="n">
        <f aca="false">J271-57.95</f>
        <v>52.7894493684691</v>
      </c>
      <c r="L271" s="55"/>
      <c r="M271" s="55" t="n">
        <f aca="false">'4.1.1'!G287/1.05</f>
        <v>58.1308208569954</v>
      </c>
      <c r="N271" s="57" t="n">
        <f aca="false">M271-0</f>
        <v>58.1308208569954</v>
      </c>
      <c r="O271" s="55"/>
      <c r="P271" s="55" t="n">
        <f aca="false">'4.1.1'!H287/1.05</f>
        <v>67.3758404492653</v>
      </c>
      <c r="Q271" s="57" t="n">
        <f aca="false">P271-11.14</f>
        <v>56.2358404492653</v>
      </c>
      <c r="R271" s="55"/>
      <c r="S271" s="84" t="n">
        <f aca="false">H271-K271</f>
        <v>7.0476350493929</v>
      </c>
      <c r="T271" s="85"/>
      <c r="U271" s="85"/>
      <c r="V271" s="85"/>
      <c r="W271" s="85"/>
    </row>
    <row r="272" customFormat="false" ht="14.25" hidden="false" customHeight="true" outlineLevel="0" collapsed="false">
      <c r="A272" s="25" t="n">
        <v>2012</v>
      </c>
      <c r="B272" s="56" t="n">
        <v>40940</v>
      </c>
      <c r="C272" s="56"/>
      <c r="D272" s="88"/>
      <c r="E272" s="88"/>
      <c r="F272" s="88"/>
      <c r="G272" s="55" t="n">
        <f aca="false">'4.1.1'!F288/1.2</f>
        <v>118.803959683225</v>
      </c>
      <c r="H272" s="55" t="n">
        <f aca="false">G272-57.95</f>
        <v>60.8539596832253</v>
      </c>
      <c r="I272" s="55"/>
      <c r="J272" s="55" t="n">
        <f aca="false">'4.1.1'!E288/1.2</f>
        <v>112.131137846251</v>
      </c>
      <c r="K272" s="55" t="n">
        <f aca="false">J272-57.95</f>
        <v>54.1811378462515</v>
      </c>
      <c r="L272" s="55"/>
      <c r="M272" s="55" t="n">
        <f aca="false">'4.1.1'!G288/1.05</f>
        <v>58.5888339848071</v>
      </c>
      <c r="N272" s="57" t="n">
        <f aca="false">M272-0</f>
        <v>58.5888339848071</v>
      </c>
      <c r="O272" s="55"/>
      <c r="P272" s="55" t="n">
        <f aca="false">'4.1.1'!H288/1.05</f>
        <v>67.9419109162243</v>
      </c>
      <c r="Q272" s="57" t="n">
        <f aca="false">P272-11.14</f>
        <v>56.8019109162243</v>
      </c>
      <c r="R272" s="55"/>
      <c r="S272" s="84" t="n">
        <f aca="false">H272-K272</f>
        <v>6.67282183697382</v>
      </c>
      <c r="T272" s="85"/>
      <c r="U272" s="85"/>
      <c r="V272" s="85"/>
      <c r="W272" s="85"/>
    </row>
    <row r="273" customFormat="false" ht="14.25" hidden="false" customHeight="true" outlineLevel="0" collapsed="false">
      <c r="A273" s="25" t="n">
        <v>2012</v>
      </c>
      <c r="B273" s="56" t="n">
        <v>40969</v>
      </c>
      <c r="C273" s="56"/>
      <c r="D273" s="88"/>
      <c r="E273" s="88"/>
      <c r="F273" s="88"/>
      <c r="G273" s="55" t="n">
        <f aca="false">'4.1.1'!F289/1.2</f>
        <v>120.869801185136</v>
      </c>
      <c r="H273" s="55" t="n">
        <f aca="false">G273-57.95</f>
        <v>62.9198011851359</v>
      </c>
      <c r="I273" s="55" t="n">
        <f aca="false">SUM(H271:H273)/3</f>
        <v>61.2036150954077</v>
      </c>
      <c r="J273" s="55" t="n">
        <f aca="false">'4.1.1'!E289/1.2</f>
        <v>114.726972418853</v>
      </c>
      <c r="K273" s="55" t="n">
        <f aca="false">J273-57.95</f>
        <v>56.7769724188527</v>
      </c>
      <c r="L273" s="55" t="n">
        <f aca="false">SUM(K271:K273)/3</f>
        <v>54.5825198778578</v>
      </c>
      <c r="M273" s="55" t="n">
        <f aca="false">'4.1.1'!G289/1.05</f>
        <v>60.2619506793075</v>
      </c>
      <c r="N273" s="57" t="n">
        <f aca="false">M273-0</f>
        <v>60.2619506793075</v>
      </c>
      <c r="O273" s="55" t="n">
        <f aca="false">SUM(N271:N273)/3</f>
        <v>58.9938685070367</v>
      </c>
      <c r="P273" s="55" t="n">
        <f aca="false">'4.1.1'!H289/1.05</f>
        <v>70.1762111801242</v>
      </c>
      <c r="Q273" s="57" t="n">
        <f aca="false">P273-11.14</f>
        <v>59.0362111801242</v>
      </c>
      <c r="R273" s="55" t="n">
        <f aca="false">SUM(Q271:Q273)/3</f>
        <v>57.3579875152046</v>
      </c>
      <c r="S273" s="84" t="n">
        <f aca="false">H273-K273</f>
        <v>6.1428287662832</v>
      </c>
      <c r="T273" s="85"/>
      <c r="U273" s="85"/>
      <c r="V273" s="85"/>
      <c r="W273" s="85"/>
    </row>
    <row r="274" customFormat="false" ht="14.25" hidden="false" customHeight="true" outlineLevel="0" collapsed="false">
      <c r="A274" s="25" t="n">
        <v>2012</v>
      </c>
      <c r="B274" s="56" t="n">
        <v>41000</v>
      </c>
      <c r="C274" s="56"/>
      <c r="D274" s="88"/>
      <c r="E274" s="88"/>
      <c r="F274" s="88"/>
      <c r="G274" s="55" t="n">
        <f aca="false">'4.1.1'!F290/1.2</f>
        <v>123.152400269517</v>
      </c>
      <c r="H274" s="55" t="n">
        <f aca="false">G274-57.95</f>
        <v>65.2024002695169</v>
      </c>
      <c r="I274" s="55"/>
      <c r="J274" s="55" t="n">
        <f aca="false">'4.1.1'!E290/1.2</f>
        <v>118.115353538358</v>
      </c>
      <c r="K274" s="55" t="n">
        <f aca="false">J274-57.95</f>
        <v>60.1653535383578</v>
      </c>
      <c r="L274" s="55"/>
      <c r="M274" s="55" t="n">
        <f aca="false">'4.1.1'!G290/1.05</f>
        <v>61.3333333333333</v>
      </c>
      <c r="N274" s="57" t="n">
        <f aca="false">M274-0</f>
        <v>61.3333333333333</v>
      </c>
      <c r="O274" s="55"/>
      <c r="P274" s="55" t="n">
        <f aca="false">'4.1.1'!H290/1.05</f>
        <v>71.0380952380952</v>
      </c>
      <c r="Q274" s="57" t="n">
        <f aca="false">P274-11.14</f>
        <v>59.8980952380952</v>
      </c>
      <c r="R274" s="55"/>
      <c r="S274" s="84" t="n">
        <f aca="false">H274-K274</f>
        <v>5.03704673115905</v>
      </c>
      <c r="T274" s="85"/>
      <c r="U274" s="85"/>
      <c r="V274" s="85"/>
      <c r="W274" s="85"/>
    </row>
    <row r="275" customFormat="false" ht="14.25" hidden="false" customHeight="true" outlineLevel="0" collapsed="false">
      <c r="A275" s="25" t="n">
        <v>2012</v>
      </c>
      <c r="B275" s="56" t="n">
        <v>41030</v>
      </c>
      <c r="C275" s="56"/>
      <c r="D275" s="88"/>
      <c r="E275" s="88"/>
      <c r="F275" s="88"/>
      <c r="G275" s="55" t="n">
        <f aca="false">'4.1.1'!F291/1.2</f>
        <v>120.009085049389</v>
      </c>
      <c r="H275" s="55" t="n">
        <f aca="false">G275-57.95</f>
        <v>62.0590850493889</v>
      </c>
      <c r="I275" s="55"/>
      <c r="J275" s="55" t="n">
        <f aca="false">'4.1.1'!E291/1.2</f>
        <v>114.7303375</v>
      </c>
      <c r="K275" s="55" t="n">
        <f aca="false">J275-57.95</f>
        <v>56.7803375</v>
      </c>
      <c r="L275" s="55"/>
      <c r="M275" s="55" t="n">
        <f aca="false">'4.1.1'!G291/1.05</f>
        <v>56.2850373659699</v>
      </c>
      <c r="N275" s="57" t="n">
        <f aca="false">M275-0</f>
        <v>56.2850373659699</v>
      </c>
      <c r="O275" s="55"/>
      <c r="P275" s="55" t="n">
        <f aca="false">'4.1.1'!H291/1.05</f>
        <v>66.5603838841934</v>
      </c>
      <c r="Q275" s="57" t="n">
        <f aca="false">P275-11.14</f>
        <v>55.4203838841934</v>
      </c>
      <c r="R275" s="55"/>
      <c r="S275" s="84" t="n">
        <f aca="false">H275-K275</f>
        <v>5.27874754938893</v>
      </c>
      <c r="T275" s="85"/>
      <c r="U275" s="85"/>
      <c r="V275" s="85"/>
      <c r="W275" s="85"/>
    </row>
    <row r="276" customFormat="false" ht="14.25" hidden="false" customHeight="true" outlineLevel="0" collapsed="false">
      <c r="A276" s="25" t="n">
        <v>2012</v>
      </c>
      <c r="B276" s="56" t="n">
        <v>41061</v>
      </c>
      <c r="C276" s="56"/>
      <c r="D276" s="88"/>
      <c r="E276" s="88"/>
      <c r="F276" s="88"/>
      <c r="G276" s="55" t="n">
        <f aca="false">'4.1.1'!F292/1.2</f>
        <v>114.531243093923</v>
      </c>
      <c r="H276" s="55" t="n">
        <f aca="false">G276-57.95</f>
        <v>56.5812430939227</v>
      </c>
      <c r="I276" s="55" t="n">
        <f aca="false">SUM(H274:H276)/3</f>
        <v>61.2809094709428</v>
      </c>
      <c r="J276" s="55" t="n">
        <f aca="false">'4.1.1'!E292/1.2</f>
        <v>109.695763333333</v>
      </c>
      <c r="K276" s="55" t="n">
        <f aca="false">J276-57.95</f>
        <v>51.7457633333333</v>
      </c>
      <c r="L276" s="55" t="n">
        <f aca="false">SUM(K274:K276)/3</f>
        <v>56.2304847905637</v>
      </c>
      <c r="M276" s="55" t="n">
        <f aca="false">'4.1.1'!G292/1.05</f>
        <v>51.9055417163074</v>
      </c>
      <c r="N276" s="55" t="n">
        <f aca="false">SUM(M274:M276)/3</f>
        <v>56.5079708052036</v>
      </c>
      <c r="O276" s="55" t="n">
        <f aca="false">SUM(N274:N276)/3</f>
        <v>58.0421138348356</v>
      </c>
      <c r="P276" s="55" t="n">
        <f aca="false">'4.1.1'!H292/1.05</f>
        <v>62.4710674393214</v>
      </c>
      <c r="Q276" s="57" t="n">
        <f aca="false">P276-11.14</f>
        <v>51.3310674393214</v>
      </c>
      <c r="R276" s="55" t="n">
        <f aca="false">SUM(Q274:Q276)/3</f>
        <v>55.54984885387</v>
      </c>
      <c r="S276" s="84" t="n">
        <f aca="false">H276-K276</f>
        <v>4.83547976058934</v>
      </c>
      <c r="T276" s="85"/>
      <c r="U276" s="85"/>
      <c r="V276" s="85"/>
      <c r="W276" s="85"/>
    </row>
    <row r="277" customFormat="false" ht="14.25" hidden="false" customHeight="true" outlineLevel="0" collapsed="false">
      <c r="A277" s="25" t="n">
        <v>2012</v>
      </c>
      <c r="B277" s="56" t="n">
        <v>41091</v>
      </c>
      <c r="C277" s="56"/>
      <c r="D277" s="88"/>
      <c r="E277" s="88"/>
      <c r="F277" s="88"/>
      <c r="G277" s="55" t="n">
        <f aca="false">'4.1.1'!F293/1.2</f>
        <v>113.827070149004</v>
      </c>
      <c r="H277" s="55" t="n">
        <f aca="false">G277-57.95</f>
        <v>55.8770701490039</v>
      </c>
      <c r="I277" s="55"/>
      <c r="J277" s="55" t="n">
        <f aca="false">'4.1.1'!E293/1.2</f>
        <v>109.237295</v>
      </c>
      <c r="K277" s="55" t="n">
        <f aca="false">J277-57.95</f>
        <v>51.287295</v>
      </c>
      <c r="L277" s="55"/>
      <c r="M277" s="55" t="n">
        <f aca="false">'4.1.1'!G293/1.05</f>
        <v>51.1814415682877</v>
      </c>
      <c r="N277" s="57" t="n">
        <f aca="false">M277-0</f>
        <v>51.1814415682877</v>
      </c>
      <c r="O277" s="55"/>
      <c r="P277" s="55" t="n">
        <f aca="false">'4.1.1'!H293/1.05</f>
        <v>64.1288974400086</v>
      </c>
      <c r="Q277" s="57" t="n">
        <f aca="false">P277-11.14</f>
        <v>52.9888974400086</v>
      </c>
      <c r="R277" s="55"/>
      <c r="S277" s="84" t="n">
        <f aca="false">H277-K277</f>
        <v>4.58977514900386</v>
      </c>
      <c r="T277" s="85"/>
      <c r="U277" s="85"/>
      <c r="V277" s="85"/>
      <c r="W277" s="85"/>
    </row>
    <row r="278" customFormat="false" ht="14.25" hidden="false" customHeight="true" outlineLevel="0" collapsed="false">
      <c r="A278" s="25" t="n">
        <v>2012</v>
      </c>
      <c r="B278" s="56" t="n">
        <v>41122</v>
      </c>
      <c r="C278" s="56"/>
      <c r="D278" s="88"/>
      <c r="E278" s="88"/>
      <c r="F278" s="88"/>
      <c r="G278" s="55" t="n">
        <f aca="false">'4.1.1'!F294/1.2</f>
        <v>116.171216306714</v>
      </c>
      <c r="H278" s="55" t="n">
        <f aca="false">G278-57.95</f>
        <v>58.2212163067136</v>
      </c>
      <c r="I278" s="55"/>
      <c r="J278" s="55" t="n">
        <f aca="false">'4.1.1'!E294/1.2</f>
        <v>111.778691666667</v>
      </c>
      <c r="K278" s="55" t="n">
        <f aca="false">J278-57.95</f>
        <v>53.8286916666667</v>
      </c>
      <c r="L278" s="55"/>
      <c r="M278" s="55" t="n">
        <f aca="false">'4.1.1'!G294/1.05</f>
        <v>55.1160312646666</v>
      </c>
      <c r="N278" s="57" t="n">
        <f aca="false">M278-0</f>
        <v>55.1160312646666</v>
      </c>
      <c r="O278" s="55"/>
      <c r="P278" s="55" t="n">
        <f aca="false">'4.1.1'!H294/1.05</f>
        <v>67.6788856058697</v>
      </c>
      <c r="Q278" s="57" t="n">
        <f aca="false">P278-11.14</f>
        <v>56.5388856058697</v>
      </c>
      <c r="R278" s="55"/>
      <c r="S278" s="84" t="n">
        <f aca="false">H278-K278</f>
        <v>4.39252464004689</v>
      </c>
      <c r="T278" s="85"/>
      <c r="U278" s="85"/>
      <c r="V278" s="85"/>
      <c r="W278" s="85"/>
    </row>
    <row r="279" customFormat="false" ht="14.25" hidden="false" customHeight="true" outlineLevel="0" collapsed="false">
      <c r="A279" s="25" t="n">
        <v>2012</v>
      </c>
      <c r="B279" s="56" t="n">
        <v>41153</v>
      </c>
      <c r="C279" s="56"/>
      <c r="D279" s="88"/>
      <c r="E279" s="88"/>
      <c r="F279" s="88"/>
      <c r="G279" s="55" t="n">
        <f aca="false">'4.1.1'!F295/1.2</f>
        <v>119.98170684748</v>
      </c>
      <c r="H279" s="55" t="n">
        <f aca="false">G279-57.95</f>
        <v>62.0317068474804</v>
      </c>
      <c r="I279" s="55" t="n">
        <f aca="false">SUM(H277:H279)/3</f>
        <v>58.7099977677326</v>
      </c>
      <c r="J279" s="55" t="n">
        <f aca="false">'4.1.1'!E295/1.2</f>
        <v>115.940703333333</v>
      </c>
      <c r="K279" s="55" t="n">
        <f aca="false">J279-57.95</f>
        <v>57.9907033333333</v>
      </c>
      <c r="L279" s="55" t="n">
        <f aca="false">SUM(K277:K279)/3</f>
        <v>54.3688966666667</v>
      </c>
      <c r="M279" s="55" t="n">
        <f aca="false">'4.1.1'!G295/1.05</f>
        <v>57.7599678688761</v>
      </c>
      <c r="N279" s="57" t="n">
        <f aca="false">M279-0</f>
        <v>57.7599678688761</v>
      </c>
      <c r="O279" s="55" t="n">
        <f aca="false">SUM(N277:N279)/3</f>
        <v>54.6858135672768</v>
      </c>
      <c r="P279" s="55" t="n">
        <f aca="false">'4.1.1'!H295/1.05</f>
        <v>69.4814234560267</v>
      </c>
      <c r="Q279" s="57" t="n">
        <f aca="false">P279-11.14</f>
        <v>58.3414234560267</v>
      </c>
      <c r="R279" s="55" t="n">
        <f aca="false">SUM(Q277:Q279)/3</f>
        <v>55.9564021673017</v>
      </c>
      <c r="S279" s="84" t="n">
        <f aca="false">H279-K279</f>
        <v>4.04100351414702</v>
      </c>
      <c r="T279" s="85"/>
      <c r="U279" s="85"/>
      <c r="V279" s="85"/>
      <c r="W279" s="85"/>
    </row>
    <row r="280" customFormat="false" ht="14.25" hidden="false" customHeight="true" outlineLevel="0" collapsed="false">
      <c r="A280" s="25" t="n">
        <v>2012</v>
      </c>
      <c r="B280" s="56" t="n">
        <v>41183</v>
      </c>
      <c r="C280" s="56"/>
      <c r="D280" s="88"/>
      <c r="E280" s="88"/>
      <c r="F280" s="88"/>
      <c r="G280" s="55" t="n">
        <f aca="false">'4.1.1'!F296/1.2</f>
        <v>119.181967185669</v>
      </c>
      <c r="H280" s="55" t="n">
        <f aca="false">G280-57.95</f>
        <v>61.2319671856689</v>
      </c>
      <c r="I280" s="55"/>
      <c r="J280" s="55" t="n">
        <f aca="false">'4.1.1'!E296/1.2</f>
        <v>115.06363</v>
      </c>
      <c r="K280" s="55" t="n">
        <f aca="false">J280-57.95</f>
        <v>57.11363</v>
      </c>
      <c r="L280" s="55"/>
      <c r="M280" s="55" t="n">
        <f aca="false">'4.1.1'!G296/1.05</f>
        <v>57.5629896386151</v>
      </c>
      <c r="N280" s="57" t="n">
        <f aca="false">M280-0</f>
        <v>57.5629896386151</v>
      </c>
      <c r="O280" s="55"/>
      <c r="P280" s="55" t="n">
        <f aca="false">'4.1.1'!H296/1.05</f>
        <v>69.7022545943181</v>
      </c>
      <c r="Q280" s="57" t="n">
        <f aca="false">P280-11.14</f>
        <v>58.5622545943181</v>
      </c>
      <c r="R280" s="55"/>
      <c r="S280" s="84" t="n">
        <f aca="false">H280-K280</f>
        <v>4.11833718566889</v>
      </c>
      <c r="T280" s="85"/>
      <c r="U280" s="85"/>
      <c r="V280" s="85"/>
      <c r="W280" s="85"/>
    </row>
    <row r="281" customFormat="false" ht="14.25" hidden="false" customHeight="true" outlineLevel="0" collapsed="false">
      <c r="A281" s="25" t="n">
        <v>2012</v>
      </c>
      <c r="B281" s="56" t="n">
        <v>41214</v>
      </c>
      <c r="C281" s="56"/>
      <c r="D281" s="88"/>
      <c r="E281" s="88"/>
      <c r="F281" s="88"/>
      <c r="G281" s="55" t="n">
        <f aca="false">'4.1.1'!F297/1.2</f>
        <v>117.582697974217</v>
      </c>
      <c r="H281" s="55" t="n">
        <f aca="false">G281-57.95</f>
        <v>59.6326979742173</v>
      </c>
      <c r="I281" s="55"/>
      <c r="J281" s="55" t="n">
        <f aca="false">'4.1.1'!E297/1.2</f>
        <v>112.119241666667</v>
      </c>
      <c r="K281" s="55" t="n">
        <f aca="false">J281-57.95</f>
        <v>54.1692416666667</v>
      </c>
      <c r="L281" s="55"/>
      <c r="M281" s="55" t="n">
        <f aca="false">'4.1.1'!G297/1.05</f>
        <v>54.9958608614029</v>
      </c>
      <c r="N281" s="57" t="n">
        <f aca="false">M281-0</f>
        <v>54.9958608614029</v>
      </c>
      <c r="O281" s="55"/>
      <c r="P281" s="55" t="n">
        <f aca="false">'4.1.1'!H297/1.05</f>
        <v>66.6759889140842</v>
      </c>
      <c r="Q281" s="57" t="n">
        <f aca="false">P281-11.14</f>
        <v>55.5359889140842</v>
      </c>
      <c r="R281" s="55"/>
      <c r="S281" s="84" t="n">
        <f aca="false">H281-K281</f>
        <v>5.46345630755063</v>
      </c>
      <c r="T281" s="85"/>
      <c r="U281" s="85"/>
      <c r="V281" s="85"/>
      <c r="W281" s="85"/>
    </row>
    <row r="282" customFormat="false" ht="14.25" hidden="false" customHeight="true" outlineLevel="0" collapsed="false">
      <c r="A282" s="25" t="n">
        <v>2012</v>
      </c>
      <c r="B282" s="56" t="n">
        <v>41244</v>
      </c>
      <c r="C282" s="56"/>
      <c r="D282" s="55"/>
      <c r="E282" s="55"/>
      <c r="F282" s="55"/>
      <c r="G282" s="55" t="n">
        <f aca="false">'4.1.1'!F298/1.2</f>
        <v>116.384365477984</v>
      </c>
      <c r="H282" s="55" t="n">
        <f aca="false">G282-57.95</f>
        <v>58.4343654779843</v>
      </c>
      <c r="I282" s="55" t="n">
        <f aca="false">SUM(H280:H282)/3</f>
        <v>59.7663435459568</v>
      </c>
      <c r="J282" s="55" t="n">
        <f aca="false">'4.1.1'!E298/1.2</f>
        <v>109.626896666667</v>
      </c>
      <c r="K282" s="55" t="n">
        <f aca="false">J282-57.95</f>
        <v>51.6768966666667</v>
      </c>
      <c r="L282" s="55" t="n">
        <f aca="false">SUM(K280:K282)/3</f>
        <v>54.3199227777778</v>
      </c>
      <c r="M282" s="55" t="n">
        <f aca="false">'4.1.1'!G298/1.05</f>
        <v>54.4542835481425</v>
      </c>
      <c r="N282" s="57" t="n">
        <f aca="false">M282-0</f>
        <v>54.4542835481425</v>
      </c>
      <c r="O282" s="55" t="n">
        <f aca="false">SUM(N280:N282)/3</f>
        <v>55.6710446827202</v>
      </c>
      <c r="P282" s="55" t="n">
        <f aca="false">'4.1.1'!H298/1.05</f>
        <v>65.4652435160372</v>
      </c>
      <c r="Q282" s="57" t="n">
        <f aca="false">P282-11.14</f>
        <v>54.3252435160372</v>
      </c>
      <c r="R282" s="55" t="n">
        <f aca="false">SUM(Q280:Q282)/3</f>
        <v>56.1411623414798</v>
      </c>
      <c r="S282" s="84" t="n">
        <f aca="false">H282-K282</f>
        <v>6.75746881131759</v>
      </c>
      <c r="T282" s="55" t="n">
        <f aca="false">AVERAGE(G271:G282)</f>
        <v>118.19021647001</v>
      </c>
      <c r="U282" s="55" t="n">
        <f aca="false">AVERAGE(H271:H282)</f>
        <v>60.24021647001</v>
      </c>
      <c r="V282" s="55" t="n">
        <f aca="false">AVERAGE(J271:J282)</f>
        <v>112.825456028217</v>
      </c>
      <c r="W282" s="55" t="n">
        <f aca="false">AVERAGE(K271:K282)</f>
        <v>54.8754560282165</v>
      </c>
    </row>
    <row r="283" customFormat="false" ht="14.25" hidden="false" customHeight="true" outlineLevel="0" collapsed="false">
      <c r="A283" s="85" t="n">
        <f aca="false">A271+1</f>
        <v>2013</v>
      </c>
      <c r="B283" s="56" t="n">
        <v>41275</v>
      </c>
      <c r="C283" s="56"/>
      <c r="D283" s="55"/>
      <c r="E283" s="55"/>
      <c r="F283" s="55"/>
      <c r="G283" s="55" t="n">
        <f aca="false">'4.1.1'!F299/1.2</f>
        <v>116.215268709191</v>
      </c>
      <c r="H283" s="55" t="n">
        <f aca="false">G283-57.95</f>
        <v>58.2652687091914</v>
      </c>
      <c r="I283" s="55"/>
      <c r="J283" s="55" t="n">
        <f aca="false">'4.1.1'!E299/1.2</f>
        <v>109.757981666667</v>
      </c>
      <c r="K283" s="55" t="n">
        <f aca="false">J283-57.95</f>
        <v>51.8079816666667</v>
      </c>
      <c r="L283" s="55"/>
      <c r="M283" s="55" t="n">
        <f aca="false">'4.1.1'!G299/1.05</f>
        <v>55.0976100220225</v>
      </c>
      <c r="N283" s="57" t="n">
        <f aca="false">M283-0</f>
        <v>55.0976100220225</v>
      </c>
      <c r="O283" s="55"/>
      <c r="P283" s="55" t="n">
        <f aca="false">'4.1.1'!H299/1.05</f>
        <v>65.7011597456042</v>
      </c>
      <c r="Q283" s="57" t="n">
        <f aca="false">P283-11.14</f>
        <v>54.5611597456042</v>
      </c>
      <c r="R283" s="55"/>
      <c r="S283" s="84" t="n">
        <f aca="false">H283-K283</f>
        <v>6.45728704252473</v>
      </c>
      <c r="T283" s="85"/>
      <c r="U283" s="85"/>
      <c r="V283" s="85"/>
      <c r="W283" s="85"/>
    </row>
    <row r="284" customFormat="false" ht="14.25" hidden="false" customHeight="true" outlineLevel="0" collapsed="false">
      <c r="A284" s="85" t="n">
        <f aca="false">A272+1</f>
        <v>2013</v>
      </c>
      <c r="B284" s="56" t="n">
        <v>41306</v>
      </c>
      <c r="C284" s="56"/>
      <c r="D284" s="55"/>
      <c r="E284" s="55"/>
      <c r="F284" s="55"/>
      <c r="G284" s="55" t="n">
        <f aca="false">'4.1.1'!F300/1.2</f>
        <v>119.920012556504</v>
      </c>
      <c r="H284" s="55" t="n">
        <f aca="false">G284-57.95</f>
        <v>61.9700125565043</v>
      </c>
      <c r="I284" s="55"/>
      <c r="J284" s="55" t="n">
        <f aca="false">'4.1.1'!E300/1.2</f>
        <v>113.638759166667</v>
      </c>
      <c r="K284" s="55" t="n">
        <f aca="false">J284-57.95</f>
        <v>55.6887591666667</v>
      </c>
      <c r="L284" s="55"/>
      <c r="M284" s="55" t="n">
        <f aca="false">'4.1.1'!G300/1.05</f>
        <v>61.5168634246724</v>
      </c>
      <c r="N284" s="57" t="n">
        <f aca="false">M284-0</f>
        <v>61.5168634246724</v>
      </c>
      <c r="O284" s="55"/>
      <c r="P284" s="55" t="n">
        <f aca="false">'4.1.1'!H300/1.05</f>
        <v>70.9946952518381</v>
      </c>
      <c r="Q284" s="57" t="n">
        <f aca="false">P284-11.14</f>
        <v>59.8546952518381</v>
      </c>
      <c r="R284" s="55"/>
      <c r="S284" s="84" t="n">
        <f aca="false">H284-K284</f>
        <v>6.2812533898376</v>
      </c>
      <c r="T284" s="85"/>
      <c r="U284" s="85"/>
      <c r="V284" s="85"/>
      <c r="W284" s="85"/>
    </row>
    <row r="285" customFormat="false" ht="14.25" hidden="false" customHeight="true" outlineLevel="0" collapsed="false">
      <c r="A285" s="85" t="n">
        <f aca="false">A273+1</f>
        <v>2013</v>
      </c>
      <c r="B285" s="56" t="n">
        <v>41334</v>
      </c>
      <c r="C285" s="56"/>
      <c r="D285" s="55"/>
      <c r="E285" s="55"/>
      <c r="F285" s="55"/>
      <c r="G285" s="55" t="n">
        <f aca="false">'4.1.1'!F301/1.2</f>
        <v>120.507926502595</v>
      </c>
      <c r="H285" s="55" t="n">
        <f aca="false">G285-57.95</f>
        <v>62.557926502595</v>
      </c>
      <c r="I285" s="55" t="n">
        <f aca="false">SUM(H283:H285)/3</f>
        <v>60.9310692560969</v>
      </c>
      <c r="J285" s="55" t="n">
        <f aca="false">'4.1.1'!E301/1.2</f>
        <v>114.3748875</v>
      </c>
      <c r="K285" s="55" t="n">
        <f aca="false">J285-57.95</f>
        <v>56.4248875</v>
      </c>
      <c r="L285" s="55" t="n">
        <f aca="false">SUM(K283:K285)/3</f>
        <v>54.6405427777778</v>
      </c>
      <c r="M285" s="55" t="n">
        <f aca="false">'4.1.1'!G301/1.05</f>
        <v>59.7385429076862</v>
      </c>
      <c r="N285" s="57" t="n">
        <f aca="false">M285-0</f>
        <v>59.7385429076862</v>
      </c>
      <c r="O285" s="55" t="n">
        <f aca="false">SUM(N283:N285)/3</f>
        <v>58.7843387847937</v>
      </c>
      <c r="P285" s="55" t="n">
        <f aca="false">'4.1.1'!H301/1.05</f>
        <v>69.2127472762393</v>
      </c>
      <c r="Q285" s="57" t="n">
        <f aca="false">P285-11.14</f>
        <v>58.0727472762393</v>
      </c>
      <c r="R285" s="55" t="n">
        <f aca="false">SUM(Q283:Q285)/3</f>
        <v>57.4962007578939</v>
      </c>
      <c r="S285" s="84" t="n">
        <f aca="false">H285-K285</f>
        <v>6.13303900259503</v>
      </c>
      <c r="T285" s="85"/>
      <c r="U285" s="85"/>
      <c r="V285" s="85"/>
      <c r="W285" s="85"/>
    </row>
    <row r="286" customFormat="false" ht="14.25" hidden="false" customHeight="true" outlineLevel="0" collapsed="false">
      <c r="A286" s="85" t="n">
        <f aca="false">A274+1</f>
        <v>2013</v>
      </c>
      <c r="B286" s="56" t="n">
        <v>41365</v>
      </c>
      <c r="C286" s="56"/>
      <c r="D286" s="55"/>
      <c r="E286" s="55"/>
      <c r="F286" s="55"/>
      <c r="G286" s="55" t="n">
        <f aca="false">'4.1.1'!F302/1.2</f>
        <v>117.727697137117</v>
      </c>
      <c r="H286" s="55" t="n">
        <f aca="false">G286-57.95</f>
        <v>59.7776971371171</v>
      </c>
      <c r="I286" s="55"/>
      <c r="J286" s="55" t="n">
        <f aca="false">'4.1.1'!E302/1.2</f>
        <v>114.0050525</v>
      </c>
      <c r="K286" s="55" t="n">
        <f aca="false">J286-57.95</f>
        <v>56.0550525</v>
      </c>
      <c r="L286" s="55"/>
      <c r="M286" s="55" t="n">
        <f aca="false">'4.1.1'!G302/1.05</f>
        <v>55.0077295209213</v>
      </c>
      <c r="N286" s="57" t="n">
        <f aca="false">M286-0</f>
        <v>55.0077295209213</v>
      </c>
      <c r="O286" s="55"/>
      <c r="P286" s="55" t="n">
        <f aca="false">'4.1.1'!H302/1.05</f>
        <v>66.4710292646801</v>
      </c>
      <c r="Q286" s="57" t="n">
        <f aca="false">P286-11.14</f>
        <v>55.3310292646801</v>
      </c>
      <c r="R286" s="55"/>
      <c r="S286" s="84" t="n">
        <f aca="false">H286-K286</f>
        <v>3.72264463711704</v>
      </c>
      <c r="T286" s="85"/>
      <c r="U286" s="85"/>
      <c r="V286" s="85"/>
      <c r="W286" s="85"/>
    </row>
    <row r="287" customFormat="false" ht="14.25" hidden="false" customHeight="true" outlineLevel="0" collapsed="false">
      <c r="A287" s="85" t="n">
        <f aca="false">A275+1</f>
        <v>2013</v>
      </c>
      <c r="B287" s="56" t="n">
        <v>41395</v>
      </c>
      <c r="C287" s="56"/>
      <c r="D287" s="55"/>
      <c r="E287" s="55"/>
      <c r="F287" s="55"/>
      <c r="G287" s="55" t="n">
        <f aca="false">'4.1.1'!F303/1.2</f>
        <v>114.959270885652</v>
      </c>
      <c r="H287" s="55" t="n">
        <f aca="false">G287-57.95</f>
        <v>57.0092708856521</v>
      </c>
      <c r="I287" s="55"/>
      <c r="J287" s="55" t="n">
        <f aca="false">'4.1.1'!E303/1.2</f>
        <v>110.6227325</v>
      </c>
      <c r="K287" s="55" t="n">
        <f aca="false">J287-57.95</f>
        <v>52.6727325</v>
      </c>
      <c r="L287" s="55"/>
      <c r="M287" s="55" t="n">
        <f aca="false">'4.1.1'!G303/1.05</f>
        <v>52.754393660421</v>
      </c>
      <c r="N287" s="57" t="n">
        <f aca="false">M287-0</f>
        <v>52.754393660421</v>
      </c>
      <c r="O287" s="55"/>
      <c r="P287" s="55" t="n">
        <f aca="false">'4.1.1'!H303/1.05</f>
        <v>64.7209632225505</v>
      </c>
      <c r="Q287" s="57" t="n">
        <f aca="false">P287-11.14</f>
        <v>53.5809632225505</v>
      </c>
      <c r="R287" s="55"/>
      <c r="S287" s="84" t="n">
        <f aca="false">H287-K287</f>
        <v>4.33653838565208</v>
      </c>
      <c r="T287" s="85"/>
      <c r="U287" s="85"/>
      <c r="V287" s="85"/>
      <c r="W287" s="85"/>
    </row>
    <row r="288" customFormat="false" ht="14.25" hidden="false" customHeight="true" outlineLevel="0" collapsed="false">
      <c r="A288" s="85" t="n">
        <f aca="false">A276+1</f>
        <v>2013</v>
      </c>
      <c r="B288" s="56" t="n">
        <v>41426</v>
      </c>
      <c r="C288" s="56"/>
      <c r="D288" s="55"/>
      <c r="E288" s="55"/>
      <c r="F288" s="55"/>
      <c r="G288" s="55" t="n">
        <f aca="false">'4.1.1'!F304/1.2</f>
        <v>116.049947262682</v>
      </c>
      <c r="H288" s="55" t="n">
        <f aca="false">G288-57.95</f>
        <v>58.0999472626821</v>
      </c>
      <c r="I288" s="55" t="n">
        <f aca="false">SUM(H286:H288)/3</f>
        <v>58.2956384284838</v>
      </c>
      <c r="J288" s="55" t="n">
        <f aca="false">'4.1.1'!E304/1.2</f>
        <v>111.717826666667</v>
      </c>
      <c r="K288" s="55" t="n">
        <f aca="false">J288-57.95</f>
        <v>53.7678266666667</v>
      </c>
      <c r="L288" s="55" t="n">
        <f aca="false">SUM(K286:K288)/3</f>
        <v>54.1652038888889</v>
      </c>
      <c r="M288" s="55" t="n">
        <f aca="false">'4.1.1'!G304/1.05</f>
        <v>52.3705494783205</v>
      </c>
      <c r="N288" s="57" t="n">
        <f aca="false">M288-0</f>
        <v>52.3705494783205</v>
      </c>
      <c r="O288" s="55" t="n">
        <f aca="false">SUM(N286:N288)/3</f>
        <v>53.3775575532209</v>
      </c>
      <c r="P288" s="55" t="n">
        <f aca="false">'4.1.1'!H304/1.05</f>
        <v>64.9801690373119</v>
      </c>
      <c r="Q288" s="57" t="n">
        <f aca="false">P288-11.14</f>
        <v>53.8401690373119</v>
      </c>
      <c r="R288" s="55" t="n">
        <f aca="false">SUM(Q286:Q288)/3</f>
        <v>54.2507205081808</v>
      </c>
      <c r="S288" s="84" t="n">
        <f aca="false">H288-K288</f>
        <v>4.33212059601543</v>
      </c>
      <c r="T288" s="85"/>
      <c r="U288" s="85"/>
      <c r="V288" s="85"/>
      <c r="W288" s="85"/>
    </row>
    <row r="289" customFormat="false" ht="14.25" hidden="false" customHeight="true" outlineLevel="0" collapsed="false">
      <c r="A289" s="85" t="n">
        <f aca="false">A277+1</f>
        <v>2013</v>
      </c>
      <c r="B289" s="56" t="n">
        <v>41456</v>
      </c>
      <c r="C289" s="56"/>
      <c r="D289" s="55"/>
      <c r="E289" s="55"/>
      <c r="F289" s="55"/>
      <c r="G289" s="55" t="n">
        <f aca="false">'4.1.1'!F305/1.2</f>
        <v>116.3521125</v>
      </c>
      <c r="H289" s="55" t="n">
        <f aca="false">G289-57.95</f>
        <v>58.4021125</v>
      </c>
      <c r="I289" s="55"/>
      <c r="J289" s="55" t="n">
        <f aca="false">'4.1.1'!E305/1.2</f>
        <v>112.284759166667</v>
      </c>
      <c r="K289" s="55" t="n">
        <f aca="false">J289-57.95</f>
        <v>54.3347591666667</v>
      </c>
      <c r="L289" s="55"/>
      <c r="M289" s="55" t="n">
        <f aca="false">'4.1.1'!G305/1.05</f>
        <v>54.2265988894107</v>
      </c>
      <c r="N289" s="57" t="n">
        <f aca="false">M289-0</f>
        <v>54.2265988894107</v>
      </c>
      <c r="O289" s="55"/>
      <c r="P289" s="55" t="n">
        <f aca="false">'4.1.1'!H305/1.05</f>
        <v>67.5842280009805</v>
      </c>
      <c r="Q289" s="57" t="n">
        <f aca="false">P289-11.14</f>
        <v>56.4442280009805</v>
      </c>
      <c r="R289" s="55"/>
      <c r="S289" s="84" t="n">
        <f aca="false">H289-K289</f>
        <v>4.06735333333333</v>
      </c>
      <c r="T289" s="85"/>
      <c r="U289" s="85"/>
      <c r="V289" s="85"/>
      <c r="W289" s="85"/>
    </row>
    <row r="290" customFormat="false" ht="14.25" hidden="false" customHeight="true" outlineLevel="0" collapsed="false">
      <c r="A290" s="85" t="n">
        <f aca="false">A278+1</f>
        <v>2013</v>
      </c>
      <c r="B290" s="56" t="n">
        <v>41487</v>
      </c>
      <c r="C290" s="56"/>
      <c r="D290" s="55"/>
      <c r="E290" s="55"/>
      <c r="F290" s="55"/>
      <c r="G290" s="55" t="n">
        <f aca="false">'4.1.1'!F306/1.2</f>
        <v>118.021268333333</v>
      </c>
      <c r="H290" s="55" t="n">
        <f aca="false">G290-57.95</f>
        <v>60.0712683333334</v>
      </c>
      <c r="I290" s="55"/>
      <c r="J290" s="55" t="n">
        <f aca="false">'4.1.1'!E306/1.2</f>
        <v>114.0569675</v>
      </c>
      <c r="K290" s="55" t="n">
        <f aca="false">J290-57.95</f>
        <v>56.1069675</v>
      </c>
      <c r="L290" s="55"/>
      <c r="M290" s="55" t="n">
        <f aca="false">'4.1.1'!G306/1.05</f>
        <v>52.6888158318829</v>
      </c>
      <c r="N290" s="57" t="n">
        <f aca="false">M290-0</f>
        <v>52.6888158318829</v>
      </c>
      <c r="O290" s="55"/>
      <c r="P290" s="55" t="n">
        <f aca="false">'4.1.1'!H306/1.05</f>
        <v>66.7415988888146</v>
      </c>
      <c r="Q290" s="57" t="n">
        <f aca="false">P290-11.14</f>
        <v>55.6015988888146</v>
      </c>
      <c r="R290" s="55"/>
      <c r="S290" s="84" t="n">
        <f aca="false">H290-K290</f>
        <v>3.96430083333335</v>
      </c>
      <c r="T290" s="85"/>
      <c r="U290" s="85"/>
      <c r="V290" s="85"/>
      <c r="W290" s="85"/>
    </row>
    <row r="291" customFormat="false" ht="14.25" hidden="false" customHeight="true" outlineLevel="0" collapsed="false">
      <c r="A291" s="85" t="n">
        <f aca="false">A279+1</f>
        <v>2013</v>
      </c>
      <c r="B291" s="56" t="n">
        <v>41518</v>
      </c>
      <c r="C291" s="56"/>
      <c r="D291" s="55"/>
      <c r="E291" s="55"/>
      <c r="F291" s="55"/>
      <c r="G291" s="55" t="n">
        <f aca="false">'4.1.1'!F307/1.2</f>
        <v>118.610023333333</v>
      </c>
      <c r="H291" s="55" t="n">
        <f aca="false">G291-57.95</f>
        <v>60.6600233333333</v>
      </c>
      <c r="I291" s="55" t="n">
        <f aca="false">SUM(H289:H291)/3</f>
        <v>59.7111347222222</v>
      </c>
      <c r="J291" s="55" t="n">
        <f aca="false">'4.1.1'!E307/1.2</f>
        <v>114.325935833333</v>
      </c>
      <c r="K291" s="55" t="n">
        <f aca="false">J291-57.95</f>
        <v>56.3759358333333</v>
      </c>
      <c r="L291" s="55" t="n">
        <f aca="false">SUM(K289:K291)/3</f>
        <v>55.6058875</v>
      </c>
      <c r="M291" s="55" t="n">
        <f aca="false">'4.1.1'!G307/1.05</f>
        <v>53.9394167104088</v>
      </c>
      <c r="N291" s="57" t="n">
        <f aca="false">M291-0</f>
        <v>53.9394167104088</v>
      </c>
      <c r="O291" s="55" t="n">
        <f aca="false">SUM(N289:N291)/3</f>
        <v>53.6182771439008</v>
      </c>
      <c r="P291" s="55" t="n">
        <f aca="false">'4.1.1'!H307/1.05</f>
        <v>67.8568792274898</v>
      </c>
      <c r="Q291" s="57" t="n">
        <f aca="false">P291-11.14</f>
        <v>56.7168792274898</v>
      </c>
      <c r="R291" s="55" t="n">
        <f aca="false">SUM(Q289:Q291)/3</f>
        <v>56.2542353724283</v>
      </c>
      <c r="S291" s="84" t="n">
        <f aca="false">H291-K291</f>
        <v>4.2840875</v>
      </c>
      <c r="T291" s="85"/>
      <c r="U291" s="85"/>
      <c r="V291" s="85"/>
      <c r="W291" s="85"/>
    </row>
    <row r="292" customFormat="false" ht="14.25" hidden="false" customHeight="true" outlineLevel="0" collapsed="false">
      <c r="A292" s="85" t="n">
        <f aca="false">A280+1</f>
        <v>2013</v>
      </c>
      <c r="B292" s="56" t="n">
        <v>41548</v>
      </c>
      <c r="C292" s="56"/>
      <c r="D292" s="55"/>
      <c r="E292" s="55"/>
      <c r="F292" s="55"/>
      <c r="G292" s="55" t="n">
        <f aca="false">'4.1.1'!F308/1.2</f>
        <v>115.636620833333</v>
      </c>
      <c r="H292" s="55" t="n">
        <f aca="false">G292-57.95</f>
        <v>57.6866208333333</v>
      </c>
      <c r="I292" s="55"/>
      <c r="J292" s="55" t="n">
        <f aca="false">'4.1.1'!E308/1.2</f>
        <v>109.567155</v>
      </c>
      <c r="K292" s="55" t="n">
        <f aca="false">J292-57.95</f>
        <v>51.617155</v>
      </c>
      <c r="L292" s="55"/>
      <c r="M292" s="55" t="n">
        <f aca="false">'4.1.1'!G308/1.05</f>
        <v>51.845629932499</v>
      </c>
      <c r="N292" s="57" t="n">
        <f aca="false">M292-0</f>
        <v>51.845629932499</v>
      </c>
      <c r="O292" s="55"/>
      <c r="P292" s="55" t="n">
        <f aca="false">'4.1.1'!H308/1.05</f>
        <v>64.6605564845362</v>
      </c>
      <c r="Q292" s="57" t="n">
        <f aca="false">P292-11.14</f>
        <v>53.5205564845362</v>
      </c>
      <c r="R292" s="55"/>
      <c r="S292" s="84" t="n">
        <f aca="false">H292-K292</f>
        <v>6.06946583333333</v>
      </c>
      <c r="T292" s="85"/>
      <c r="U292" s="85"/>
      <c r="V292" s="85"/>
      <c r="W292" s="85"/>
    </row>
    <row r="293" customFormat="false" ht="14.25" hidden="false" customHeight="true" outlineLevel="0" collapsed="false">
      <c r="A293" s="85" t="n">
        <f aca="false">A281+1</f>
        <v>2013</v>
      </c>
      <c r="B293" s="56" t="n">
        <v>41579</v>
      </c>
      <c r="C293" s="56"/>
      <c r="D293" s="55"/>
      <c r="E293" s="55"/>
      <c r="F293" s="55"/>
      <c r="G293" s="55" t="n">
        <f aca="false">'4.1.1'!F309/1.2</f>
        <v>114.413384166667</v>
      </c>
      <c r="H293" s="55" t="n">
        <f aca="false">G293-57.95</f>
        <v>56.4633841666667</v>
      </c>
      <c r="I293" s="55"/>
      <c r="J293" s="55" t="n">
        <f aca="false">'4.1.1'!E309/1.2</f>
        <v>108.108474166667</v>
      </c>
      <c r="K293" s="55" t="n">
        <f aca="false">J293-57.95</f>
        <v>50.1584741666667</v>
      </c>
      <c r="L293" s="55"/>
      <c r="M293" s="55" t="n">
        <f aca="false">'4.1.1'!G309/1.05</f>
        <v>51.7723807682036</v>
      </c>
      <c r="N293" s="57" t="n">
        <f aca="false">M293-0</f>
        <v>51.7723807682036</v>
      </c>
      <c r="O293" s="55"/>
      <c r="P293" s="55" t="n">
        <f aca="false">'4.1.1'!H309/1.05</f>
        <v>64.1110709389735</v>
      </c>
      <c r="Q293" s="57" t="n">
        <f aca="false">P293-11.14</f>
        <v>52.9710709389735</v>
      </c>
      <c r="R293" s="55"/>
      <c r="S293" s="84" t="n">
        <f aca="false">H293-K293</f>
        <v>6.30490999999999</v>
      </c>
      <c r="T293" s="85"/>
      <c r="U293" s="85"/>
      <c r="V293" s="85"/>
      <c r="W293" s="85"/>
    </row>
    <row r="294" customFormat="false" ht="14.25" hidden="false" customHeight="true" outlineLevel="0" collapsed="false">
      <c r="A294" s="85" t="n">
        <f aca="false">A282+1</f>
        <v>2013</v>
      </c>
      <c r="B294" s="56" t="n">
        <v>41609</v>
      </c>
      <c r="C294" s="56"/>
      <c r="D294" s="55"/>
      <c r="E294" s="55"/>
      <c r="F294" s="55"/>
      <c r="G294" s="55" t="n">
        <f aca="false">'4.1.1'!F310/1.2</f>
        <v>115.638359166667</v>
      </c>
      <c r="H294" s="55" t="n">
        <f aca="false">G294-57.95</f>
        <v>57.6883591666667</v>
      </c>
      <c r="I294" s="55" t="n">
        <f aca="false">SUM(H292:H294)/3</f>
        <v>57.2794547222222</v>
      </c>
      <c r="J294" s="55" t="n">
        <f aca="false">'4.1.1'!E310/1.2</f>
        <v>108.992248333333</v>
      </c>
      <c r="K294" s="55" t="n">
        <f aca="false">J294-57.95</f>
        <v>51.0422483333333</v>
      </c>
      <c r="L294" s="55" t="n">
        <f aca="false">SUM(K292:K294)/3</f>
        <v>50.9392925</v>
      </c>
      <c r="M294" s="55" t="n">
        <f aca="false">'4.1.1'!G310/1.05</f>
        <v>52.1163982282141</v>
      </c>
      <c r="N294" s="57" t="n">
        <f aca="false">M294-0</f>
        <v>52.1163982282141</v>
      </c>
      <c r="O294" s="55" t="n">
        <f aca="false">SUM(N292:N294)/3</f>
        <v>51.9114696429722</v>
      </c>
      <c r="P294" s="55" t="n">
        <f aca="false">'4.1.1'!H310/1.05</f>
        <v>64.4874150735903</v>
      </c>
      <c r="Q294" s="57" t="n">
        <f aca="false">P294-11.14</f>
        <v>53.3474150735903</v>
      </c>
      <c r="R294" s="55" t="n">
        <f aca="false">SUM(Q292:Q294)/3</f>
        <v>53.2796808323667</v>
      </c>
      <c r="S294" s="84" t="n">
        <f aca="false">H294-K294</f>
        <v>6.64611083333334</v>
      </c>
      <c r="T294" s="55" t="n">
        <f aca="false">AVERAGE(G283:G294)</f>
        <v>117.004324282256</v>
      </c>
      <c r="U294" s="55" t="n">
        <f aca="false">AVERAGE(H283:H294)</f>
        <v>59.0543242822563</v>
      </c>
      <c r="V294" s="55" t="n">
        <f aca="false">AVERAGE(J283:J294)</f>
        <v>111.787731666667</v>
      </c>
      <c r="W294" s="55" t="n">
        <f aca="false">AVERAGE(K283:K294)</f>
        <v>53.8377316666667</v>
      </c>
    </row>
    <row r="295" customFormat="false" ht="14.25" hidden="false" customHeight="true" outlineLevel="0" collapsed="false">
      <c r="A295" s="85" t="n">
        <f aca="false">A283+1</f>
        <v>2014</v>
      </c>
      <c r="B295" s="56" t="n">
        <v>41640</v>
      </c>
      <c r="C295" s="56"/>
      <c r="D295" s="55"/>
      <c r="E295" s="55"/>
      <c r="F295" s="55"/>
      <c r="G295" s="55" t="n">
        <f aca="false">'4.1.1'!F311/1.2</f>
        <v>115.088905833333</v>
      </c>
      <c r="H295" s="55" t="n">
        <f aca="false">G295-57.95</f>
        <v>57.1389058333333</v>
      </c>
      <c r="I295" s="55"/>
      <c r="J295" s="55" t="n">
        <f aca="false">'4.1.1'!E311/1.2</f>
        <v>108.4698375</v>
      </c>
      <c r="K295" s="55" t="n">
        <f aca="false">J295-57.95</f>
        <v>50.5198375</v>
      </c>
      <c r="L295" s="55"/>
      <c r="M295" s="55" t="n">
        <f aca="false">'4.1.1'!G311/1.05</f>
        <v>53.0173218775037</v>
      </c>
      <c r="N295" s="57" t="n">
        <f aca="false">M295-0</f>
        <v>53.0173218775037</v>
      </c>
      <c r="O295" s="55"/>
      <c r="P295" s="55" t="n">
        <f aca="false">'4.1.1'!H311/1.05</f>
        <v>63.5006688660912</v>
      </c>
      <c r="Q295" s="57" t="n">
        <f aca="false">P295-11.14</f>
        <v>52.3606688660912</v>
      </c>
      <c r="R295" s="55"/>
      <c r="S295" s="84" t="n">
        <f aca="false">H295-K295</f>
        <v>6.61906833333333</v>
      </c>
      <c r="T295" s="85"/>
      <c r="U295" s="85"/>
      <c r="V295" s="85"/>
      <c r="W295" s="85"/>
    </row>
    <row r="296" customFormat="false" ht="14.25" hidden="false" customHeight="true" outlineLevel="0" collapsed="false">
      <c r="A296" s="85" t="n">
        <f aca="false">A284+1</f>
        <v>2014</v>
      </c>
      <c r="B296" s="56" t="n">
        <v>41671</v>
      </c>
      <c r="C296" s="56"/>
      <c r="D296" s="55"/>
      <c r="E296" s="55"/>
      <c r="F296" s="55"/>
      <c r="G296" s="55" t="n">
        <f aca="false">'4.1.1'!F312/1.2</f>
        <v>113.877966666667</v>
      </c>
      <c r="H296" s="55" t="n">
        <f aca="false">G296-57.95</f>
        <v>55.9279666666667</v>
      </c>
      <c r="I296" s="55"/>
      <c r="J296" s="55" t="n">
        <f aca="false">'4.1.1'!E312/1.2</f>
        <v>107.497195833333</v>
      </c>
      <c r="K296" s="55" t="n">
        <f aca="false">J296-57.95</f>
        <v>49.5471958333334</v>
      </c>
      <c r="L296" s="55"/>
      <c r="M296" s="55" t="n">
        <f aca="false">'4.1.1'!G312/1.05</f>
        <v>50.3498227293238</v>
      </c>
      <c r="N296" s="57" t="n">
        <f aca="false">M296-0</f>
        <v>50.3498227293238</v>
      </c>
      <c r="O296" s="55"/>
      <c r="P296" s="55" t="n">
        <f aca="false">'4.1.1'!H312/1.05</f>
        <v>62.6785646495232</v>
      </c>
      <c r="Q296" s="57" t="n">
        <f aca="false">P296-11.14</f>
        <v>51.5385646495232</v>
      </c>
      <c r="R296" s="55"/>
      <c r="S296" s="84" t="n">
        <f aca="false">H296-K296</f>
        <v>6.3807708333333</v>
      </c>
      <c r="T296" s="85"/>
      <c r="U296" s="85"/>
      <c r="V296" s="85"/>
      <c r="W296" s="85"/>
    </row>
    <row r="297" customFormat="false" ht="14.25" hidden="false" customHeight="true" outlineLevel="0" collapsed="false">
      <c r="A297" s="85" t="n">
        <f aca="false">A285+1</f>
        <v>2014</v>
      </c>
      <c r="B297" s="56" t="n">
        <v>41699</v>
      </c>
      <c r="C297" s="56"/>
      <c r="D297" s="55"/>
      <c r="E297" s="55"/>
      <c r="F297" s="55"/>
      <c r="G297" s="55" t="n">
        <f aca="false">'4.1.1'!F313/1.2</f>
        <v>113.358336666667</v>
      </c>
      <c r="H297" s="55" t="n">
        <f aca="false">G297-57.95</f>
        <v>55.4083366666667</v>
      </c>
      <c r="I297" s="55" t="n">
        <f aca="false">SUM(H295:H297)/3</f>
        <v>56.1584030555556</v>
      </c>
      <c r="J297" s="55" t="n">
        <f aca="false">'4.1.1'!E313/1.2</f>
        <v>107.180853333333</v>
      </c>
      <c r="K297" s="55" t="n">
        <f aca="false">J297-57.95</f>
        <v>49.2308533333333</v>
      </c>
      <c r="L297" s="55" t="n">
        <f aca="false">SUM(K295:K297)/3</f>
        <v>49.7659622222222</v>
      </c>
      <c r="M297" s="55" t="n">
        <f aca="false">'4.1.1'!G313/1.05</f>
        <v>49.1292666979768</v>
      </c>
      <c r="N297" s="57" t="n">
        <f aca="false">M297-0</f>
        <v>49.1292666979768</v>
      </c>
      <c r="O297" s="55" t="n">
        <f aca="false">SUM(N295:N297)/3</f>
        <v>50.8321371016014</v>
      </c>
      <c r="P297" s="55" t="n">
        <f aca="false">'4.1.1'!H313/1.05</f>
        <v>62.4783175908769</v>
      </c>
      <c r="Q297" s="57" t="n">
        <f aca="false">P297-11.14</f>
        <v>51.3383175908769</v>
      </c>
      <c r="R297" s="55" t="n">
        <f aca="false">SUM(Q295:Q297)/3</f>
        <v>51.7458503688304</v>
      </c>
      <c r="S297" s="84" t="n">
        <f aca="false">H297-K297</f>
        <v>6.17748333333334</v>
      </c>
      <c r="T297" s="85"/>
      <c r="U297" s="85"/>
      <c r="V297" s="85"/>
      <c r="W297" s="85"/>
    </row>
    <row r="298" customFormat="false" ht="14.25" hidden="false" customHeight="true" outlineLevel="0" collapsed="false">
      <c r="A298" s="85" t="n">
        <f aca="false">A286+1</f>
        <v>2014</v>
      </c>
      <c r="B298" s="56" t="n">
        <v>41730</v>
      </c>
      <c r="C298" s="56"/>
      <c r="D298" s="55"/>
      <c r="E298" s="55"/>
      <c r="F298" s="55"/>
      <c r="G298" s="55" t="n">
        <f aca="false">'4.1.1'!F314/1.2</f>
        <v>113.223114166667</v>
      </c>
      <c r="H298" s="55" t="n">
        <f aca="false">G298-57.95</f>
        <v>55.2731141666666</v>
      </c>
      <c r="I298" s="55"/>
      <c r="J298" s="55" t="n">
        <f aca="false">'4.1.1'!E314/1.2</f>
        <v>107.32838</v>
      </c>
      <c r="K298" s="55" t="n">
        <f aca="false">J298-57.95</f>
        <v>49.37838</v>
      </c>
      <c r="L298" s="55"/>
      <c r="M298" s="55" t="n">
        <f aca="false">'4.1.1'!G314/1.05</f>
        <v>48.9115267379433</v>
      </c>
      <c r="N298" s="57" t="n">
        <f aca="false">M298-0</f>
        <v>48.9115267379433</v>
      </c>
      <c r="O298" s="55"/>
      <c r="P298" s="55" t="n">
        <f aca="false">'4.1.1'!H314/1.05</f>
        <v>63.5180337747247</v>
      </c>
      <c r="Q298" s="57" t="n">
        <f aca="false">P298-11.14</f>
        <v>52.3780337747247</v>
      </c>
      <c r="R298" s="55"/>
      <c r="S298" s="84" t="n">
        <f aca="false">H298-K298</f>
        <v>5.89473416666664</v>
      </c>
      <c r="T298" s="85"/>
      <c r="U298" s="85"/>
      <c r="V298" s="85"/>
      <c r="W298" s="85"/>
    </row>
    <row r="299" customFormat="false" ht="14.25" hidden="false" customHeight="true" outlineLevel="0" collapsed="false">
      <c r="A299" s="85" t="n">
        <f aca="false">A287+1</f>
        <v>2014</v>
      </c>
      <c r="B299" s="56" t="n">
        <v>41760</v>
      </c>
      <c r="C299" s="56"/>
      <c r="D299" s="55"/>
      <c r="E299" s="55"/>
      <c r="F299" s="55"/>
      <c r="G299" s="55" t="n">
        <f aca="false">'4.1.1'!F315/1.2</f>
        <v>113.4199075</v>
      </c>
      <c r="H299" s="55" t="n">
        <f aca="false">G299-57.95</f>
        <v>55.4699075</v>
      </c>
      <c r="I299" s="55"/>
      <c r="J299" s="55" t="n">
        <f aca="false">'4.1.1'!E315/1.2</f>
        <v>107.765944166667</v>
      </c>
      <c r="K299" s="55" t="n">
        <f aca="false">J299-57.95</f>
        <v>49.8159441666666</v>
      </c>
      <c r="L299" s="55"/>
      <c r="M299" s="55" t="n">
        <f aca="false">'4.1.1'!G315/1.05</f>
        <v>47.875000690665</v>
      </c>
      <c r="N299" s="57" t="n">
        <f aca="false">M299-0</f>
        <v>47.875000690665</v>
      </c>
      <c r="O299" s="55"/>
      <c r="P299" s="55" t="n">
        <f aca="false">'4.1.1'!H315/1.05</f>
        <v>60.7089965502177</v>
      </c>
      <c r="Q299" s="57" t="n">
        <f aca="false">P299-11.14</f>
        <v>49.5689965502177</v>
      </c>
      <c r="R299" s="55"/>
      <c r="S299" s="84" t="n">
        <f aca="false">H299-K299</f>
        <v>5.65396333333337</v>
      </c>
      <c r="T299" s="85"/>
      <c r="U299" s="85"/>
      <c r="V299" s="85"/>
      <c r="W299" s="85"/>
    </row>
    <row r="300" customFormat="false" ht="14.25" hidden="false" customHeight="true" outlineLevel="0" collapsed="false">
      <c r="A300" s="85" t="n">
        <f aca="false">A288+1</f>
        <v>2014</v>
      </c>
      <c r="B300" s="56" t="n">
        <v>41791</v>
      </c>
      <c r="C300" s="56"/>
      <c r="D300" s="55"/>
      <c r="E300" s="55"/>
      <c r="F300" s="55"/>
      <c r="G300" s="55" t="n">
        <f aca="false">'4.1.1'!F316/1.2</f>
        <v>112.844665</v>
      </c>
      <c r="H300" s="55" t="n">
        <f aca="false">G300-57.95</f>
        <v>54.894665</v>
      </c>
      <c r="I300" s="55" t="n">
        <f aca="false">SUM(H298:H300)/3</f>
        <v>55.2125622222222</v>
      </c>
      <c r="J300" s="55" t="n">
        <f aca="false">'4.1.1'!E316/1.2</f>
        <v>108.082325</v>
      </c>
      <c r="K300" s="55" t="n">
        <f aca="false">J300-57.95</f>
        <v>50.132325</v>
      </c>
      <c r="L300" s="55" t="n">
        <f aca="false">SUM(K298:K300)/3</f>
        <v>49.7755497222222</v>
      </c>
      <c r="M300" s="55" t="n">
        <f aca="false">'4.1.1'!G316/1.05</f>
        <v>49.229818309068</v>
      </c>
      <c r="N300" s="57" t="n">
        <f aca="false">M300-0</f>
        <v>49.229818309068</v>
      </c>
      <c r="O300" s="55" t="n">
        <f aca="false">SUM(N298:N300)/3</f>
        <v>48.6721152458921</v>
      </c>
      <c r="P300" s="55" t="n">
        <f aca="false">'4.1.1'!H316/1.05</f>
        <v>60.8891806390383</v>
      </c>
      <c r="Q300" s="57" t="n">
        <f aca="false">P300-11.14</f>
        <v>49.7491806390383</v>
      </c>
      <c r="R300" s="55" t="n">
        <f aca="false">SUM(Q298:Q300)/3</f>
        <v>50.5654036546602</v>
      </c>
      <c r="S300" s="84" t="n">
        <f aca="false">H300-K300</f>
        <v>4.76234</v>
      </c>
      <c r="T300" s="85"/>
      <c r="U300" s="85"/>
      <c r="V300" s="85"/>
      <c r="W300" s="85"/>
    </row>
    <row r="301" customFormat="false" ht="14.25" hidden="false" customHeight="true" outlineLevel="0" collapsed="false">
      <c r="A301" s="85" t="n">
        <f aca="false">A289+1</f>
        <v>2014</v>
      </c>
      <c r="B301" s="56" t="n">
        <v>41821</v>
      </c>
      <c r="C301" s="56"/>
      <c r="D301" s="55"/>
      <c r="E301" s="55"/>
      <c r="F301" s="55"/>
      <c r="G301" s="55" t="n">
        <f aca="false">'4.1.1'!F317/1.2</f>
        <v>113.339752096546</v>
      </c>
      <c r="H301" s="55" t="n">
        <f aca="false">G301-57.95</f>
        <v>55.3897520965459</v>
      </c>
      <c r="I301" s="55"/>
      <c r="J301" s="55" t="n">
        <f aca="false">'4.1.1'!E317/1.2</f>
        <v>109.266927768768</v>
      </c>
      <c r="K301" s="55" t="n">
        <f aca="false">J301-57.95</f>
        <v>51.3169277687678</v>
      </c>
      <c r="L301" s="55"/>
      <c r="M301" s="55" t="n">
        <f aca="false">'4.1.1'!G317/1.05</f>
        <v>48.8896866666667</v>
      </c>
      <c r="N301" s="57" t="n">
        <f aca="false">M301-0</f>
        <v>48.8896866666667</v>
      </c>
      <c r="O301" s="55"/>
      <c r="P301" s="55" t="n">
        <f aca="false">'4.1.1'!H317/1.05</f>
        <v>59.5733209523809</v>
      </c>
      <c r="Q301" s="57" t="n">
        <f aca="false">P301-11.14</f>
        <v>48.4333209523809</v>
      </c>
      <c r="R301" s="55"/>
      <c r="S301" s="84" t="n">
        <f aca="false">H301-K301</f>
        <v>4.07282432777805</v>
      </c>
      <c r="T301" s="85"/>
      <c r="U301" s="85"/>
      <c r="V301" s="85"/>
      <c r="W301" s="85"/>
    </row>
    <row r="302" customFormat="false" ht="14.25" hidden="false" customHeight="true" outlineLevel="0" collapsed="false">
      <c r="A302" s="85" t="n">
        <f aca="false">A290+1</f>
        <v>2014</v>
      </c>
      <c r="B302" s="56" t="n">
        <v>41852</v>
      </c>
      <c r="C302" s="56"/>
      <c r="D302" s="55"/>
      <c r="E302" s="55"/>
      <c r="F302" s="55"/>
      <c r="G302" s="55" t="n">
        <f aca="false">'4.1.1'!F318/1.2</f>
        <v>111.344982138683</v>
      </c>
      <c r="H302" s="55" t="n">
        <f aca="false">G302-57.95</f>
        <v>53.3949821386835</v>
      </c>
      <c r="I302" s="55"/>
      <c r="J302" s="55" t="n">
        <f aca="false">'4.1.1'!E318/1.2</f>
        <v>107.724988494983</v>
      </c>
      <c r="K302" s="55" t="n">
        <f aca="false">J302-57.95</f>
        <v>49.7749884949834</v>
      </c>
      <c r="L302" s="55"/>
      <c r="M302" s="55" t="n">
        <f aca="false">'4.1.1'!G318/1.05</f>
        <v>48.7115019047619</v>
      </c>
      <c r="N302" s="57" t="n">
        <f aca="false">M302-0</f>
        <v>48.7115019047619</v>
      </c>
      <c r="O302" s="55"/>
      <c r="P302" s="55" t="n">
        <f aca="false">'4.1.1'!H318/1.05</f>
        <v>59.6279561904762</v>
      </c>
      <c r="Q302" s="57" t="n">
        <f aca="false">P302-11.14</f>
        <v>48.4879561904762</v>
      </c>
      <c r="R302" s="55"/>
      <c r="S302" s="84" t="n">
        <f aca="false">H302-K302</f>
        <v>3.6199936437001</v>
      </c>
      <c r="T302" s="85"/>
      <c r="U302" s="85"/>
      <c r="V302" s="85"/>
      <c r="W302" s="85"/>
    </row>
    <row r="303" customFormat="false" ht="14.25" hidden="false" customHeight="true" outlineLevel="0" collapsed="false">
      <c r="A303" s="85" t="n">
        <f aca="false">A291+1</f>
        <v>2014</v>
      </c>
      <c r="B303" s="56" t="n">
        <v>41883</v>
      </c>
      <c r="C303" s="56"/>
      <c r="D303" s="55"/>
      <c r="E303" s="55"/>
      <c r="F303" s="55"/>
      <c r="G303" s="55" t="n">
        <f aca="false">'4.1.1'!F319/1.2</f>
        <v>110.892765671425</v>
      </c>
      <c r="H303" s="55" t="n">
        <f aca="false">G303-57.95</f>
        <v>52.9427656714253</v>
      </c>
      <c r="I303" s="55" t="n">
        <f aca="false">SUM(H301:H303)/3</f>
        <v>53.9091666355515</v>
      </c>
      <c r="J303" s="55" t="n">
        <f aca="false">'4.1.1'!E319/1.2</f>
        <v>107.094699595394</v>
      </c>
      <c r="K303" s="55" t="n">
        <f aca="false">J303-57.95</f>
        <v>49.1446995953944</v>
      </c>
      <c r="L303" s="55" t="n">
        <f aca="false">SUM(K301:K303)/3</f>
        <v>50.0788719530485</v>
      </c>
      <c r="M303" s="55" t="n">
        <f aca="false">'4.1.1'!G319/1.05</f>
        <v>48.5934295238095</v>
      </c>
      <c r="N303" s="57" t="n">
        <f aca="false">M303-0</f>
        <v>48.5934295238095</v>
      </c>
      <c r="O303" s="55" t="n">
        <f aca="false">SUM(N301:N303)/3</f>
        <v>48.7315393650794</v>
      </c>
      <c r="P303" s="55" t="n">
        <f aca="false">'4.1.1'!H319/1.05</f>
        <v>58.9533571428571</v>
      </c>
      <c r="Q303" s="57" t="n">
        <f aca="false">P303-11.14</f>
        <v>47.8133571428571</v>
      </c>
      <c r="R303" s="55" t="n">
        <f aca="false">SUM(Q301:Q303)/3</f>
        <v>48.2448780952381</v>
      </c>
      <c r="S303" s="84" t="n">
        <f aca="false">H303-K303</f>
        <v>3.79806607603089</v>
      </c>
      <c r="T303" s="85"/>
      <c r="U303" s="85"/>
      <c r="V303" s="85"/>
      <c r="W303" s="85"/>
    </row>
    <row r="304" customFormat="false" ht="14.25" hidden="false" customHeight="true" outlineLevel="0" collapsed="false">
      <c r="A304" s="85" t="n">
        <f aca="false">A292+1</f>
        <v>2014</v>
      </c>
      <c r="B304" s="56" t="n">
        <v>41913</v>
      </c>
      <c r="C304" s="56"/>
      <c r="D304" s="55"/>
      <c r="E304" s="55"/>
      <c r="F304" s="55"/>
      <c r="G304" s="55" t="n">
        <f aca="false">'4.1.1'!F320/1.2</f>
        <v>109.234980454299</v>
      </c>
      <c r="H304" s="55" t="n">
        <f aca="false">G304-57.95</f>
        <v>51.2849804542988</v>
      </c>
      <c r="I304" s="55"/>
      <c r="J304" s="55" t="n">
        <f aca="false">'4.1.1'!E320/1.2</f>
        <v>105.631455529476</v>
      </c>
      <c r="K304" s="55" t="n">
        <f aca="false">J304-57.95</f>
        <v>47.681455529476</v>
      </c>
      <c r="L304" s="55"/>
      <c r="M304" s="55" t="n">
        <f aca="false">'4.1.1'!G320/1.05</f>
        <v>44.5001723809524</v>
      </c>
      <c r="N304" s="57" t="n">
        <f aca="false">M304-0</f>
        <v>44.5001723809524</v>
      </c>
      <c r="O304" s="55"/>
      <c r="P304" s="55" t="n">
        <f aca="false">'4.1.1'!H320/1.05</f>
        <v>55.8656866666667</v>
      </c>
      <c r="Q304" s="57" t="n">
        <f aca="false">P304-11.14</f>
        <v>44.7256866666667</v>
      </c>
      <c r="R304" s="55"/>
      <c r="S304" s="84" t="n">
        <f aca="false">H304-K304</f>
        <v>3.60352492482284</v>
      </c>
      <c r="T304" s="85"/>
      <c r="U304" s="85"/>
      <c r="V304" s="85"/>
      <c r="W304" s="85"/>
    </row>
    <row r="305" customFormat="false" ht="14.25" hidden="false" customHeight="true" outlineLevel="0" collapsed="false">
      <c r="A305" s="85" t="n">
        <f aca="false">A293+1</f>
        <v>2014</v>
      </c>
      <c r="B305" s="56" t="n">
        <v>41944</v>
      </c>
      <c r="C305" s="56"/>
      <c r="D305" s="55"/>
      <c r="E305" s="55"/>
      <c r="F305" s="55"/>
      <c r="G305" s="55" t="n">
        <f aca="false">'4.1.1'!F321/1.2</f>
        <v>105.983313540009</v>
      </c>
      <c r="H305" s="55" t="n">
        <f aca="false">G305-57.95</f>
        <v>48.0333135400093</v>
      </c>
      <c r="I305" s="55"/>
      <c r="J305" s="55" t="n">
        <f aca="false">'4.1.1'!E321/1.2</f>
        <v>102.064223761181</v>
      </c>
      <c r="K305" s="55" t="n">
        <f aca="false">J305-57.95</f>
        <v>44.1142237611809</v>
      </c>
      <c r="L305" s="55"/>
      <c r="M305" s="55" t="n">
        <f aca="false">'4.1.1'!G321/1.05</f>
        <v>44.1168161904762</v>
      </c>
      <c r="N305" s="57" t="n">
        <f aca="false">M305-0</f>
        <v>44.1168161904762</v>
      </c>
      <c r="O305" s="55"/>
      <c r="P305" s="55" t="n">
        <f aca="false">'4.1.1'!H321/1.05</f>
        <v>55.0425647619048</v>
      </c>
      <c r="Q305" s="57" t="n">
        <f aca="false">P305-11.14</f>
        <v>43.9025647619048</v>
      </c>
      <c r="R305" s="55"/>
      <c r="S305" s="84" t="n">
        <f aca="false">H305-K305</f>
        <v>3.91908977882839</v>
      </c>
      <c r="T305" s="85"/>
      <c r="U305" s="85"/>
      <c r="V305" s="85"/>
      <c r="W305" s="85"/>
    </row>
    <row r="306" customFormat="false" ht="14.25" hidden="false" customHeight="true" outlineLevel="0" collapsed="false">
      <c r="A306" s="85" t="n">
        <f aca="false">A294+1</f>
        <v>2014</v>
      </c>
      <c r="B306" s="56" t="n">
        <v>41974</v>
      </c>
      <c r="C306" s="56"/>
      <c r="D306" s="55"/>
      <c r="E306" s="55"/>
      <c r="F306" s="55"/>
      <c r="G306" s="55" t="n">
        <f aca="false">'4.1.1'!F322/1.2</f>
        <v>101.971299011907</v>
      </c>
      <c r="H306" s="55" t="n">
        <f aca="false">G306-57.95</f>
        <v>44.0212990119067</v>
      </c>
      <c r="I306" s="55" t="n">
        <f aca="false">SUM(H304:H306)/3</f>
        <v>47.7798643354049</v>
      </c>
      <c r="J306" s="55" t="n">
        <f aca="false">'4.1.1'!E322/1.2</f>
        <v>96.8516983946404</v>
      </c>
      <c r="K306" s="55" t="n">
        <f aca="false">J306-57.95</f>
        <v>38.9016983946404</v>
      </c>
      <c r="L306" s="55" t="n">
        <f aca="false">SUM(K304:K306)/3</f>
        <v>43.5657925617658</v>
      </c>
      <c r="M306" s="55" t="n">
        <f aca="false">'4.1.1'!G322/1.05</f>
        <v>39.7611428571429</v>
      </c>
      <c r="N306" s="57" t="n">
        <f aca="false">M306-0</f>
        <v>39.7611428571429</v>
      </c>
      <c r="O306" s="55" t="n">
        <f aca="false">SUM(N304:N306)/3</f>
        <v>42.7927104761905</v>
      </c>
      <c r="P306" s="55" t="n">
        <f aca="false">'4.1.1'!H322/1.05</f>
        <v>48.9561161904762</v>
      </c>
      <c r="Q306" s="57" t="n">
        <f aca="false">P306-11.14</f>
        <v>37.8161161904762</v>
      </c>
      <c r="R306" s="55" t="n">
        <f aca="false">SUM(Q304:Q306)/3</f>
        <v>42.1481225396825</v>
      </c>
      <c r="S306" s="84" t="n">
        <f aca="false">H306-K306</f>
        <v>5.11960061726629</v>
      </c>
      <c r="T306" s="55" t="n">
        <f aca="false">AVERAGE(G295:G306)</f>
        <v>111.214999062184</v>
      </c>
      <c r="U306" s="55" t="n">
        <f aca="false">AVERAGE(H295:H306)</f>
        <v>53.2649990621836</v>
      </c>
      <c r="V306" s="55" t="n">
        <f aca="false">AVERAGE(J295:J306)</f>
        <v>106.246544114815</v>
      </c>
      <c r="W306" s="55" t="n">
        <f aca="false">AVERAGE(K295:K306)</f>
        <v>48.2965441148147</v>
      </c>
    </row>
    <row r="307" customFormat="false" ht="14.25" hidden="false" customHeight="true" outlineLevel="0" collapsed="false">
      <c r="A307" s="85" t="n">
        <f aca="false">A295+1</f>
        <v>2015</v>
      </c>
      <c r="B307" s="56" t="n">
        <v>42005</v>
      </c>
      <c r="C307" s="56"/>
      <c r="D307" s="55"/>
      <c r="E307" s="55"/>
      <c r="F307" s="55"/>
      <c r="G307" s="55" t="n">
        <f aca="false">'4.1.1'!F323/1.2</f>
        <v>96.5376084767226</v>
      </c>
      <c r="H307" s="55" t="n">
        <f aca="false">G307-57.95</f>
        <v>38.5876084767226</v>
      </c>
      <c r="I307" s="55"/>
      <c r="J307" s="55" t="n">
        <f aca="false">'4.1.1'!E323/1.2</f>
        <v>90.3709086130105</v>
      </c>
      <c r="K307" s="55" t="n">
        <f aca="false">J307-57.95</f>
        <v>32.4209086130105</v>
      </c>
      <c r="L307" s="55"/>
      <c r="M307" s="55" t="n">
        <f aca="false">'4.1.1'!G323/1.05</f>
        <v>34.6977304761905</v>
      </c>
      <c r="N307" s="57" t="n">
        <f aca="false">M307-0</f>
        <v>34.6977304761905</v>
      </c>
      <c r="O307" s="55"/>
      <c r="P307" s="55" t="n">
        <f aca="false">'4.1.1'!H323/1.05</f>
        <v>44.1249552380952</v>
      </c>
      <c r="Q307" s="57" t="n">
        <f aca="false">P307-11.14</f>
        <v>32.9849552380952</v>
      </c>
      <c r="R307" s="55"/>
      <c r="S307" s="84" t="n">
        <f aca="false">H307-K307</f>
        <v>6.16669986371213</v>
      </c>
      <c r="T307" s="55"/>
      <c r="U307" s="55"/>
      <c r="V307" s="55"/>
      <c r="W307" s="55"/>
    </row>
    <row r="308" customFormat="false" ht="14.25" hidden="false" customHeight="true" outlineLevel="0" collapsed="false">
      <c r="A308" s="85" t="n">
        <f aca="false">A296+1</f>
        <v>2015</v>
      </c>
      <c r="B308" s="56" t="n">
        <v>42036</v>
      </c>
      <c r="C308" s="56"/>
      <c r="D308" s="55"/>
      <c r="E308" s="55"/>
      <c r="F308" s="55"/>
      <c r="G308" s="55" t="n">
        <f aca="false">'4.1.1'!F324/1.2</f>
        <v>95.5040202725494</v>
      </c>
      <c r="H308" s="55" t="n">
        <f aca="false">G308-57.95</f>
        <v>37.5540202725494</v>
      </c>
      <c r="I308" s="55"/>
      <c r="J308" s="55" t="n">
        <f aca="false">'4.1.1'!E324/1.2</f>
        <v>89.3293796873147</v>
      </c>
      <c r="K308" s="55" t="n">
        <f aca="false">J308-57.95</f>
        <v>31.3793796873147</v>
      </c>
      <c r="L308" s="55"/>
      <c r="M308" s="55" t="n">
        <f aca="false">'4.1.1'!G324/1.05</f>
        <v>35.495539047619</v>
      </c>
      <c r="N308" s="57" t="n">
        <f aca="false">M308-0</f>
        <v>35.495539047619</v>
      </c>
      <c r="O308" s="55"/>
      <c r="P308" s="55" t="n">
        <f aca="false">'4.1.1'!H324/1.05</f>
        <v>46.3915752380952</v>
      </c>
      <c r="Q308" s="57" t="n">
        <f aca="false">P308-11.14</f>
        <v>35.2515752380952</v>
      </c>
      <c r="R308" s="55"/>
      <c r="S308" s="84" t="n">
        <f aca="false">H308-K308</f>
        <v>6.17464058523466</v>
      </c>
      <c r="T308" s="55"/>
      <c r="U308" s="55"/>
      <c r="V308" s="55"/>
      <c r="W308" s="55"/>
    </row>
    <row r="309" customFormat="false" ht="14.25" hidden="false" customHeight="true" outlineLevel="0" collapsed="false">
      <c r="A309" s="85" t="n">
        <f aca="false">A297+1</f>
        <v>2015</v>
      </c>
      <c r="B309" s="56" t="n">
        <v>42064</v>
      </c>
      <c r="C309" s="56"/>
      <c r="D309" s="55"/>
      <c r="E309" s="55"/>
      <c r="F309" s="55"/>
      <c r="G309" s="55" t="n">
        <f aca="false">'4.1.1'!F325/1.2</f>
        <v>98.509150629614</v>
      </c>
      <c r="H309" s="55" t="n">
        <f aca="false">G309-57.95</f>
        <v>40.559150629614</v>
      </c>
      <c r="I309" s="55" t="n">
        <f aca="false">SUM(H307:H309)/3</f>
        <v>38.900259792962</v>
      </c>
      <c r="J309" s="55" t="n">
        <f aca="false">'4.1.1'!E325/1.2</f>
        <v>92.5350440104753</v>
      </c>
      <c r="K309" s="55" t="n">
        <f aca="false">J309-57.95</f>
        <v>34.5850440104753</v>
      </c>
      <c r="L309" s="55" t="n">
        <f aca="false">SUM(K307:K309)/3</f>
        <v>32.7951107702668</v>
      </c>
      <c r="M309" s="55" t="n">
        <f aca="false">'4.1.1'!G325/1.05</f>
        <v>35.0893628571429</v>
      </c>
      <c r="N309" s="57" t="n">
        <f aca="false">M309-0</f>
        <v>35.0893628571429</v>
      </c>
      <c r="O309" s="55" t="n">
        <f aca="false">SUM(N307:N309)/3</f>
        <v>35.0942107936508</v>
      </c>
      <c r="P309" s="55" t="n">
        <f aca="false">'4.1.1'!H325/1.05</f>
        <v>46.2535952380952</v>
      </c>
      <c r="Q309" s="57" t="n">
        <f aca="false">P309-11.14</f>
        <v>35.1135952380952</v>
      </c>
      <c r="R309" s="55" t="n">
        <f aca="false">SUM(Q307:Q309)/3</f>
        <v>34.4500419047619</v>
      </c>
      <c r="S309" s="84" t="n">
        <f aca="false">H309-K309</f>
        <v>5.97410661913877</v>
      </c>
      <c r="T309" s="55"/>
      <c r="U309" s="55"/>
      <c r="V309" s="55"/>
      <c r="W309" s="55"/>
    </row>
    <row r="310" customFormat="false" ht="14.25" hidden="false" customHeight="true" outlineLevel="0" collapsed="false">
      <c r="A310" s="85" t="n">
        <f aca="false">A298+1</f>
        <v>2015</v>
      </c>
      <c r="B310" s="56" t="n">
        <v>42095</v>
      </c>
      <c r="C310" s="56"/>
      <c r="D310" s="55"/>
      <c r="E310" s="55"/>
      <c r="F310" s="55"/>
      <c r="G310" s="55" t="n">
        <f aca="false">'4.1.1'!F326/1.2</f>
        <v>99.2424277355249</v>
      </c>
      <c r="H310" s="55" t="n">
        <f aca="false">G310-57.95</f>
        <v>41.2924277355249</v>
      </c>
      <c r="I310" s="55"/>
      <c r="J310" s="55" t="n">
        <f aca="false">'4.1.1'!E326/1.2</f>
        <v>93.7895610180146</v>
      </c>
      <c r="K310" s="55" t="n">
        <f aca="false">J310-57.95</f>
        <v>35.8395610180146</v>
      </c>
      <c r="L310" s="55"/>
      <c r="M310" s="55" t="n">
        <f aca="false">'4.1.1'!G326/1.05</f>
        <v>34.736780952381</v>
      </c>
      <c r="N310" s="57" t="n">
        <f aca="false">M310-0</f>
        <v>34.736780952381</v>
      </c>
      <c r="O310" s="55"/>
      <c r="P310" s="55" t="n">
        <f aca="false">'4.1.1'!H326/1.05</f>
        <v>45.9055161904762</v>
      </c>
      <c r="Q310" s="57" t="n">
        <f aca="false">P310-11.14</f>
        <v>34.7655161904762</v>
      </c>
      <c r="R310" s="55"/>
      <c r="S310" s="84" t="n">
        <f aca="false">H310-K310</f>
        <v>5.45286671751028</v>
      </c>
      <c r="T310" s="55"/>
      <c r="U310" s="55"/>
      <c r="V310" s="55"/>
      <c r="W310" s="55"/>
    </row>
    <row r="311" customFormat="false" ht="14.25" hidden="false" customHeight="true" outlineLevel="0" collapsed="false">
      <c r="A311" s="85" t="n">
        <f aca="false">A299+1</f>
        <v>2015</v>
      </c>
      <c r="B311" s="56" t="n">
        <v>42125</v>
      </c>
      <c r="C311" s="56"/>
      <c r="D311" s="55"/>
      <c r="E311" s="55"/>
      <c r="F311" s="55"/>
      <c r="G311" s="55" t="n">
        <f aca="false">'4.1.1'!F327/1.2</f>
        <v>100.806212334112</v>
      </c>
      <c r="H311" s="55" t="n">
        <f aca="false">G311-57.95</f>
        <v>42.8562123341123</v>
      </c>
      <c r="I311" s="55"/>
      <c r="J311" s="55" t="n">
        <f aca="false">'4.1.1'!E327/1.2</f>
        <v>96.4579649230348</v>
      </c>
      <c r="K311" s="55" t="n">
        <f aca="false">J311-57.95</f>
        <v>38.5079649230348</v>
      </c>
      <c r="L311" s="55"/>
      <c r="M311" s="55" t="n">
        <f aca="false">'4.1.1'!G327/1.05</f>
        <v>35.1145019047619</v>
      </c>
      <c r="N311" s="57" t="n">
        <f aca="false">M311-0</f>
        <v>35.1145019047619</v>
      </c>
      <c r="O311" s="55"/>
      <c r="P311" s="55" t="n">
        <f aca="false">'4.1.1'!H327/1.05</f>
        <v>47.1234333333333</v>
      </c>
      <c r="Q311" s="57" t="n">
        <f aca="false">P311-11.14</f>
        <v>35.9834333333333</v>
      </c>
      <c r="R311" s="55"/>
      <c r="S311" s="84" t="n">
        <f aca="false">H311-K311</f>
        <v>4.34824741107745</v>
      </c>
      <c r="T311" s="55"/>
      <c r="U311" s="55"/>
      <c r="V311" s="55"/>
      <c r="W311" s="55"/>
    </row>
    <row r="312" customFormat="false" ht="14.25" hidden="false" customHeight="true" outlineLevel="0" collapsed="false">
      <c r="A312" s="85" t="n">
        <f aca="false">A300+1</f>
        <v>2015</v>
      </c>
      <c r="B312" s="56" t="n">
        <v>42156</v>
      </c>
      <c r="C312" s="56"/>
      <c r="D312" s="55"/>
      <c r="E312" s="55"/>
      <c r="F312" s="55"/>
      <c r="G312" s="55" t="n">
        <f aca="false">'4.1.1'!F328/1.2</f>
        <v>101.035373415983</v>
      </c>
      <c r="H312" s="55" t="n">
        <f aca="false">G312-57.95</f>
        <v>43.0853734159835</v>
      </c>
      <c r="I312" s="55" t="n">
        <f aca="false">SUM(H310:H312)/3</f>
        <v>42.4113378285402</v>
      </c>
      <c r="J312" s="55" t="n">
        <f aca="false">'4.1.1'!E328/1.2</f>
        <v>96.9969187831876</v>
      </c>
      <c r="K312" s="55" t="n">
        <f aca="false">J312-57.95</f>
        <v>39.0469187831876</v>
      </c>
      <c r="L312" s="55" t="n">
        <f aca="false">SUM(K310:K312)/3</f>
        <v>37.7981482414123</v>
      </c>
      <c r="M312" s="55" t="n">
        <f aca="false">'4.1.1'!G328/1.05</f>
        <v>35.3456561904762</v>
      </c>
      <c r="N312" s="57" t="n">
        <f aca="false">M312-0</f>
        <v>35.3456561904762</v>
      </c>
      <c r="O312" s="55" t="n">
        <f aca="false">SUM(N310:N312)/3</f>
        <v>35.0656463492064</v>
      </c>
      <c r="P312" s="55" t="n">
        <f aca="false">'4.1.1'!H328/1.05</f>
        <v>47.3239447619048</v>
      </c>
      <c r="Q312" s="57" t="n">
        <f aca="false">P312-11.14</f>
        <v>36.1839447619048</v>
      </c>
      <c r="R312" s="55" t="n">
        <f aca="false">SUM(Q310:Q312)/3</f>
        <v>35.6442980952381</v>
      </c>
      <c r="S312" s="84" t="n">
        <f aca="false">H312-K312</f>
        <v>4.03845463279588</v>
      </c>
      <c r="T312" s="55"/>
      <c r="U312" s="55"/>
      <c r="V312" s="55"/>
      <c r="W312" s="55"/>
    </row>
    <row r="313" customFormat="false" ht="14.25" hidden="false" customHeight="true" outlineLevel="0" collapsed="false">
      <c r="A313" s="85" t="n">
        <f aca="false">A301+1</f>
        <v>2015</v>
      </c>
      <c r="B313" s="56" t="n">
        <v>42186</v>
      </c>
      <c r="C313" s="56"/>
      <c r="D313" s="55"/>
      <c r="E313" s="55"/>
      <c r="F313" s="55"/>
      <c r="G313" s="55" t="n">
        <f aca="false">'4.1.1'!F329/1.2</f>
        <v>98.9434643177678</v>
      </c>
      <c r="H313" s="55" t="n">
        <f aca="false">G313-57.95</f>
        <v>40.9934643177678</v>
      </c>
      <c r="I313" s="55"/>
      <c r="J313" s="55" t="n">
        <f aca="false">'4.1.1'!E329/1.2</f>
        <v>97.0027488910333</v>
      </c>
      <c r="K313" s="55" t="n">
        <f aca="false">J313-57.95</f>
        <v>39.0527488910333</v>
      </c>
      <c r="L313" s="55"/>
      <c r="M313" s="55" t="n">
        <f aca="false">'4.1.1'!G329/1.05</f>
        <v>34.7554580952381</v>
      </c>
      <c r="N313" s="57" t="n">
        <f aca="false">M313-0</f>
        <v>34.7554580952381</v>
      </c>
      <c r="O313" s="55"/>
      <c r="P313" s="55" t="n">
        <f aca="false">'4.1.1'!H329/1.05</f>
        <v>45.9608104761905</v>
      </c>
      <c r="Q313" s="57" t="n">
        <f aca="false">P313-11.14</f>
        <v>34.8208104761905</v>
      </c>
      <c r="R313" s="55"/>
      <c r="S313" s="84" t="n">
        <f aca="false">H313-K313</f>
        <v>1.94071542673457</v>
      </c>
      <c r="T313" s="55"/>
      <c r="U313" s="55"/>
      <c r="V313" s="55"/>
      <c r="W313" s="55"/>
    </row>
    <row r="314" customFormat="false" ht="14.25" hidden="false" customHeight="true" outlineLevel="0" collapsed="false">
      <c r="A314" s="85" t="n">
        <f aca="false">A302+1</f>
        <v>2015</v>
      </c>
      <c r="B314" s="56" t="n">
        <v>42217</v>
      </c>
      <c r="C314" s="56"/>
      <c r="D314" s="55"/>
      <c r="E314" s="55"/>
      <c r="F314" s="55"/>
      <c r="G314" s="55" t="n">
        <f aca="false">'4.1.1'!F330/1.2</f>
        <v>93.0854065544459</v>
      </c>
      <c r="H314" s="55" t="n">
        <f aca="false">G314-57.95</f>
        <v>35.1354065544459</v>
      </c>
      <c r="I314" s="55"/>
      <c r="J314" s="55" t="n">
        <f aca="false">'4.1.1'!E330/1.2</f>
        <v>95.4019846578489</v>
      </c>
      <c r="K314" s="55" t="n">
        <f aca="false">J314-57.95</f>
        <v>37.4519846578489</v>
      </c>
      <c r="L314" s="55"/>
      <c r="M314" s="55" t="n">
        <f aca="false">'4.1.1'!G330/1.05</f>
        <v>28.9288533333333</v>
      </c>
      <c r="N314" s="57" t="n">
        <f aca="false">M314-0</f>
        <v>28.9288533333333</v>
      </c>
      <c r="O314" s="55"/>
      <c r="P314" s="55" t="n">
        <f aca="false">'4.1.1'!H330/1.05</f>
        <v>41.199499047619</v>
      </c>
      <c r="Q314" s="57" t="n">
        <f aca="false">P314-11.14</f>
        <v>30.059499047619</v>
      </c>
      <c r="R314" s="55"/>
      <c r="S314" s="84" t="n">
        <f aca="false">H314-K314</f>
        <v>-2.31657810340303</v>
      </c>
      <c r="T314" s="55"/>
      <c r="U314" s="55"/>
      <c r="V314" s="55"/>
      <c r="W314" s="55"/>
    </row>
    <row r="315" customFormat="false" ht="14.25" hidden="false" customHeight="true" outlineLevel="0" collapsed="false">
      <c r="A315" s="85" t="n">
        <f aca="false">A303+1</f>
        <v>2015</v>
      </c>
      <c r="B315" s="56" t="n">
        <v>42248</v>
      </c>
      <c r="C315" s="56"/>
      <c r="D315" s="55"/>
      <c r="E315" s="55"/>
      <c r="F315" s="55"/>
      <c r="G315" s="55" t="n">
        <f aca="false">'4.1.1'!F331/1.2</f>
        <v>91.5095041666667</v>
      </c>
      <c r="H315" s="55" t="n">
        <f aca="false">G315-57.95</f>
        <v>33.5595041666667</v>
      </c>
      <c r="I315" s="55" t="n">
        <f aca="false">SUM(H313:H315)/3</f>
        <v>36.5627916796268</v>
      </c>
      <c r="J315" s="55" t="n">
        <f aca="false">'4.1.1'!E331/1.2</f>
        <v>92.9109712054247</v>
      </c>
      <c r="K315" s="55" t="n">
        <f aca="false">J315-57.95</f>
        <v>34.9609712054247</v>
      </c>
      <c r="L315" s="55" t="n">
        <f aca="false">SUM(K313:K315)/3</f>
        <v>37.1552349181023</v>
      </c>
      <c r="M315" s="55" t="n">
        <f aca="false">'4.1.1'!G331/1.05</f>
        <v>29.62</v>
      </c>
      <c r="N315" s="57" t="n">
        <f aca="false">M315-0</f>
        <v>29.62</v>
      </c>
      <c r="O315" s="55" t="n">
        <f aca="false">SUM(N313:N315)/3</f>
        <v>31.1014371428571</v>
      </c>
      <c r="P315" s="55" t="n">
        <f aca="false">'4.1.1'!H331/1.05</f>
        <v>41.3152914285714</v>
      </c>
      <c r="Q315" s="57" t="n">
        <f aca="false">P315-11.14</f>
        <v>30.1752914285714</v>
      </c>
      <c r="R315" s="55" t="n">
        <f aca="false">SUM(Q313:Q315)/3</f>
        <v>31.6852003174603</v>
      </c>
      <c r="S315" s="84" t="n">
        <f aca="false">H315-K315</f>
        <v>-1.40146703875804</v>
      </c>
      <c r="T315" s="55"/>
      <c r="U315" s="55"/>
      <c r="V315" s="55"/>
      <c r="W315" s="55"/>
    </row>
    <row r="316" customFormat="false" ht="14.25" hidden="false" customHeight="true" outlineLevel="0" collapsed="false">
      <c r="A316" s="85" t="n">
        <f aca="false">A304+1</f>
        <v>2015</v>
      </c>
      <c r="B316" s="56" t="n">
        <v>42278</v>
      </c>
      <c r="C316" s="56"/>
      <c r="D316" s="55"/>
      <c r="E316" s="55"/>
      <c r="F316" s="55"/>
      <c r="G316" s="55" t="n">
        <f aca="false">'4.1.1'!F332/1.2</f>
        <v>92.2355825</v>
      </c>
      <c r="H316" s="55" t="n">
        <f aca="false">G316-57.95</f>
        <v>34.2855825</v>
      </c>
      <c r="I316" s="55"/>
      <c r="J316" s="55" t="n">
        <f aca="false">'4.1.1'!E332/1.2</f>
        <v>90.7467986577768</v>
      </c>
      <c r="K316" s="55" t="n">
        <f aca="false">J316-57.95</f>
        <v>32.7967986577768</v>
      </c>
      <c r="L316" s="55"/>
      <c r="M316" s="55" t="n">
        <f aca="false">'4.1.1'!G332/1.05</f>
        <v>29.7904761904762</v>
      </c>
      <c r="N316" s="57" t="n">
        <f aca="false">M316-0</f>
        <v>29.7904761904762</v>
      </c>
      <c r="O316" s="55"/>
      <c r="P316" s="55" t="n">
        <f aca="false">'4.1.1'!H332/1.05</f>
        <v>41.9312885714286</v>
      </c>
      <c r="Q316" s="57" t="n">
        <f aca="false">P316-11.14</f>
        <v>30.7912885714286</v>
      </c>
      <c r="R316" s="55"/>
      <c r="S316" s="84" t="n">
        <f aca="false">H316-K316</f>
        <v>1.48878384222319</v>
      </c>
      <c r="T316" s="55"/>
      <c r="U316" s="55"/>
      <c r="V316" s="55"/>
      <c r="W316" s="55"/>
    </row>
    <row r="317" customFormat="false" ht="14.25" hidden="false" customHeight="true" outlineLevel="0" collapsed="false">
      <c r="A317" s="85" t="n">
        <f aca="false">A305+1</f>
        <v>2015</v>
      </c>
      <c r="B317" s="56" t="n">
        <v>42309</v>
      </c>
      <c r="C317" s="56"/>
      <c r="D317" s="55"/>
      <c r="E317" s="55"/>
      <c r="F317" s="55"/>
      <c r="G317" s="55" t="n">
        <f aca="false">'4.1.1'!F333/1.2</f>
        <v>91.7689333333333</v>
      </c>
      <c r="H317" s="55" t="n">
        <f aca="false">G317-57.95</f>
        <v>33.8189333333333</v>
      </c>
      <c r="I317" s="55"/>
      <c r="J317" s="55" t="n">
        <f aca="false">'4.1.1'!E333/1.2</f>
        <v>89.3658236186452</v>
      </c>
      <c r="K317" s="55" t="n">
        <f aca="false">J317-57.95</f>
        <v>31.4158236186452</v>
      </c>
      <c r="L317" s="55"/>
      <c r="M317" s="55" t="n">
        <f aca="false">'4.1.1'!G333/1.05</f>
        <v>28.5885714285714</v>
      </c>
      <c r="N317" s="57" t="n">
        <f aca="false">M317-0</f>
        <v>28.5885714285714</v>
      </c>
      <c r="O317" s="55"/>
      <c r="P317" s="55" t="n">
        <f aca="false">'4.1.1'!H333/1.05</f>
        <v>39.5886980952381</v>
      </c>
      <c r="Q317" s="57" t="n">
        <f aca="false">P317-11.14</f>
        <v>28.4486980952381</v>
      </c>
      <c r="R317" s="55"/>
      <c r="S317" s="84" t="n">
        <f aca="false">H317-K317</f>
        <v>2.4031097146881</v>
      </c>
      <c r="T317" s="55"/>
      <c r="U317" s="55"/>
      <c r="V317" s="55"/>
      <c r="W317" s="55"/>
    </row>
    <row r="318" customFormat="false" ht="14.25" hidden="false" customHeight="true" outlineLevel="0" collapsed="false">
      <c r="A318" s="85" t="n">
        <f aca="false">A306+1</f>
        <v>2015</v>
      </c>
      <c r="B318" s="56" t="n">
        <v>42339</v>
      </c>
      <c r="C318" s="56"/>
      <c r="D318" s="55"/>
      <c r="E318" s="55"/>
      <c r="F318" s="55"/>
      <c r="G318" s="55" t="n">
        <f aca="false">'4.1.1'!F334/1.2</f>
        <v>89.806875</v>
      </c>
      <c r="H318" s="55" t="n">
        <f aca="false">G318-57.95</f>
        <v>31.856875</v>
      </c>
      <c r="I318" s="55" t="n">
        <f aca="false">SUM(H316:H318)/3</f>
        <v>33.3204636111111</v>
      </c>
      <c r="J318" s="55" t="n">
        <f aca="false">'4.1.1'!E334/1.2</f>
        <v>86.3994974410733</v>
      </c>
      <c r="K318" s="55" t="n">
        <f aca="false">J318-57.95</f>
        <v>28.4494974410733</v>
      </c>
      <c r="L318" s="55" t="n">
        <f aca="false">SUM(K316:K318)/3</f>
        <v>30.8873732391651</v>
      </c>
      <c r="M318" s="55" t="n">
        <f aca="false">'4.1.1'!G334/1.05</f>
        <v>27.2266666666667</v>
      </c>
      <c r="N318" s="57" t="n">
        <f aca="false">M318-0</f>
        <v>27.2266666666667</v>
      </c>
      <c r="O318" s="55" t="n">
        <f aca="false">SUM(N316:N318)/3</f>
        <v>28.5352380952381</v>
      </c>
      <c r="P318" s="55" t="n">
        <f aca="false">'4.1.1'!H334/1.05</f>
        <v>36.287560952381</v>
      </c>
      <c r="Q318" s="57" t="n">
        <f aca="false">P318-11.14</f>
        <v>25.147560952381</v>
      </c>
      <c r="R318" s="55" t="n">
        <f aca="false">SUM(Q316:Q318)/3</f>
        <v>28.1291825396825</v>
      </c>
      <c r="S318" s="84" t="n">
        <f aca="false">H318-K318</f>
        <v>3.40737755892668</v>
      </c>
      <c r="T318" s="55" t="n">
        <f aca="false">AVERAGE(G307:G318)</f>
        <v>95.74871322806</v>
      </c>
      <c r="U318" s="55" t="n">
        <f aca="false">AVERAGE(H307:H318)</f>
        <v>37.79871322806</v>
      </c>
      <c r="V318" s="55" t="n">
        <f aca="false">AVERAGE(J307:J318)</f>
        <v>92.6089667922366</v>
      </c>
      <c r="W318" s="55" t="n">
        <f aca="false">AVERAGE(K307:K318)</f>
        <v>34.6589667922367</v>
      </c>
    </row>
    <row r="319" customFormat="false" ht="14.25" hidden="false" customHeight="true" outlineLevel="0" collapsed="false">
      <c r="A319" s="85" t="n">
        <f aca="false">A307+1</f>
        <v>2016</v>
      </c>
      <c r="B319" s="56" t="n">
        <v>42370</v>
      </c>
      <c r="C319" s="56"/>
      <c r="D319" s="55"/>
      <c r="E319" s="55"/>
      <c r="F319" s="55"/>
      <c r="G319" s="55" t="n">
        <f aca="false">'4.1.1'!F335/1.2</f>
        <v>85.4354966666667</v>
      </c>
      <c r="H319" s="55" t="n">
        <f aca="false">G319-57.95</f>
        <v>27.4854966666667</v>
      </c>
      <c r="I319" s="55"/>
      <c r="J319" s="55" t="n">
        <f aca="false">'4.1.1'!E335/1.2</f>
        <v>84.7853220552408</v>
      </c>
      <c r="K319" s="55" t="n">
        <f aca="false">J319-57.95</f>
        <v>26.8353220552408</v>
      </c>
      <c r="L319" s="55"/>
      <c r="M319" s="55" t="n">
        <f aca="false">'4.1.1'!G335/1.05</f>
        <v>21.7266666666667</v>
      </c>
      <c r="N319" s="57" t="n">
        <f aca="false">M319-0</f>
        <v>21.7266666666667</v>
      </c>
      <c r="O319" s="55"/>
      <c r="P319" s="55" t="n">
        <f aca="false">'4.1.1'!H335/1.05</f>
        <v>33.5102504761905</v>
      </c>
      <c r="Q319" s="57" t="n">
        <f aca="false">P319-11.14</f>
        <v>22.3702504761905</v>
      </c>
      <c r="R319" s="55"/>
      <c r="S319" s="84" t="n">
        <f aca="false">H319-K319</f>
        <v>0.650174611425882</v>
      </c>
      <c r="T319" s="55"/>
      <c r="U319" s="55"/>
      <c r="V319" s="55"/>
      <c r="W319" s="55"/>
    </row>
    <row r="320" customFormat="false" ht="14.25" hidden="false" customHeight="true" outlineLevel="0" collapsed="false">
      <c r="A320" s="85" t="n">
        <f aca="false">A308+1</f>
        <v>2016</v>
      </c>
      <c r="B320" s="56" t="n">
        <v>42401</v>
      </c>
      <c r="C320" s="56"/>
      <c r="D320" s="55"/>
      <c r="E320" s="55"/>
      <c r="F320" s="55"/>
      <c r="G320" s="55" t="n">
        <f aca="false">'4.1.1'!F336/1.2</f>
        <v>84.1840908333333</v>
      </c>
      <c r="H320" s="55" t="n">
        <f aca="false">G320-57.95</f>
        <v>26.2340908333333</v>
      </c>
      <c r="I320" s="55"/>
      <c r="J320" s="55" t="n">
        <f aca="false">'4.1.1'!E336/1.2</f>
        <v>84.5021146431845</v>
      </c>
      <c r="K320" s="55" t="n">
        <f aca="false">J320-57.95</f>
        <v>26.5521146431845</v>
      </c>
      <c r="L320" s="55"/>
      <c r="M320" s="55" t="n">
        <f aca="false">'4.1.1'!G336/1.05</f>
        <v>20.8495238095238</v>
      </c>
      <c r="N320" s="57" t="n">
        <f aca="false">M320-0</f>
        <v>20.8495238095238</v>
      </c>
      <c r="O320" s="55"/>
      <c r="P320" s="55" t="n">
        <f aca="false">'4.1.1'!H336/1.05</f>
        <v>31.866280952381</v>
      </c>
      <c r="Q320" s="57" t="n">
        <f aca="false">P320-11.14</f>
        <v>20.726280952381</v>
      </c>
      <c r="R320" s="55"/>
      <c r="S320" s="84" t="n">
        <f aca="false">H320-K320</f>
        <v>-0.318023809851155</v>
      </c>
      <c r="T320" s="55"/>
      <c r="U320" s="55"/>
      <c r="V320" s="55"/>
      <c r="W320" s="55"/>
    </row>
    <row r="321" customFormat="false" ht="14.25" hidden="false" customHeight="true" outlineLevel="0" collapsed="false">
      <c r="A321" s="85" t="n">
        <f aca="false">A309+1</f>
        <v>2016</v>
      </c>
      <c r="B321" s="56" t="n">
        <v>42430</v>
      </c>
      <c r="C321" s="56"/>
      <c r="D321" s="55"/>
      <c r="E321" s="55"/>
      <c r="F321" s="55"/>
      <c r="G321" s="55" t="n">
        <f aca="false">'4.1.1'!F337/1.2</f>
        <v>85.3325283333333</v>
      </c>
      <c r="H321" s="55" t="n">
        <f aca="false">G321-57.95</f>
        <v>27.3825283333333</v>
      </c>
      <c r="I321" s="55" t="n">
        <f aca="false">SUM(H319:H321)/3</f>
        <v>27.0340386111111</v>
      </c>
      <c r="J321" s="55" t="n">
        <f aca="false">'4.1.1'!E337/1.2</f>
        <v>84.7723823699528</v>
      </c>
      <c r="K321" s="55" t="n">
        <f aca="false">J321-57.95</f>
        <v>26.8223823699528</v>
      </c>
      <c r="L321" s="55" t="n">
        <f aca="false">SUM(K319:K321)/3</f>
        <v>26.736606356126</v>
      </c>
      <c r="M321" s="55" t="n">
        <f aca="false">'4.1.1'!G337/1.05</f>
        <v>25.1695238095238</v>
      </c>
      <c r="N321" s="57" t="n">
        <f aca="false">M321-0</f>
        <v>25.1695238095238</v>
      </c>
      <c r="O321" s="55" t="n">
        <f aca="false">SUM(N319:N321)/3</f>
        <v>22.5819047619048</v>
      </c>
      <c r="P321" s="55" t="n">
        <f aca="false">'4.1.1'!H337/1.05</f>
        <v>36.3941704761905</v>
      </c>
      <c r="Q321" s="57" t="n">
        <f aca="false">P321-11.14</f>
        <v>25.2541704761905</v>
      </c>
      <c r="R321" s="55" t="n">
        <f aca="false">SUM(Q319:Q321)/3</f>
        <v>22.7835673015873</v>
      </c>
      <c r="S321" s="84" t="n">
        <f aca="false">H321-K321</f>
        <v>0.560145963380563</v>
      </c>
      <c r="T321" s="55"/>
      <c r="U321" s="55"/>
      <c r="V321" s="55"/>
      <c r="W321" s="55"/>
    </row>
    <row r="322" customFormat="false" ht="14.25" hidden="false" customHeight="true" outlineLevel="0" collapsed="false">
      <c r="A322" s="85" t="n">
        <f aca="false">A310+1</f>
        <v>2016</v>
      </c>
      <c r="B322" s="56" t="n">
        <v>42461</v>
      </c>
      <c r="C322" s="56"/>
      <c r="D322" s="55"/>
      <c r="E322" s="55"/>
      <c r="F322" s="55"/>
      <c r="G322" s="55" t="n">
        <f aca="false">'4.1.1'!F338/1.2</f>
        <v>89.1195175</v>
      </c>
      <c r="H322" s="55" t="n">
        <f aca="false">G322-57.95</f>
        <v>31.1695175</v>
      </c>
      <c r="I322" s="55"/>
      <c r="J322" s="55" t="n">
        <f aca="false">'4.1.1'!E338/1.2</f>
        <v>88.7023713401409</v>
      </c>
      <c r="K322" s="55" t="n">
        <f aca="false">J322-57.95</f>
        <v>30.7523713401409</v>
      </c>
      <c r="L322" s="55"/>
      <c r="M322" s="55" t="n">
        <f aca="false">'4.1.1'!G338/1.05</f>
        <v>26.0933333333333</v>
      </c>
      <c r="N322" s="57" t="n">
        <f aca="false">M322-0</f>
        <v>26.0933333333333</v>
      </c>
      <c r="O322" s="55"/>
      <c r="P322" s="55" t="n">
        <f aca="false">'4.1.1'!H338/1.05</f>
        <v>36.9866419047619</v>
      </c>
      <c r="Q322" s="57" t="n">
        <f aca="false">P322-11.14</f>
        <v>25.8466419047619</v>
      </c>
      <c r="R322" s="55"/>
      <c r="S322" s="84" t="n">
        <f aca="false">H322-K322</f>
        <v>0.417146159859115</v>
      </c>
      <c r="T322" s="55"/>
      <c r="U322" s="55"/>
      <c r="V322" s="55"/>
      <c r="W322" s="55"/>
    </row>
    <row r="323" customFormat="false" ht="14.25" hidden="false" customHeight="true" outlineLevel="0" collapsed="false">
      <c r="A323" s="85" t="n">
        <f aca="false">A311+1</f>
        <v>2016</v>
      </c>
      <c r="B323" s="56" t="n">
        <v>42491</v>
      </c>
      <c r="C323" s="56"/>
      <c r="D323" s="55"/>
      <c r="E323" s="55"/>
      <c r="F323" s="55"/>
      <c r="G323" s="55" t="n">
        <f aca="false">'4.1.1'!F339/1.2</f>
        <v>90.8924116666667</v>
      </c>
      <c r="H323" s="55" t="n">
        <f aca="false">G323-57.95</f>
        <v>32.9424116666667</v>
      </c>
      <c r="I323" s="55"/>
      <c r="J323" s="55" t="n">
        <f aca="false">'4.1.1'!E339/1.2</f>
        <v>90.361760328359</v>
      </c>
      <c r="K323" s="55" t="n">
        <f aca="false">J323-57.95</f>
        <v>32.411760328359</v>
      </c>
      <c r="L323" s="55"/>
      <c r="M323" s="55" t="n">
        <f aca="false">'4.1.1'!G339/1.05</f>
        <v>28.1504761904762</v>
      </c>
      <c r="N323" s="57" t="n">
        <f aca="false">M323-0</f>
        <v>28.1504761904762</v>
      </c>
      <c r="O323" s="55"/>
      <c r="P323" s="55" t="n">
        <f aca="false">'4.1.1'!H339/1.05</f>
        <v>40.0746914285714</v>
      </c>
      <c r="Q323" s="57" t="n">
        <f aca="false">P323-11.14</f>
        <v>28.9346914285714</v>
      </c>
      <c r="R323" s="55"/>
      <c r="S323" s="84" t="n">
        <f aca="false">H323-K323</f>
        <v>0.53065133830772</v>
      </c>
      <c r="T323" s="55"/>
      <c r="U323" s="55"/>
      <c r="V323" s="55"/>
      <c r="W323" s="55"/>
    </row>
    <row r="324" customFormat="false" ht="14.25" hidden="false" customHeight="true" outlineLevel="0" collapsed="false">
      <c r="A324" s="85" t="n">
        <f aca="false">A312+1</f>
        <v>2016</v>
      </c>
      <c r="B324" s="56" t="n">
        <v>42522</v>
      </c>
      <c r="C324" s="56"/>
      <c r="D324" s="55"/>
      <c r="E324" s="55"/>
      <c r="F324" s="55"/>
      <c r="G324" s="55" t="n">
        <f aca="false">'4.1.1'!F340/1.2</f>
        <v>93.2141608333333</v>
      </c>
      <c r="H324" s="55" t="n">
        <f aca="false">G324-57.95</f>
        <v>35.2641608333333</v>
      </c>
      <c r="I324" s="55" t="n">
        <f aca="false">SUM(H322:H324)/3</f>
        <v>33.1253633333333</v>
      </c>
      <c r="J324" s="55" t="n">
        <f aca="false">'4.1.1'!E340/1.2</f>
        <v>92.4695116770517</v>
      </c>
      <c r="K324" s="55" t="n">
        <f aca="false">J324-57.95</f>
        <v>34.5195116770517</v>
      </c>
      <c r="L324" s="55" t="n">
        <f aca="false">SUM(K322:K324)/3</f>
        <v>32.5612144485172</v>
      </c>
      <c r="M324" s="55" t="n">
        <f aca="false">'4.1.1'!G340/1.05</f>
        <v>30.4809523809524</v>
      </c>
      <c r="N324" s="57" t="n">
        <f aca="false">M324-0</f>
        <v>30.4809523809524</v>
      </c>
      <c r="O324" s="55" t="n">
        <f aca="false">SUM(N322:N324)/3</f>
        <v>28.2415873015873</v>
      </c>
      <c r="P324" s="55" t="n">
        <f aca="false">'4.1.1'!H340/1.05</f>
        <v>42.1898171428571</v>
      </c>
      <c r="Q324" s="57" t="n">
        <f aca="false">P324-11.14</f>
        <v>31.0498171428571</v>
      </c>
      <c r="R324" s="55" t="n">
        <f aca="false">SUM(Q322:Q324)/3</f>
        <v>28.6103834920635</v>
      </c>
      <c r="S324" s="84" t="n">
        <f aca="false">H324-K324</f>
        <v>0.744649156281682</v>
      </c>
      <c r="T324" s="55"/>
      <c r="U324" s="55"/>
      <c r="V324" s="55"/>
      <c r="W324" s="55"/>
    </row>
    <row r="325" customFormat="false" ht="14.25" hidden="false" customHeight="true" outlineLevel="0" collapsed="false">
      <c r="A325" s="85" t="n">
        <f aca="false">A313+1</f>
        <v>2016</v>
      </c>
      <c r="B325" s="56" t="n">
        <v>42552</v>
      </c>
      <c r="C325" s="56"/>
      <c r="D325" s="55"/>
      <c r="E325" s="55"/>
      <c r="F325" s="55"/>
      <c r="G325" s="55" t="n">
        <f aca="false">'4.1.1'!F341/1.2</f>
        <v>93.8757041666667</v>
      </c>
      <c r="H325" s="55" t="n">
        <f aca="false">G325-57.95</f>
        <v>35.9257041666667</v>
      </c>
      <c r="I325" s="55"/>
      <c r="J325" s="55" t="n">
        <f aca="false">'4.1.1'!E341/1.2</f>
        <v>93.052421136358</v>
      </c>
      <c r="K325" s="55" t="n">
        <f aca="false">J325-57.95</f>
        <v>35.102421136358</v>
      </c>
      <c r="L325" s="55"/>
      <c r="M325" s="55" t="n">
        <f aca="false">'4.1.1'!G341/1.05</f>
        <v>30.8409523809524</v>
      </c>
      <c r="N325" s="57" t="n">
        <f aca="false">M325-0</f>
        <v>30.8409523809524</v>
      </c>
      <c r="O325" s="55"/>
      <c r="P325" s="55" t="n">
        <f aca="false">'4.1.1'!H341/1.05</f>
        <v>42.3736304761905</v>
      </c>
      <c r="Q325" s="57" t="n">
        <f aca="false">P325-11.14</f>
        <v>31.2336304761905</v>
      </c>
      <c r="R325" s="55"/>
      <c r="S325" s="84" t="n">
        <f aca="false">H325-K325</f>
        <v>0.823283030308687</v>
      </c>
      <c r="T325" s="55"/>
      <c r="U325" s="55"/>
      <c r="V325" s="55"/>
      <c r="W325" s="55"/>
    </row>
    <row r="326" customFormat="false" ht="14.25" hidden="false" customHeight="true" outlineLevel="0" collapsed="false">
      <c r="A326" s="85" t="n">
        <f aca="false">A314+1</f>
        <v>2016</v>
      </c>
      <c r="B326" s="56" t="n">
        <v>42583</v>
      </c>
      <c r="C326" s="56"/>
      <c r="D326" s="55"/>
      <c r="E326" s="55"/>
      <c r="F326" s="55"/>
      <c r="G326" s="55" t="n">
        <f aca="false">'4.1.1'!F342/1.2</f>
        <v>92.2370916666667</v>
      </c>
      <c r="H326" s="55" t="n">
        <f aca="false">G326-57.95</f>
        <v>34.2870916666667</v>
      </c>
      <c r="I326" s="55"/>
      <c r="J326" s="55" t="n">
        <f aca="false">'4.1.1'!E342/1.2</f>
        <v>90.874670018209</v>
      </c>
      <c r="K326" s="55" t="n">
        <f aca="false">J326-57.95</f>
        <v>32.924670018209</v>
      </c>
      <c r="L326" s="55"/>
      <c r="M326" s="55" t="n">
        <f aca="false">'4.1.1'!G342/1.05</f>
        <v>28.6028571428571</v>
      </c>
      <c r="N326" s="57" t="n">
        <f aca="false">M326-0</f>
        <v>28.6028571428571</v>
      </c>
      <c r="O326" s="55"/>
      <c r="P326" s="55" t="n">
        <f aca="false">'4.1.1'!H342/1.05</f>
        <v>41.6608419047619</v>
      </c>
      <c r="Q326" s="57" t="n">
        <f aca="false">P326-11.14</f>
        <v>30.5208419047619</v>
      </c>
      <c r="R326" s="55"/>
      <c r="S326" s="84" t="n">
        <f aca="false">H326-K326</f>
        <v>1.36242164845768</v>
      </c>
      <c r="T326" s="55"/>
      <c r="U326" s="55"/>
      <c r="V326" s="55"/>
      <c r="W326" s="55"/>
    </row>
    <row r="327" customFormat="false" ht="14.25" hidden="false" customHeight="true" outlineLevel="0" collapsed="false">
      <c r="A327" s="85" t="n">
        <f aca="false">A315+1</f>
        <v>2016</v>
      </c>
      <c r="B327" s="56" t="n">
        <v>42614</v>
      </c>
      <c r="C327" s="56"/>
      <c r="D327" s="55"/>
      <c r="E327" s="55"/>
      <c r="F327" s="55"/>
      <c r="G327" s="55" t="n">
        <f aca="false">'4.1.1'!F343/1.2</f>
        <v>94.3597833333333</v>
      </c>
      <c r="H327" s="55" t="n">
        <f aca="false">G327-57.95</f>
        <v>36.4097833333333</v>
      </c>
      <c r="I327" s="55" t="n">
        <f aca="false">SUM(H325:H327)/3</f>
        <v>35.5408597222222</v>
      </c>
      <c r="J327" s="55" t="n">
        <f aca="false">'4.1.1'!E343/1.2</f>
        <v>92.6759163997587</v>
      </c>
      <c r="K327" s="55" t="n">
        <f aca="false">J327-57.95</f>
        <v>34.7259163997587</v>
      </c>
      <c r="L327" s="55" t="n">
        <f aca="false">SUM(K325:K327)/3</f>
        <v>34.2510025181086</v>
      </c>
      <c r="M327" s="55" t="n">
        <f aca="false">'4.1.1'!G343/1.05</f>
        <v>30.4180952380952</v>
      </c>
      <c r="N327" s="57" t="n">
        <f aca="false">M327-0</f>
        <v>30.4180952380952</v>
      </c>
      <c r="O327" s="55" t="n">
        <f aca="false">SUM(N325:N327)/3</f>
        <v>29.9539682539683</v>
      </c>
      <c r="P327" s="55" t="n">
        <f aca="false">'4.1.1'!H343/1.05</f>
        <v>42.3653876190476</v>
      </c>
      <c r="Q327" s="57" t="n">
        <f aca="false">P327-11.14</f>
        <v>31.2253876190476</v>
      </c>
      <c r="R327" s="55" t="n">
        <f aca="false">SUM(Q325:Q327)/3</f>
        <v>30.9932866666667</v>
      </c>
      <c r="S327" s="84" t="n">
        <f aca="false">H327-K327</f>
        <v>1.68386693357465</v>
      </c>
      <c r="T327" s="55"/>
      <c r="U327" s="55"/>
      <c r="V327" s="55"/>
      <c r="W327" s="55"/>
    </row>
    <row r="328" customFormat="false" ht="14.25" hidden="false" customHeight="true" outlineLevel="0" collapsed="false">
      <c r="A328" s="85" t="n">
        <f aca="false">A316+1</f>
        <v>2016</v>
      </c>
      <c r="B328" s="56" t="n">
        <v>42644</v>
      </c>
      <c r="C328" s="56"/>
      <c r="D328" s="55"/>
      <c r="E328" s="55"/>
      <c r="F328" s="55"/>
      <c r="G328" s="55" t="n">
        <f aca="false">'4.1.1'!F344/1.2</f>
        <v>96.36839</v>
      </c>
      <c r="H328" s="55" t="n">
        <f aca="false">G328-57.95</f>
        <v>38.41839</v>
      </c>
      <c r="I328" s="55"/>
      <c r="J328" s="55" t="n">
        <f aca="false">'4.1.1'!E344/1.2</f>
        <v>94.6292699519371</v>
      </c>
      <c r="K328" s="55" t="n">
        <f aca="false">J328-57.95</f>
        <v>36.6792699519371</v>
      </c>
      <c r="L328" s="55"/>
      <c r="M328" s="55" t="n">
        <f aca="false">'4.1.1'!G344/1.05</f>
        <v>35.6619047619048</v>
      </c>
      <c r="N328" s="57" t="n">
        <f aca="false">M328-0</f>
        <v>35.6619047619048</v>
      </c>
      <c r="O328" s="55"/>
      <c r="P328" s="55" t="n">
        <f aca="false">'4.1.1'!H344/1.05</f>
        <v>47.8576885714286</v>
      </c>
      <c r="Q328" s="57" t="n">
        <f aca="false">P328-11.14</f>
        <v>36.7176885714286</v>
      </c>
      <c r="R328" s="55"/>
      <c r="S328" s="84" t="n">
        <f aca="false">H328-K328</f>
        <v>1.73912004806289</v>
      </c>
      <c r="T328" s="55"/>
      <c r="U328" s="55"/>
      <c r="V328" s="55"/>
      <c r="W328" s="55"/>
    </row>
    <row r="329" customFormat="false" ht="14.25" hidden="false" customHeight="true" outlineLevel="0" collapsed="false">
      <c r="A329" s="85" t="n">
        <f aca="false">A317+1</f>
        <v>2016</v>
      </c>
      <c r="B329" s="56" t="n">
        <v>42675</v>
      </c>
      <c r="C329" s="56"/>
      <c r="D329" s="55"/>
      <c r="E329" s="55"/>
      <c r="F329" s="55"/>
      <c r="G329" s="55" t="n">
        <f aca="false">'4.1.1'!F345/1.2</f>
        <v>98.6335658333334</v>
      </c>
      <c r="H329" s="55" t="n">
        <f aca="false">G329-57.95</f>
        <v>40.6835658333334</v>
      </c>
      <c r="I329" s="55"/>
      <c r="J329" s="55" t="n">
        <f aca="false">'4.1.1'!E345/1.2</f>
        <v>96.5703468849333</v>
      </c>
      <c r="K329" s="55" t="n">
        <f aca="false">J329-57.95</f>
        <v>38.6203468849333</v>
      </c>
      <c r="L329" s="55"/>
      <c r="M329" s="55" t="n">
        <f aca="false">'4.1.1'!G345/1.05</f>
        <v>33.5676190476191</v>
      </c>
      <c r="N329" s="57" t="n">
        <f aca="false">M329-0</f>
        <v>33.5676190476191</v>
      </c>
      <c r="O329" s="55"/>
      <c r="P329" s="55" t="n">
        <f aca="false">'4.1.1'!H345/1.05</f>
        <v>43.9070495238095</v>
      </c>
      <c r="Q329" s="57" t="n">
        <f aca="false">P329-11.14</f>
        <v>32.7670495238095</v>
      </c>
      <c r="R329" s="55"/>
      <c r="S329" s="84" t="n">
        <f aca="false">H329-K329</f>
        <v>2.06321894840002</v>
      </c>
      <c r="T329" s="55"/>
      <c r="U329" s="55"/>
      <c r="V329" s="55"/>
      <c r="W329" s="55"/>
    </row>
    <row r="330" customFormat="false" ht="14.25" hidden="false" customHeight="true" outlineLevel="0" collapsed="false">
      <c r="A330" s="85" t="n">
        <f aca="false">A318+1</f>
        <v>2016</v>
      </c>
      <c r="B330" s="56" t="n">
        <v>42705</v>
      </c>
      <c r="C330" s="56"/>
      <c r="D330" s="55"/>
      <c r="E330" s="55"/>
      <c r="F330" s="55"/>
      <c r="G330" s="55" t="n">
        <f aca="false">'4.1.1'!F346/1.2</f>
        <v>97.6335625</v>
      </c>
      <c r="H330" s="55" t="n">
        <f aca="false">G330-57.95</f>
        <v>39.6835625</v>
      </c>
      <c r="I330" s="55" t="n">
        <f aca="false">SUM(H328:H330)/3</f>
        <v>39.5951727777778</v>
      </c>
      <c r="J330" s="55" t="n">
        <f aca="false">'4.1.1'!E346/1.2</f>
        <v>95.0603163515002</v>
      </c>
      <c r="K330" s="55" t="n">
        <f aca="false">J330-57.95</f>
        <v>37.1103163515002</v>
      </c>
      <c r="L330" s="55" t="n">
        <f aca="false">SUM(K328:K330)/3</f>
        <v>37.4699777294569</v>
      </c>
      <c r="M330" s="55" t="n">
        <f aca="false">'4.1.1'!G346/1.05</f>
        <v>36.7952380952381</v>
      </c>
      <c r="N330" s="57" t="n">
        <f aca="false">M330-0</f>
        <v>36.7952380952381</v>
      </c>
      <c r="O330" s="55" t="n">
        <f aca="false">SUM(N328:N330)/3</f>
        <v>35.3415873015873</v>
      </c>
      <c r="P330" s="55" t="n">
        <f aca="false">'4.1.1'!H346/1.05</f>
        <v>47.6307914285714</v>
      </c>
      <c r="Q330" s="57" t="n">
        <f aca="false">P330-11.14</f>
        <v>36.4907914285714</v>
      </c>
      <c r="R330" s="55" t="n">
        <f aca="false">SUM(Q328:Q330)/3</f>
        <v>35.3251765079365</v>
      </c>
      <c r="S330" s="84" t="n">
        <f aca="false">H330-K330</f>
        <v>2.57324614849978</v>
      </c>
      <c r="T330" s="55" t="n">
        <f aca="false">AVERAGE(G319:G330)</f>
        <v>91.7738586111111</v>
      </c>
      <c r="U330" s="55" t="n">
        <f aca="false">AVERAGE(H319:H330)</f>
        <v>33.8238586111111</v>
      </c>
      <c r="V330" s="55" t="n">
        <f aca="false">AVERAGE(J319:J330)</f>
        <v>90.7047002630522</v>
      </c>
      <c r="W330" s="55" t="n">
        <f aca="false">AVERAGE(K319:K330)</f>
        <v>32.7547002630522</v>
      </c>
    </row>
    <row r="331" customFormat="false" ht="14.25" hidden="false" customHeight="true" outlineLevel="0" collapsed="false">
      <c r="A331" s="85" t="n">
        <f aca="false">A319+1</f>
        <v>2017</v>
      </c>
      <c r="B331" s="56" t="n">
        <v>42736</v>
      </c>
      <c r="C331" s="56"/>
      <c r="D331" s="55"/>
      <c r="E331" s="55"/>
      <c r="F331" s="55"/>
      <c r="G331" s="55" t="n">
        <f aca="false">'4.1.1'!F347/1.2</f>
        <v>101.659593333333</v>
      </c>
      <c r="H331" s="55" t="n">
        <f aca="false">G331-57.95</f>
        <v>43.7095933333333</v>
      </c>
      <c r="I331" s="55"/>
      <c r="J331" s="55" t="n">
        <f aca="false">'4.1.1'!E347/1.2</f>
        <v>98.9124849836928</v>
      </c>
      <c r="K331" s="55" t="n">
        <f aca="false">J331-57.95</f>
        <v>40.9624849836928</v>
      </c>
      <c r="L331" s="55"/>
      <c r="M331" s="55" t="n">
        <f aca="false">'4.1.1'!G347/1.05</f>
        <v>38.7428571428571</v>
      </c>
      <c r="N331" s="57" t="n">
        <f aca="false">M331-0</f>
        <v>38.7428571428571</v>
      </c>
      <c r="O331" s="55"/>
      <c r="P331" s="55" t="n">
        <f aca="false">'4.1.1'!H347/1.05</f>
        <v>49.5114542857143</v>
      </c>
      <c r="Q331" s="57" t="n">
        <f aca="false">P331-11.14</f>
        <v>38.3714542857143</v>
      </c>
      <c r="R331" s="55"/>
      <c r="S331" s="84" t="n">
        <f aca="false">H331-K331</f>
        <v>2.74710834964051</v>
      </c>
      <c r="T331" s="85"/>
      <c r="U331" s="85"/>
      <c r="V331" s="85"/>
      <c r="W331" s="85"/>
    </row>
    <row r="332" customFormat="false" ht="14.25" hidden="false" customHeight="true" outlineLevel="0" collapsed="false">
      <c r="A332" s="85" t="n">
        <f aca="false">A320+1</f>
        <v>2017</v>
      </c>
      <c r="B332" s="56" t="n">
        <v>42767</v>
      </c>
      <c r="C332" s="56"/>
      <c r="D332" s="55"/>
      <c r="E332" s="55"/>
      <c r="F332" s="55"/>
      <c r="G332" s="55" t="n">
        <f aca="false">'4.1.1'!F348/1.2</f>
        <v>102.332461666667</v>
      </c>
      <c r="H332" s="55" t="n">
        <f aca="false">G332-57.95</f>
        <v>44.3824616666667</v>
      </c>
      <c r="I332" s="55"/>
      <c r="J332" s="55" t="n">
        <f aca="false">'4.1.1'!E348/1.2</f>
        <v>99.8854113788992</v>
      </c>
      <c r="K332" s="55" t="n">
        <f aca="false">J332-57.95</f>
        <v>41.9354113788992</v>
      </c>
      <c r="L332" s="55"/>
      <c r="M332" s="55" t="n">
        <f aca="false">'4.1.1'!G348/1.05</f>
        <v>38.4952380952381</v>
      </c>
      <c r="N332" s="57" t="n">
        <f aca="false">M332-0</f>
        <v>38.4952380952381</v>
      </c>
      <c r="O332" s="55"/>
      <c r="P332" s="55" t="n">
        <f aca="false">'4.1.1'!H348/1.05</f>
        <v>49.1865933333333</v>
      </c>
      <c r="Q332" s="57" t="n">
        <f aca="false">P332-11.14</f>
        <v>38.0465933333333</v>
      </c>
      <c r="R332" s="55"/>
      <c r="S332" s="84" t="n">
        <f aca="false">H332-K332</f>
        <v>2.44705028776751</v>
      </c>
      <c r="T332" s="85"/>
      <c r="U332" s="85"/>
      <c r="V332" s="85"/>
      <c r="W332" s="85"/>
    </row>
    <row r="333" customFormat="false" ht="14.25" hidden="false" customHeight="true" outlineLevel="0" collapsed="false">
      <c r="A333" s="85" t="n">
        <f aca="false">A321+1</f>
        <v>2017</v>
      </c>
      <c r="B333" s="56" t="n">
        <v>42795</v>
      </c>
      <c r="C333" s="56"/>
      <c r="D333" s="55"/>
      <c r="E333" s="55"/>
      <c r="F333" s="55"/>
      <c r="G333" s="55" t="n">
        <f aca="false">'4.1.1'!F349/1.2</f>
        <v>101.95</v>
      </c>
      <c r="H333" s="55" t="n">
        <f aca="false">G333-57.95</f>
        <v>44</v>
      </c>
      <c r="I333" s="55" t="n">
        <f aca="false">SUM(H331:H333)/3</f>
        <v>44.030685</v>
      </c>
      <c r="J333" s="55" t="n">
        <f aca="false">'4.1.1'!E349/1.2</f>
        <v>99.4916666666667</v>
      </c>
      <c r="K333" s="55" t="n">
        <f aca="false">J333-57.95</f>
        <v>41.5416666666667</v>
      </c>
      <c r="L333" s="55" t="n">
        <f aca="false">SUM(K331:K333)/3</f>
        <v>41.4798543430862</v>
      </c>
      <c r="M333" s="55" t="n">
        <f aca="false">'4.1.1'!G349/1.05</f>
        <v>37.6952380952381</v>
      </c>
      <c r="N333" s="57" t="n">
        <f aca="false">M333-0</f>
        <v>37.6952380952381</v>
      </c>
      <c r="O333" s="55" t="n">
        <f aca="false">SUM(N331:N333)/3</f>
        <v>38.3111111111111</v>
      </c>
      <c r="P333" s="55" t="n">
        <f aca="false">'4.1.1'!H349/1.05</f>
        <v>49.7238095238095</v>
      </c>
      <c r="Q333" s="57" t="n">
        <f aca="false">P333-11.14</f>
        <v>38.5838095238095</v>
      </c>
      <c r="R333" s="55" t="n">
        <f aca="false">SUM(Q331:Q333)/3</f>
        <v>38.3339523809524</v>
      </c>
      <c r="S333" s="84" t="n">
        <f aca="false">H333-K333</f>
        <v>2.45833333333333</v>
      </c>
      <c r="T333" s="85"/>
      <c r="U333" s="85"/>
      <c r="V333" s="85"/>
      <c r="W333" s="85"/>
    </row>
    <row r="334" customFormat="false" ht="14.25" hidden="false" customHeight="true" outlineLevel="0" collapsed="false">
      <c r="A334" s="85" t="n">
        <f aca="false">A322+1</f>
        <v>2017</v>
      </c>
      <c r="B334" s="56" t="n">
        <v>42826</v>
      </c>
      <c r="C334" s="56"/>
      <c r="D334" s="55"/>
      <c r="E334" s="55"/>
      <c r="F334" s="55"/>
      <c r="G334" s="55" t="n">
        <f aca="false">'4.1.1'!F350/1.2</f>
        <v>99.9099733333334</v>
      </c>
      <c r="H334" s="55" t="n">
        <f aca="false">G334-57.95</f>
        <v>41.9599733333334</v>
      </c>
      <c r="I334" s="55"/>
      <c r="J334" s="55" t="n">
        <f aca="false">'4.1.1'!E350/1.2</f>
        <v>97.7513494129828</v>
      </c>
      <c r="K334" s="55" t="n">
        <f aca="false">J334-57.95</f>
        <v>39.8013494129828</v>
      </c>
      <c r="L334" s="55"/>
      <c r="M334" s="55" t="n">
        <f aca="false">'4.1.1'!G350/1.05</f>
        <v>37.8780952380952</v>
      </c>
      <c r="N334" s="57" t="n">
        <f aca="false">M334-0</f>
        <v>37.8780952380952</v>
      </c>
      <c r="O334" s="55"/>
      <c r="P334" s="55" t="n">
        <f aca="false">'4.1.1'!H350/1.05</f>
        <v>48.9722552380952</v>
      </c>
      <c r="Q334" s="57" t="n">
        <f aca="false">P334-11.14</f>
        <v>37.8322552380952</v>
      </c>
      <c r="R334" s="55"/>
      <c r="S334" s="84" t="n">
        <f aca="false">H334-K334</f>
        <v>2.15862392035058</v>
      </c>
      <c r="T334" s="85"/>
      <c r="U334" s="85"/>
      <c r="V334" s="85"/>
      <c r="W334" s="85"/>
    </row>
    <row r="335" customFormat="false" ht="14.25" hidden="false" customHeight="true" outlineLevel="0" collapsed="false">
      <c r="A335" s="85" t="n">
        <f aca="false">A323+1</f>
        <v>2017</v>
      </c>
      <c r="B335" s="56" t="n">
        <v>42856</v>
      </c>
      <c r="C335" s="56"/>
      <c r="D335" s="55"/>
      <c r="E335" s="55"/>
      <c r="F335" s="55"/>
      <c r="G335" s="55" t="n">
        <f aca="false">'4.1.1'!F351/1.2</f>
        <v>97.8319633333334</v>
      </c>
      <c r="H335" s="55" t="n">
        <f aca="false">G335-57.95</f>
        <v>39.8819633333333</v>
      </c>
      <c r="I335" s="55"/>
      <c r="J335" s="55" t="n">
        <f aca="false">'4.1.1'!E351/1.2</f>
        <v>96.2676636780647</v>
      </c>
      <c r="K335" s="55" t="n">
        <f aca="false">J335-57.95</f>
        <v>38.3176636780647</v>
      </c>
      <c r="L335" s="55"/>
      <c r="M335" s="55" t="n">
        <f aca="false">'4.1.1'!G351/1.05</f>
        <v>34.7352380952381</v>
      </c>
      <c r="N335" s="57" t="n">
        <f aca="false">M335-0</f>
        <v>34.7352380952381</v>
      </c>
      <c r="O335" s="55"/>
      <c r="P335" s="55" t="n">
        <f aca="false">'4.1.1'!H351/1.05</f>
        <v>45.6809333333333</v>
      </c>
      <c r="Q335" s="57" t="n">
        <f aca="false">P335-11.14</f>
        <v>34.5409333333333</v>
      </c>
      <c r="R335" s="55"/>
      <c r="S335" s="84" t="n">
        <f aca="false">H335-K335</f>
        <v>1.5642996552687</v>
      </c>
      <c r="T335" s="85"/>
      <c r="U335" s="85"/>
      <c r="V335" s="85"/>
      <c r="W335" s="85"/>
    </row>
    <row r="336" customFormat="false" ht="14.25" hidden="false" customHeight="true" outlineLevel="0" collapsed="false">
      <c r="A336" s="85" t="n">
        <f aca="false">A324+1</f>
        <v>2017</v>
      </c>
      <c r="B336" s="56" t="n">
        <v>42887</v>
      </c>
      <c r="C336" s="56"/>
      <c r="D336" s="55"/>
      <c r="E336" s="55"/>
      <c r="F336" s="55"/>
      <c r="G336" s="55" t="n">
        <f aca="false">'4.1.1'!F352/1.2</f>
        <v>97.9469591666667</v>
      </c>
      <c r="H336" s="55" t="n">
        <f aca="false">G336-57.95</f>
        <v>39.9969591666667</v>
      </c>
      <c r="I336" s="55" t="n">
        <f aca="false">SUM(H334:H336)/3</f>
        <v>40.6129652777778</v>
      </c>
      <c r="J336" s="55" t="n">
        <f aca="false">'4.1.1'!E352/1.2</f>
        <v>96.2903528764978</v>
      </c>
      <c r="K336" s="55" t="n">
        <f aca="false">J336-57.95</f>
        <v>38.3403528764978</v>
      </c>
      <c r="L336" s="55" t="n">
        <f aca="false">SUM(K334:K336)/3</f>
        <v>38.8197886558484</v>
      </c>
      <c r="M336" s="55" t="n">
        <f aca="false">'4.1.1'!G352/1.05</f>
        <v>34.0295238095238</v>
      </c>
      <c r="N336" s="57" t="n">
        <f aca="false">M336-0</f>
        <v>34.0295238095238</v>
      </c>
      <c r="O336" s="55" t="n">
        <f aca="false">SUM(N334:N336)/3</f>
        <v>35.547619047619</v>
      </c>
      <c r="P336" s="55" t="n">
        <f aca="false">'4.1.1'!H352/1.05</f>
        <v>43.4093723809524</v>
      </c>
      <c r="Q336" s="57" t="n">
        <f aca="false">P336-11.14</f>
        <v>32.2693723809524</v>
      </c>
      <c r="R336" s="55" t="n">
        <f aca="false">SUM(Q334:Q336)/3</f>
        <v>34.8808536507937</v>
      </c>
      <c r="S336" s="84" t="n">
        <f aca="false">H336-K336</f>
        <v>1.65660629016887</v>
      </c>
      <c r="T336" s="85"/>
      <c r="U336" s="85"/>
      <c r="V336" s="85"/>
      <c r="W336" s="85"/>
    </row>
    <row r="337" customFormat="false" ht="14.25" hidden="false" customHeight="true" outlineLevel="0" collapsed="false">
      <c r="A337" s="85" t="n">
        <f aca="false">A325+1</f>
        <v>2017</v>
      </c>
      <c r="B337" s="56" t="n">
        <v>42917</v>
      </c>
      <c r="C337" s="56"/>
      <c r="D337" s="55"/>
      <c r="E337" s="55"/>
      <c r="F337" s="55"/>
      <c r="G337" s="55" t="n">
        <f aca="false">'4.1.1'!F353/1.2</f>
        <v>96.1642708333334</v>
      </c>
      <c r="H337" s="55" t="n">
        <f aca="false">G337-57.95</f>
        <v>38.2142708333333</v>
      </c>
      <c r="I337" s="55"/>
      <c r="J337" s="55" t="n">
        <f aca="false">'4.1.1'!E353/1.2</f>
        <v>94.9204490983557</v>
      </c>
      <c r="K337" s="55" t="n">
        <f aca="false">J337-57.95</f>
        <v>36.9704490983557</v>
      </c>
      <c r="L337" s="55"/>
      <c r="M337" s="55" t="n">
        <f aca="false">'4.1.1'!G353/1.05</f>
        <v>33.3209523809524</v>
      </c>
      <c r="N337" s="57" t="n">
        <f aca="false">M337-0</f>
        <v>33.3209523809524</v>
      </c>
      <c r="O337" s="55"/>
      <c r="P337" s="55" t="n">
        <f aca="false">'4.1.1'!H353/1.05</f>
        <v>44.2541990476191</v>
      </c>
      <c r="Q337" s="57" t="n">
        <f aca="false">P337-11.14</f>
        <v>33.1141990476191</v>
      </c>
      <c r="R337" s="55"/>
      <c r="S337" s="84" t="n">
        <f aca="false">H337-K337</f>
        <v>1.24382173497762</v>
      </c>
      <c r="T337" s="85"/>
      <c r="U337" s="85"/>
      <c r="V337" s="85"/>
      <c r="W337" s="85"/>
    </row>
    <row r="338" customFormat="false" ht="14.25" hidden="false" customHeight="true" outlineLevel="0" collapsed="false">
      <c r="A338" s="85" t="n">
        <f aca="false">A326+1</f>
        <v>2017</v>
      </c>
      <c r="B338" s="56" t="n">
        <v>42948</v>
      </c>
      <c r="C338" s="56"/>
      <c r="D338" s="55"/>
      <c r="E338" s="55"/>
      <c r="F338" s="55"/>
      <c r="G338" s="55" t="n">
        <f aca="false">'4.1.1'!F354/1.2</f>
        <v>97.7886275</v>
      </c>
      <c r="H338" s="55" t="n">
        <f aca="false">G338-57.95</f>
        <v>39.8386275</v>
      </c>
      <c r="I338" s="55"/>
      <c r="J338" s="55" t="n">
        <f aca="false">'4.1.1'!E354/1.2</f>
        <v>96.3672194173749</v>
      </c>
      <c r="K338" s="55" t="n">
        <f aca="false">J338-57.95</f>
        <v>38.4172194173749</v>
      </c>
      <c r="L338" s="55"/>
      <c r="M338" s="55" t="n">
        <f aca="false">'4.1.1'!G354/1.05</f>
        <v>35.1571428571429</v>
      </c>
      <c r="N338" s="57" t="n">
        <f aca="false">M338-0</f>
        <v>35.1571428571429</v>
      </c>
      <c r="O338" s="55"/>
      <c r="P338" s="55" t="n">
        <f aca="false">'4.1.1'!H354/1.05</f>
        <v>46.3724133333333</v>
      </c>
      <c r="Q338" s="57" t="n">
        <f aca="false">P338-11.14</f>
        <v>35.2324133333333</v>
      </c>
      <c r="R338" s="55"/>
      <c r="S338" s="84" t="n">
        <f aca="false">H338-K338</f>
        <v>1.42140808262513</v>
      </c>
      <c r="T338" s="85"/>
      <c r="U338" s="85"/>
      <c r="V338" s="85"/>
      <c r="W338" s="85"/>
    </row>
    <row r="339" customFormat="false" ht="14.25" hidden="false" customHeight="true" outlineLevel="0" collapsed="false">
      <c r="A339" s="85" t="n">
        <f aca="false">A327+1</f>
        <v>2017</v>
      </c>
      <c r="B339" s="56" t="n">
        <v>42979</v>
      </c>
      <c r="C339" s="56"/>
      <c r="D339" s="55"/>
      <c r="E339" s="55"/>
      <c r="F339" s="55"/>
      <c r="G339" s="55" t="n">
        <f aca="false">'4.1.1'!F355/1.2</f>
        <v>100.430445833333</v>
      </c>
      <c r="H339" s="55" t="n">
        <f aca="false">G339-57.95</f>
        <v>42.4804458333333</v>
      </c>
      <c r="I339" s="55" t="n">
        <f aca="false">SUM(H337:H339)/3</f>
        <v>40.1777813888889</v>
      </c>
      <c r="J339" s="55" t="n">
        <f aca="false">'4.1.1'!E355/1.2</f>
        <v>99.1115105042944</v>
      </c>
      <c r="K339" s="55" t="n">
        <f aca="false">J339-57.95</f>
        <v>41.1615105042944</v>
      </c>
      <c r="L339" s="55" t="n">
        <f aca="false">SUM(K337:K339)/3</f>
        <v>38.8497263400083</v>
      </c>
      <c r="M339" s="55" t="n">
        <f aca="false">'4.1.1'!G355/1.05</f>
        <v>36.6695238095238</v>
      </c>
      <c r="N339" s="57" t="n">
        <f aca="false">M339-0</f>
        <v>36.6695238095238</v>
      </c>
      <c r="O339" s="55" t="n">
        <f aca="false">SUM(N337:N339)/3</f>
        <v>35.0492063492064</v>
      </c>
      <c r="P339" s="55" t="n">
        <f aca="false">'4.1.1'!H355/1.05</f>
        <v>48.1839038095238</v>
      </c>
      <c r="Q339" s="57" t="n">
        <f aca="false">P339-11.14</f>
        <v>37.0439038095238</v>
      </c>
      <c r="R339" s="55" t="n">
        <f aca="false">SUM(Q337:Q339)/3</f>
        <v>35.1301720634921</v>
      </c>
      <c r="S339" s="84" t="n">
        <f aca="false">H339-K339</f>
        <v>1.31893532903891</v>
      </c>
      <c r="T339" s="85"/>
      <c r="U339" s="85"/>
      <c r="V339" s="85"/>
      <c r="W339" s="85"/>
    </row>
    <row r="340" customFormat="false" ht="14.25" hidden="false" customHeight="true" outlineLevel="0" collapsed="false">
      <c r="A340" s="85" t="n">
        <f aca="false">A328+1</f>
        <v>2017</v>
      </c>
      <c r="B340" s="56" t="n">
        <v>43009</v>
      </c>
      <c r="C340" s="56"/>
      <c r="D340" s="55"/>
      <c r="E340" s="55"/>
      <c r="F340" s="55"/>
      <c r="G340" s="55" t="n">
        <f aca="false">'4.1.1'!F356/1.2</f>
        <v>100.286403333333</v>
      </c>
      <c r="H340" s="55" t="n">
        <f aca="false">G340-57.95</f>
        <v>42.3364033333334</v>
      </c>
      <c r="I340" s="55"/>
      <c r="J340" s="55" t="n">
        <f aca="false">'4.1.1'!E356/1.2</f>
        <v>97.6250355299223</v>
      </c>
      <c r="K340" s="55" t="n">
        <f aca="false">J340-57.95</f>
        <v>39.6750355299223</v>
      </c>
      <c r="L340" s="55"/>
      <c r="M340" s="55" t="n">
        <f aca="false">'4.1.1'!G356/1.05</f>
        <v>38.0457142857143</v>
      </c>
      <c r="N340" s="57" t="n">
        <f aca="false">M340-0</f>
        <v>38.0457142857143</v>
      </c>
      <c r="O340" s="55"/>
      <c r="P340" s="55" t="n">
        <f aca="false">'4.1.1'!H356/1.05</f>
        <v>49.2262171428571</v>
      </c>
      <c r="Q340" s="57" t="n">
        <f aca="false">P340-11.14</f>
        <v>38.0862171428571</v>
      </c>
      <c r="R340" s="55"/>
      <c r="S340" s="84" t="n">
        <f aca="false">H340-K340</f>
        <v>2.66136780341105</v>
      </c>
      <c r="T340" s="85"/>
      <c r="U340" s="85"/>
      <c r="V340" s="85"/>
      <c r="W340" s="85"/>
    </row>
    <row r="341" customFormat="false" ht="14.25" hidden="false" customHeight="true" outlineLevel="0" collapsed="false">
      <c r="A341" s="85" t="n">
        <f aca="false">A329+1</f>
        <v>2017</v>
      </c>
      <c r="B341" s="56" t="n">
        <v>43040</v>
      </c>
      <c r="C341" s="56"/>
      <c r="D341" s="55"/>
      <c r="E341" s="55"/>
      <c r="F341" s="55"/>
      <c r="G341" s="55" t="n">
        <f aca="false">'4.1.1'!F357/1.2</f>
        <v>102.263534166667</v>
      </c>
      <c r="H341" s="55" t="n">
        <f aca="false">G341-57.95</f>
        <v>44.3135341666667</v>
      </c>
      <c r="I341" s="55"/>
      <c r="J341" s="55" t="n">
        <f aca="false">'4.1.1'!E357/1.2</f>
        <v>99.2707172098283</v>
      </c>
      <c r="K341" s="55" t="n">
        <f aca="false">J341-57.95</f>
        <v>41.3207172098283</v>
      </c>
      <c r="L341" s="55"/>
      <c r="M341" s="55" t="n">
        <f aca="false">'4.1.1'!G357/1.05</f>
        <v>41.3619047619048</v>
      </c>
      <c r="N341" s="57" t="n">
        <f aca="false">M341-0</f>
        <v>41.3619047619048</v>
      </c>
      <c r="O341" s="55"/>
      <c r="P341" s="55" t="n">
        <f aca="false">'4.1.1'!H357/1.05</f>
        <v>51.593060952381</v>
      </c>
      <c r="Q341" s="57" t="n">
        <f aca="false">P341-11.14</f>
        <v>40.453060952381</v>
      </c>
      <c r="R341" s="55"/>
      <c r="S341" s="84" t="n">
        <f aca="false">H341-K341</f>
        <v>2.9928169568384</v>
      </c>
      <c r="T341" s="85"/>
      <c r="U341" s="85"/>
      <c r="V341" s="85"/>
      <c r="W341" s="85"/>
    </row>
    <row r="342" customFormat="false" ht="14.25" hidden="false" customHeight="true" outlineLevel="0" collapsed="false">
      <c r="A342" s="85" t="n">
        <f aca="false">A330+1</f>
        <v>2017</v>
      </c>
      <c r="B342" s="56" t="n">
        <v>43070</v>
      </c>
      <c r="C342" s="56"/>
      <c r="D342" s="55"/>
      <c r="E342" s="55"/>
      <c r="F342" s="55"/>
      <c r="G342" s="55" t="n">
        <f aca="false">'4.1.1'!F358/1.2</f>
        <v>102.928140833333</v>
      </c>
      <c r="H342" s="55" t="n">
        <f aca="false">G342-57.95</f>
        <v>44.9781408333334</v>
      </c>
      <c r="I342" s="55" t="n">
        <f aca="false">SUM(H340:H342)/3</f>
        <v>43.8760261111111</v>
      </c>
      <c r="J342" s="55" t="n">
        <f aca="false">'4.1.1'!E358/1.2</f>
        <v>99.9949654013674</v>
      </c>
      <c r="K342" s="55" t="n">
        <f aca="false">J342-57.95</f>
        <v>42.0449654013674</v>
      </c>
      <c r="L342" s="55" t="n">
        <f aca="false">SUM(K340:K342)/3</f>
        <v>41.013572713706</v>
      </c>
      <c r="M342" s="55" t="n">
        <f aca="false">'4.1.1'!G358/1.05</f>
        <v>41.5123809523809</v>
      </c>
      <c r="N342" s="57" t="n">
        <f aca="false">M342-0</f>
        <v>41.5123809523809</v>
      </c>
      <c r="O342" s="55" t="n">
        <f aca="false">SUM(N340:N342)/3</f>
        <v>40.3066666666667</v>
      </c>
      <c r="P342" s="55" t="n">
        <f aca="false">'4.1.1'!H358/1.05</f>
        <v>50.5813095238095</v>
      </c>
      <c r="Q342" s="57" t="n">
        <f aca="false">P342-11.14</f>
        <v>39.4413095238095</v>
      </c>
      <c r="R342" s="55" t="n">
        <f aca="false">SUM(Q340:Q342)/3</f>
        <v>39.3268625396825</v>
      </c>
      <c r="S342" s="84" t="n">
        <f aca="false">H342-K342</f>
        <v>2.93317543196604</v>
      </c>
      <c r="T342" s="55" t="n">
        <f aca="false">AVERAGE(G331:G342)</f>
        <v>100.124364444444</v>
      </c>
      <c r="U342" s="55" t="n">
        <f aca="false">AVERAGE(H331:H342)</f>
        <v>42.1743644444445</v>
      </c>
      <c r="V342" s="55" t="n">
        <f aca="false">AVERAGE(J331:J342)</f>
        <v>97.9907355131623</v>
      </c>
      <c r="W342" s="55" t="n">
        <f aca="false">AVERAGE(K331:K342)</f>
        <v>40.0407355131622</v>
      </c>
    </row>
    <row r="343" customFormat="false" ht="14.25" hidden="false" customHeight="true" outlineLevel="0" collapsed="false">
      <c r="A343" s="85" t="n">
        <f aca="false">A331+1</f>
        <v>2018</v>
      </c>
      <c r="B343" s="56" t="n">
        <v>43101</v>
      </c>
      <c r="C343" s="56"/>
      <c r="D343" s="55"/>
      <c r="E343" s="55"/>
      <c r="F343" s="55"/>
      <c r="G343" s="55" t="n">
        <f aca="false">'4.1.1'!F359/1.2</f>
        <v>103.79491</v>
      </c>
      <c r="H343" s="55" t="n">
        <f aca="false">G343-57.95</f>
        <v>45.84491</v>
      </c>
      <c r="I343" s="55"/>
      <c r="J343" s="55" t="n">
        <f aca="false">'4.1.1'!E359/1.2</f>
        <v>100.967625146545</v>
      </c>
      <c r="K343" s="55" t="n">
        <f aca="false">J343-57.95</f>
        <v>43.017625146545</v>
      </c>
      <c r="L343" s="55"/>
      <c r="M343" s="55" t="n">
        <f aca="false">'4.1.1'!G359/1.05</f>
        <v>43.732380952381</v>
      </c>
      <c r="N343" s="57" t="n">
        <f aca="false">M343-0</f>
        <v>43.732380952381</v>
      </c>
      <c r="O343" s="55"/>
      <c r="P343" s="55" t="n">
        <f aca="false">'4.1.1'!H359/1.05</f>
        <v>52.867799047619</v>
      </c>
      <c r="Q343" s="57" t="n">
        <f aca="false">P343-11.14</f>
        <v>41.727799047619</v>
      </c>
      <c r="R343" s="55"/>
      <c r="S343" s="84" t="n">
        <f aca="false">H343-K343</f>
        <v>2.827284853455</v>
      </c>
      <c r="T343" s="85"/>
      <c r="U343" s="85"/>
      <c r="V343" s="85"/>
      <c r="W343" s="85"/>
    </row>
    <row r="344" customFormat="false" ht="14.25" hidden="false" customHeight="true" outlineLevel="0" collapsed="false">
      <c r="A344" s="85" t="n">
        <f aca="false">A332+1</f>
        <v>2018</v>
      </c>
      <c r="B344" s="56" t="n">
        <v>43132</v>
      </c>
      <c r="C344" s="56"/>
      <c r="D344" s="55"/>
      <c r="E344" s="55"/>
      <c r="F344" s="55"/>
      <c r="G344" s="55" t="n">
        <f aca="false">'4.1.1'!F360/1.2</f>
        <v>103.88507</v>
      </c>
      <c r="H344" s="55" t="n">
        <f aca="false">G344-57.95</f>
        <v>45.93507</v>
      </c>
      <c r="I344" s="55"/>
      <c r="J344" s="55" t="n">
        <f aca="false">'4.1.1'!E360/1.2</f>
        <v>101.201450731929</v>
      </c>
      <c r="K344" s="55" t="n">
        <f aca="false">J344-57.95</f>
        <v>43.2514507319291</v>
      </c>
      <c r="L344" s="55"/>
      <c r="M344" s="55" t="n">
        <f aca="false">'4.1.1'!G360/1.05</f>
        <v>40.8295238095238</v>
      </c>
      <c r="N344" s="57" t="n">
        <f aca="false">M344-0</f>
        <v>40.8295238095238</v>
      </c>
      <c r="O344" s="55"/>
      <c r="P344" s="55" t="n">
        <f aca="false">'4.1.1'!H360/1.05</f>
        <v>49.4621552380952</v>
      </c>
      <c r="Q344" s="57" t="n">
        <f aca="false">P344-11.14</f>
        <v>38.3221552380952</v>
      </c>
      <c r="R344" s="55"/>
      <c r="S344" s="84" t="n">
        <f aca="false">H344-K344</f>
        <v>2.68361926807087</v>
      </c>
      <c r="T344" s="85"/>
      <c r="U344" s="85"/>
      <c r="V344" s="85"/>
      <c r="W344" s="85"/>
    </row>
    <row r="345" customFormat="false" ht="14.25" hidden="false" customHeight="true" outlineLevel="0" collapsed="false">
      <c r="A345" s="85" t="n">
        <f aca="false">A333+1</f>
        <v>2018</v>
      </c>
      <c r="B345" s="56" t="n">
        <v>43160</v>
      </c>
      <c r="C345" s="56"/>
      <c r="D345" s="55"/>
      <c r="E345" s="55"/>
      <c r="F345" s="55"/>
      <c r="G345" s="55" t="n">
        <f aca="false">'4.1.1'!F361/1.2</f>
        <v>102.328894166667</v>
      </c>
      <c r="H345" s="55" t="n">
        <f aca="false">G345-57.95</f>
        <v>44.3788941666667</v>
      </c>
      <c r="I345" s="55" t="n">
        <f aca="false">SUM(H343:H345)/3</f>
        <v>45.3862913888889</v>
      </c>
      <c r="J345" s="55" t="n">
        <f aca="false">'4.1.1'!E361/1.2</f>
        <v>99.2577838818754</v>
      </c>
      <c r="K345" s="55" t="n">
        <f aca="false">J345-57.95</f>
        <v>41.3077838818754</v>
      </c>
      <c r="L345" s="55" t="n">
        <f aca="false">SUM(K343:K345)/3</f>
        <v>42.5256199201165</v>
      </c>
      <c r="M345" s="55" t="n">
        <f aca="false">'4.1.1'!G361/1.05</f>
        <v>42.092380952381</v>
      </c>
      <c r="N345" s="57" t="n">
        <f aca="false">M345-0</f>
        <v>42.092380952381</v>
      </c>
      <c r="O345" s="55" t="n">
        <f aca="false">SUM(N343:N345)/3</f>
        <v>42.2180952380952</v>
      </c>
      <c r="P345" s="55" t="n">
        <f aca="false">'4.1.1'!H361/1.05</f>
        <v>50.0072904761905</v>
      </c>
      <c r="Q345" s="57" t="n">
        <f aca="false">P345-11.14</f>
        <v>38.8672904761905</v>
      </c>
      <c r="R345" s="55" t="n">
        <f aca="false">SUM(Q343:Q345)/3</f>
        <v>39.6390815873016</v>
      </c>
      <c r="S345" s="84" t="n">
        <f aca="false">H345-K345</f>
        <v>3.07111028479127</v>
      </c>
      <c r="T345" s="85"/>
      <c r="U345" s="85"/>
      <c r="V345" s="85"/>
      <c r="W345" s="85"/>
    </row>
    <row r="346" customFormat="false" ht="14.25" hidden="false" customHeight="true" outlineLevel="0" collapsed="false">
      <c r="A346" s="85" t="n">
        <f aca="false">A334+1</f>
        <v>2018</v>
      </c>
      <c r="B346" s="56" t="n">
        <v>43191</v>
      </c>
      <c r="C346" s="56"/>
      <c r="D346" s="55"/>
      <c r="E346" s="55"/>
      <c r="F346" s="55"/>
      <c r="G346" s="55" t="n">
        <f aca="false">'4.1.1'!F362/1.2</f>
        <v>103.465829166667</v>
      </c>
      <c r="H346" s="55" t="n">
        <f aca="false">G346-57.95</f>
        <v>45.5158291666667</v>
      </c>
      <c r="I346" s="55"/>
      <c r="J346" s="55" t="n">
        <f aca="false">'4.1.1'!E362/1.2</f>
        <v>100.478352674819</v>
      </c>
      <c r="K346" s="55" t="n">
        <f aca="false">J346-57.95</f>
        <v>42.5283526748192</v>
      </c>
      <c r="L346" s="55"/>
      <c r="M346" s="55" t="n">
        <f aca="false">'4.1.1'!G362/1.05</f>
        <v>43.7457142857143</v>
      </c>
      <c r="N346" s="57" t="n">
        <f aca="false">M346-0</f>
        <v>43.7457142857143</v>
      </c>
      <c r="O346" s="55"/>
      <c r="P346" s="55" t="n">
        <f aca="false">'4.1.1'!H362/1.05</f>
        <v>52.7915009523809</v>
      </c>
      <c r="Q346" s="57" t="n">
        <f aca="false">P346-11.14</f>
        <v>41.6515009523809</v>
      </c>
      <c r="R346" s="55"/>
      <c r="S346" s="84" t="n">
        <f aca="false">H346-K346</f>
        <v>2.9874764918475</v>
      </c>
      <c r="T346" s="85"/>
      <c r="U346" s="85"/>
      <c r="V346" s="85"/>
      <c r="W346" s="85"/>
    </row>
    <row r="347" customFormat="false" ht="14.25" hidden="false" customHeight="true" outlineLevel="0" collapsed="false">
      <c r="A347" s="85" t="n">
        <f aca="false">A335+1</f>
        <v>2018</v>
      </c>
      <c r="B347" s="56" t="n">
        <v>43221</v>
      </c>
      <c r="C347" s="56"/>
      <c r="D347" s="55"/>
      <c r="E347" s="55"/>
      <c r="F347" s="55"/>
      <c r="G347" s="55" t="n">
        <f aca="false">'4.1.1'!F363/1.2</f>
        <v>106.908496666667</v>
      </c>
      <c r="H347" s="55" t="n">
        <f aca="false">G347-57.95</f>
        <v>48.9584966666667</v>
      </c>
      <c r="I347" s="55"/>
      <c r="J347" s="55" t="n">
        <f aca="false">'4.1.1'!E363/1.2</f>
        <v>103.891271635038</v>
      </c>
      <c r="K347" s="55" t="n">
        <f aca="false">J347-57.95</f>
        <v>45.9412716350376</v>
      </c>
      <c r="L347" s="55"/>
      <c r="M347" s="55" t="n">
        <f aca="false">'4.1.1'!G363/1.05</f>
        <v>47.1333333333333</v>
      </c>
      <c r="N347" s="57" t="n">
        <f aca="false">M347-0</f>
        <v>47.1333333333333</v>
      </c>
      <c r="O347" s="55"/>
      <c r="P347" s="55" t="n">
        <f aca="false">'4.1.1'!H363/1.05</f>
        <v>57.72446</v>
      </c>
      <c r="Q347" s="57" t="n">
        <f aca="false">P347-11.14</f>
        <v>46.58446</v>
      </c>
      <c r="R347" s="55"/>
      <c r="S347" s="84" t="n">
        <f aca="false">H347-K347</f>
        <v>3.01722503162911</v>
      </c>
      <c r="T347" s="85"/>
      <c r="U347" s="85"/>
      <c r="V347" s="85"/>
      <c r="W347" s="85"/>
    </row>
    <row r="348" customFormat="false" ht="14.25" hidden="false" customHeight="true" outlineLevel="0" collapsed="false">
      <c r="A348" s="85" t="n">
        <f aca="false">A336+1</f>
        <v>2018</v>
      </c>
      <c r="B348" s="56" t="n">
        <v>43252</v>
      </c>
      <c r="C348" s="56"/>
      <c r="D348" s="55"/>
      <c r="E348" s="55"/>
      <c r="F348" s="55"/>
      <c r="G348" s="55" t="n">
        <f aca="false">'4.1.1'!F364/1.2</f>
        <v>109.89693</v>
      </c>
      <c r="H348" s="55" t="n">
        <f aca="false">G348-57.95</f>
        <v>51.94693</v>
      </c>
      <c r="I348" s="55" t="n">
        <f aca="false">SUM(H346:H348)/3</f>
        <v>48.8070852777778</v>
      </c>
      <c r="J348" s="55" t="n">
        <f aca="false">'4.1.1'!E364/1.2</f>
        <v>106.620815783258</v>
      </c>
      <c r="K348" s="55" t="n">
        <f aca="false">J348-57.95</f>
        <v>48.6708157832577</v>
      </c>
      <c r="L348" s="55" t="n">
        <f aca="false">SUM(K346:K348)/3</f>
        <v>45.7134800310382</v>
      </c>
      <c r="M348" s="55" t="n">
        <f aca="false">'4.1.1'!G364/1.05</f>
        <v>46.6038095238095</v>
      </c>
      <c r="N348" s="57" t="n">
        <f aca="false">M348-0</f>
        <v>46.6038095238095</v>
      </c>
      <c r="O348" s="55" t="n">
        <f aca="false">SUM(N346:N348)/3</f>
        <v>45.827619047619</v>
      </c>
      <c r="P348" s="55" t="n">
        <f aca="false">'4.1.1'!H364/1.05</f>
        <v>57.9799019047619</v>
      </c>
      <c r="Q348" s="57" t="n">
        <f aca="false">P348-11.14</f>
        <v>46.8399019047619</v>
      </c>
      <c r="R348" s="55" t="n">
        <f aca="false">SUM(Q346:Q348)/3</f>
        <v>45.0252876190476</v>
      </c>
      <c r="S348" s="84" t="n">
        <f aca="false">H348-K348</f>
        <v>3.2761142167423</v>
      </c>
      <c r="T348" s="85"/>
      <c r="U348" s="85"/>
      <c r="V348" s="85"/>
      <c r="W348" s="85"/>
    </row>
    <row r="349" customFormat="false" ht="14.25" hidden="false" customHeight="true" outlineLevel="0" collapsed="false">
      <c r="A349" s="85" t="n">
        <f aca="false">A337+1</f>
        <v>2018</v>
      </c>
      <c r="B349" s="56" t="n">
        <v>43282</v>
      </c>
      <c r="C349" s="56"/>
      <c r="D349" s="55"/>
      <c r="E349" s="55"/>
      <c r="F349" s="55"/>
      <c r="G349" s="55" t="n">
        <f aca="false">'4.1.1'!F365/1.2</f>
        <v>109.831158333333</v>
      </c>
      <c r="H349" s="55" t="n">
        <f aca="false">G349-57.95</f>
        <v>51.8811583333334</v>
      </c>
      <c r="I349" s="55"/>
      <c r="J349" s="55" t="n">
        <f aca="false">'4.1.1'!E365/1.2</f>
        <v>106.348195788794</v>
      </c>
      <c r="K349" s="55" t="n">
        <f aca="false">J349-57.95</f>
        <v>48.3981957887935</v>
      </c>
      <c r="L349" s="55"/>
      <c r="M349" s="55" t="n">
        <f aca="false">'4.1.1'!G365/1.05</f>
        <v>46.1561904761905</v>
      </c>
      <c r="N349" s="57" t="n">
        <f aca="false">M349-0</f>
        <v>46.1561904761905</v>
      </c>
      <c r="O349" s="55"/>
      <c r="P349" s="55" t="n">
        <f aca="false">'4.1.1'!H365/1.05</f>
        <v>58.0106028571429</v>
      </c>
      <c r="Q349" s="57" t="n">
        <f aca="false">P349-11.14</f>
        <v>46.8706028571429</v>
      </c>
      <c r="R349" s="55"/>
      <c r="S349" s="84" t="n">
        <f aca="false">H349-K349</f>
        <v>3.48296254453986</v>
      </c>
      <c r="T349" s="85"/>
      <c r="U349" s="85"/>
      <c r="V349" s="85"/>
      <c r="W349" s="85"/>
    </row>
    <row r="350" customFormat="false" ht="14.25" hidden="false" customHeight="true" outlineLevel="0" collapsed="false">
      <c r="A350" s="85" t="n">
        <f aca="false">A338+1</f>
        <v>2018</v>
      </c>
      <c r="B350" s="56" t="n">
        <v>43313</v>
      </c>
      <c r="C350" s="56"/>
      <c r="D350" s="55"/>
      <c r="E350" s="55"/>
      <c r="F350" s="55"/>
      <c r="G350" s="55" t="n">
        <f aca="false">'4.1.1'!F366/1.2</f>
        <v>110.408485</v>
      </c>
      <c r="H350" s="55" t="n">
        <f aca="false">G350-57.95</f>
        <v>52.458485</v>
      </c>
      <c r="I350" s="55"/>
      <c r="J350" s="55" t="n">
        <f aca="false">'4.1.1'!E366/1.2</f>
        <v>107.180062970385</v>
      </c>
      <c r="K350" s="55" t="n">
        <f aca="false">J350-57.95</f>
        <v>49.2300629703848</v>
      </c>
      <c r="L350" s="55"/>
      <c r="M350" s="55" t="n">
        <f aca="false">'4.1.1'!G366/1.05</f>
        <v>46.7609523809524</v>
      </c>
      <c r="N350" s="57" t="n">
        <f aca="false">M350-0</f>
        <v>46.7609523809524</v>
      </c>
      <c r="O350" s="55"/>
      <c r="P350" s="55" t="n">
        <f aca="false">'4.1.1'!H366/1.05</f>
        <v>58.8743485714286</v>
      </c>
      <c r="Q350" s="57" t="n">
        <f aca="false">P350-11.14</f>
        <v>47.7343485714286</v>
      </c>
      <c r="R350" s="55"/>
      <c r="S350" s="84" t="n">
        <f aca="false">H350-K350</f>
        <v>3.22842202961525</v>
      </c>
      <c r="T350" s="85"/>
      <c r="U350" s="85"/>
      <c r="V350" s="85"/>
      <c r="W350" s="85"/>
    </row>
    <row r="351" customFormat="false" ht="14.25" hidden="false" customHeight="true" outlineLevel="0" collapsed="false">
      <c r="A351" s="85" t="n">
        <f aca="false">A339+1</f>
        <v>2018</v>
      </c>
      <c r="B351" s="56" t="n">
        <v>43344</v>
      </c>
      <c r="C351" s="56"/>
      <c r="D351" s="55"/>
      <c r="E351" s="55"/>
      <c r="F351" s="55"/>
      <c r="G351" s="55" t="n">
        <f aca="false">'4.1.1'!F367/1.2</f>
        <v>112.068991666667</v>
      </c>
      <c r="H351" s="55" t="n">
        <f aca="false">G351-57.95</f>
        <v>54.1189916666667</v>
      </c>
      <c r="I351" s="55" t="n">
        <f aca="false">SUM(H349:H351)/3</f>
        <v>52.819545</v>
      </c>
      <c r="J351" s="55" t="n">
        <f aca="false">'4.1.1'!E367/1.2</f>
        <v>108.959370326466</v>
      </c>
      <c r="K351" s="55" t="n">
        <f aca="false">J351-57.95</f>
        <v>51.0093703264659</v>
      </c>
      <c r="L351" s="55" t="n">
        <f aca="false">SUM(K349:K351)/3</f>
        <v>49.5458763618814</v>
      </c>
      <c r="M351" s="55" t="n">
        <f aca="false">'4.1.1'!G367/1.05</f>
        <v>48.8552380952381</v>
      </c>
      <c r="N351" s="57" t="n">
        <f aca="false">M351-0</f>
        <v>48.8552380952381</v>
      </c>
      <c r="O351" s="55" t="n">
        <f aca="false">SUM(N349:N351)/3</f>
        <v>47.2574603174603</v>
      </c>
      <c r="P351" s="55" t="n">
        <f aca="false">'4.1.1'!H367/1.05</f>
        <v>60.7591123809524</v>
      </c>
      <c r="Q351" s="57" t="n">
        <f aca="false">P351-11.14</f>
        <v>49.6191123809524</v>
      </c>
      <c r="R351" s="55" t="n">
        <f aca="false">SUM(Q349:Q351)/3</f>
        <v>48.0746879365079</v>
      </c>
      <c r="S351" s="84" t="n">
        <f aca="false">H351-K351</f>
        <v>3.10962134020083</v>
      </c>
      <c r="T351" s="85"/>
      <c r="U351" s="85"/>
      <c r="V351" s="85"/>
      <c r="W351" s="85"/>
    </row>
    <row r="352" customFormat="false" ht="14.25" hidden="false" customHeight="true" outlineLevel="0" collapsed="false">
      <c r="A352" s="85" t="n">
        <f aca="false">A340+1</f>
        <v>2018</v>
      </c>
      <c r="B352" s="56" t="n">
        <v>43374</v>
      </c>
      <c r="C352" s="56"/>
      <c r="D352" s="55"/>
      <c r="E352" s="55"/>
      <c r="F352" s="55"/>
      <c r="G352" s="55" t="n">
        <f aca="false">'4.1.1'!F368/1.2</f>
        <v>113.8471775</v>
      </c>
      <c r="H352" s="55" t="n">
        <f aca="false">G352-57.95</f>
        <v>55.8971775</v>
      </c>
      <c r="I352" s="55"/>
      <c r="J352" s="55" t="n">
        <f aca="false">'4.1.1'!E368/1.2</f>
        <v>109.067966972776</v>
      </c>
      <c r="K352" s="55" t="n">
        <f aca="false">J352-57.95</f>
        <v>51.117966972776</v>
      </c>
      <c r="L352" s="55"/>
      <c r="M352" s="55" t="n">
        <f aca="false">'4.1.1'!G368/1.05</f>
        <v>51.0447619047619</v>
      </c>
      <c r="N352" s="57" t="n">
        <f aca="false">M352-0</f>
        <v>51.0447619047619</v>
      </c>
      <c r="O352" s="55"/>
      <c r="P352" s="55" t="n">
        <f aca="false">'4.1.1'!H368/1.05</f>
        <v>63.2986628571429</v>
      </c>
      <c r="Q352" s="57" t="n">
        <f aca="false">P352-11.14</f>
        <v>52.1586628571429</v>
      </c>
      <c r="R352" s="55"/>
      <c r="S352" s="84" t="n">
        <f aca="false">H352-K352</f>
        <v>4.77921052722402</v>
      </c>
      <c r="T352" s="85"/>
      <c r="U352" s="85"/>
      <c r="V352" s="85"/>
      <c r="W352" s="85"/>
    </row>
    <row r="353" customFormat="false" ht="14.25" hidden="false" customHeight="true" outlineLevel="0" collapsed="false">
      <c r="A353" s="85" t="n">
        <f aca="false">A341+1</f>
        <v>2018</v>
      </c>
      <c r="B353" s="56" t="n">
        <v>43405</v>
      </c>
      <c r="C353" s="56"/>
      <c r="D353" s="55"/>
      <c r="E353" s="55"/>
      <c r="F353" s="55"/>
      <c r="G353" s="55" t="n">
        <f aca="false">'4.1.1'!F369/1.2</f>
        <v>114.215545</v>
      </c>
      <c r="H353" s="55" t="n">
        <f aca="false">G353-57.95</f>
        <v>56.265545</v>
      </c>
      <c r="I353" s="55"/>
      <c r="J353" s="55" t="n">
        <f aca="false">'4.1.1'!E369/1.2</f>
        <v>107.175910574657</v>
      </c>
      <c r="K353" s="55" t="n">
        <f aca="false">J353-57.95</f>
        <v>49.2259105746573</v>
      </c>
      <c r="L353" s="55"/>
      <c r="M353" s="55" t="n">
        <f aca="false">'4.1.1'!G369/1.05</f>
        <v>49.1028571428571</v>
      </c>
      <c r="N353" s="57" t="n">
        <f aca="false">M353-0</f>
        <v>49.1028571428571</v>
      </c>
      <c r="O353" s="55"/>
      <c r="P353" s="55" t="n">
        <f aca="false">'4.1.1'!H369/1.05</f>
        <v>60.7794180952381</v>
      </c>
      <c r="Q353" s="57" t="n">
        <f aca="false">P353-11.14</f>
        <v>49.6394180952381</v>
      </c>
      <c r="R353" s="55"/>
      <c r="S353" s="84" t="n">
        <f aca="false">H353-K353</f>
        <v>7.03963442534274</v>
      </c>
      <c r="T353" s="85"/>
      <c r="U353" s="85"/>
      <c r="V353" s="85"/>
      <c r="W353" s="85"/>
    </row>
    <row r="354" customFormat="false" ht="14.25" hidden="false" customHeight="true" outlineLevel="0" collapsed="false">
      <c r="A354" s="85" t="n">
        <f aca="false">A342+1</f>
        <v>2018</v>
      </c>
      <c r="B354" s="56" t="n">
        <v>43435</v>
      </c>
      <c r="C354" s="56"/>
      <c r="D354" s="55"/>
      <c r="E354" s="55"/>
      <c r="F354" s="55"/>
      <c r="G354" s="55" t="n">
        <f aca="false">'4.1.1'!F370/1.2</f>
        <v>109.170176666667</v>
      </c>
      <c r="H354" s="55" t="n">
        <f aca="false">G354-57.95</f>
        <v>51.2201766666667</v>
      </c>
      <c r="I354" s="55" t="n">
        <f aca="false">SUM(H352:H354)/3</f>
        <v>54.4609663888889</v>
      </c>
      <c r="J354" s="55" t="n">
        <f aca="false">'4.1.1'!E370/1.2</f>
        <v>100.81090550708</v>
      </c>
      <c r="K354" s="55" t="n">
        <f aca="false">J354-57.95</f>
        <v>42.8609055070801</v>
      </c>
      <c r="L354" s="55" t="n">
        <f aca="false">SUM(K352:K354)/3</f>
        <v>47.7349276848378</v>
      </c>
      <c r="M354" s="55" t="n">
        <f aca="false">'4.1.1'!G370/1.05</f>
        <v>44.7304761904762</v>
      </c>
      <c r="N354" s="57" t="n">
        <f aca="false">M354-0</f>
        <v>44.7304761904762</v>
      </c>
      <c r="O354" s="55" t="n">
        <f aca="false">SUM(N352:N354)/3</f>
        <v>48.2926984126984</v>
      </c>
      <c r="P354" s="55" t="n">
        <f aca="false">'4.1.1'!H370/1.05</f>
        <v>56.1701904761905</v>
      </c>
      <c r="Q354" s="57" t="n">
        <f aca="false">P354-11.14</f>
        <v>45.0301904761905</v>
      </c>
      <c r="R354" s="55" t="n">
        <f aca="false">SUM(Q352:Q354)/3</f>
        <v>48.9427571428571</v>
      </c>
      <c r="S354" s="84" t="n">
        <f aca="false">H354-K354</f>
        <v>8.35927115958653</v>
      </c>
      <c r="T354" s="55" t="n">
        <f aca="false">AVERAGE(G343:G354)</f>
        <v>108.318472013889</v>
      </c>
      <c r="U354" s="55" t="n">
        <f aca="false">AVERAGE(H343:H354)</f>
        <v>50.3684720138889</v>
      </c>
      <c r="V354" s="55" t="n">
        <f aca="false">AVERAGE(J343:J354)</f>
        <v>104.329975999468</v>
      </c>
      <c r="W354" s="55" t="n">
        <f aca="false">AVERAGE(K343:K354)</f>
        <v>46.3799759994685</v>
      </c>
    </row>
    <row r="355" customFormat="false" ht="14.25" hidden="false" customHeight="true" outlineLevel="0" collapsed="false">
      <c r="A355" s="85" t="n">
        <f aca="false">A343+1</f>
        <v>2019</v>
      </c>
      <c r="B355" s="56" t="n">
        <v>43466</v>
      </c>
      <c r="C355" s="56"/>
      <c r="D355" s="55"/>
      <c r="E355" s="55"/>
      <c r="F355" s="55"/>
      <c r="G355" s="55" t="n">
        <f aca="false">'4.1.1'!F371/1.2</f>
        <v>107.723614166667</v>
      </c>
      <c r="H355" s="55" t="n">
        <f aca="false">G355-57.95</f>
        <v>49.7736141666667</v>
      </c>
      <c r="I355" s="55"/>
      <c r="J355" s="55" t="n">
        <f aca="false">'4.1.1'!E371/1.2</f>
        <v>99.5471200140632</v>
      </c>
      <c r="K355" s="55" t="n">
        <f aca="false">J355-57.95</f>
        <v>41.5971200140632</v>
      </c>
      <c r="L355" s="55"/>
      <c r="M355" s="55" t="n">
        <f aca="false">'4.1.1'!G371/1.05</f>
        <v>44.3685714285714</v>
      </c>
      <c r="N355" s="57" t="n">
        <f aca="false">M355-0</f>
        <v>44.3685714285714</v>
      </c>
      <c r="O355" s="55"/>
      <c r="P355" s="55" t="n">
        <f aca="false">'4.1.1'!H371/1.05</f>
        <v>54.02104</v>
      </c>
      <c r="Q355" s="57" t="n">
        <f aca="false">P355-11.14</f>
        <v>42.88104</v>
      </c>
      <c r="R355" s="55"/>
      <c r="S355" s="84" t="n">
        <f aca="false">H355-K355</f>
        <v>8.17649415260347</v>
      </c>
      <c r="T355" s="55"/>
      <c r="U355" s="55"/>
      <c r="V355" s="55"/>
      <c r="W355" s="55"/>
    </row>
    <row r="356" customFormat="false" ht="14.25" hidden="false" customHeight="true" outlineLevel="0" collapsed="false">
      <c r="A356" s="85" t="n">
        <f aca="false">A344+1</f>
        <v>2019</v>
      </c>
      <c r="B356" s="56" t="n">
        <v>43497</v>
      </c>
      <c r="C356" s="56"/>
      <c r="D356" s="55"/>
      <c r="E356" s="55"/>
      <c r="F356" s="55"/>
      <c r="G356" s="55" t="n">
        <f aca="false">'4.1.1'!F372/1.2</f>
        <v>107.444775833333</v>
      </c>
      <c r="H356" s="55" t="n">
        <f aca="false">G356-57.95</f>
        <v>49.4947758333334</v>
      </c>
      <c r="I356" s="55"/>
      <c r="J356" s="55" t="n">
        <f aca="false">'4.1.1'!E372/1.2</f>
        <v>99.0458135726172</v>
      </c>
      <c r="K356" s="55" t="n">
        <f aca="false">J356-57.95</f>
        <v>41.0958135726172</v>
      </c>
      <c r="L356" s="55"/>
      <c r="M356" s="55" t="n">
        <f aca="false">'4.1.1'!G372/1.05</f>
        <v>44.9685714285714</v>
      </c>
      <c r="N356" s="57" t="n">
        <f aca="false">M356-0</f>
        <v>44.9685714285714</v>
      </c>
      <c r="O356" s="55"/>
      <c r="P356" s="55" t="n">
        <f aca="false">'4.1.1'!H372/1.05</f>
        <v>56.50844</v>
      </c>
      <c r="Q356" s="57" t="n">
        <f aca="false">P356-11.14</f>
        <v>45.36844</v>
      </c>
      <c r="R356" s="55"/>
      <c r="S356" s="84" t="n">
        <f aca="false">H356-K356</f>
        <v>8.39896226071619</v>
      </c>
      <c r="T356" s="55"/>
      <c r="U356" s="55"/>
      <c r="V356" s="55"/>
      <c r="W356" s="55"/>
    </row>
    <row r="357" customFormat="false" ht="14.25" hidden="false" customHeight="true" outlineLevel="0" collapsed="false">
      <c r="A357" s="85" t="n">
        <f aca="false">A345+1</f>
        <v>2019</v>
      </c>
      <c r="B357" s="56" t="n">
        <v>43525</v>
      </c>
      <c r="C357" s="56"/>
      <c r="D357" s="55"/>
      <c r="E357" s="55"/>
      <c r="F357" s="55"/>
      <c r="G357" s="55" t="n">
        <f aca="false">'4.1.1'!F373/1.2</f>
        <v>108.931051666667</v>
      </c>
      <c r="H357" s="55" t="n">
        <f aca="false">G357-57.95</f>
        <v>50.9810516666667</v>
      </c>
      <c r="I357" s="55" t="n">
        <f aca="false">SUM(H355:H357)/3</f>
        <v>50.0831472222222</v>
      </c>
      <c r="J357" s="55" t="n">
        <f aca="false">'4.1.1'!E373/1.2</f>
        <v>100.343244836781</v>
      </c>
      <c r="K357" s="55" t="n">
        <f aca="false">J357-57.95</f>
        <v>42.3932448367808</v>
      </c>
      <c r="L357" s="55" t="n">
        <f aca="false">SUM(K355:K357)/3</f>
        <v>41.6953928078204</v>
      </c>
      <c r="M357" s="55" t="n">
        <f aca="false">'4.1.1'!G373/1.05</f>
        <v>44.3742857142857</v>
      </c>
      <c r="N357" s="57" t="n">
        <f aca="false">M357-0</f>
        <v>44.3742857142857</v>
      </c>
      <c r="O357" s="55" t="n">
        <f aca="false">SUM(N355:N357)/3</f>
        <v>44.5704761904762</v>
      </c>
      <c r="P357" s="55" t="n">
        <f aca="false">'4.1.1'!H373/1.05</f>
        <v>55.3767314285714</v>
      </c>
      <c r="Q357" s="57" t="n">
        <f aca="false">P357-11.14</f>
        <v>44.2367314285714</v>
      </c>
      <c r="R357" s="55" t="n">
        <f aca="false">SUM(Q355:Q357)/3</f>
        <v>44.1620704761905</v>
      </c>
      <c r="S357" s="84" t="n">
        <f aca="false">H357-K357</f>
        <v>8.58780682988588</v>
      </c>
      <c r="T357" s="55"/>
      <c r="U357" s="55"/>
      <c r="V357" s="55"/>
      <c r="W357" s="55"/>
    </row>
    <row r="358" customFormat="false" ht="14.25" hidden="false" customHeight="true" outlineLevel="0" collapsed="false">
      <c r="A358" s="85" t="n">
        <f aca="false">A346+1</f>
        <v>2019</v>
      </c>
      <c r="B358" s="56" t="n">
        <v>43556</v>
      </c>
      <c r="C358" s="56"/>
      <c r="D358" s="55"/>
      <c r="E358" s="55"/>
      <c r="F358" s="55"/>
      <c r="G358" s="55" t="n">
        <f aca="false">'4.1.1'!F374/1.2</f>
        <v>110.710583333333</v>
      </c>
      <c r="H358" s="55" t="n">
        <f aca="false">G358-57.95</f>
        <v>52.7605833333334</v>
      </c>
      <c r="I358" s="55"/>
      <c r="J358" s="55" t="n">
        <f aca="false">'4.1.1'!E374/1.2</f>
        <v>103.412955014493</v>
      </c>
      <c r="K358" s="55" t="n">
        <f aca="false">J358-57.95</f>
        <v>45.4629550144928</v>
      </c>
      <c r="L358" s="55"/>
      <c r="M358" s="55" t="n">
        <f aca="false">'4.1.1'!G374/1.05</f>
        <v>45.587619047619</v>
      </c>
      <c r="N358" s="57" t="n">
        <f aca="false">M358-0</f>
        <v>45.587619047619</v>
      </c>
      <c r="O358" s="55"/>
      <c r="P358" s="55" t="n">
        <f aca="false">'4.1.1'!H374/1.05</f>
        <v>57.3136076190476</v>
      </c>
      <c r="Q358" s="57" t="n">
        <f aca="false">P358-11.14</f>
        <v>46.1736076190476</v>
      </c>
      <c r="R358" s="55"/>
      <c r="S358" s="84" t="n">
        <f aca="false">H358-K358</f>
        <v>7.29762831884055</v>
      </c>
      <c r="T358" s="55"/>
      <c r="U358" s="55"/>
      <c r="V358" s="55"/>
      <c r="W358" s="55"/>
    </row>
    <row r="359" customFormat="false" ht="14.25" hidden="false" customHeight="true" outlineLevel="0" collapsed="false">
      <c r="A359" s="85" t="n">
        <f aca="false">A347+1</f>
        <v>2019</v>
      </c>
      <c r="B359" s="56" t="n">
        <v>43586</v>
      </c>
      <c r="C359" s="56"/>
      <c r="D359" s="55"/>
      <c r="E359" s="55"/>
      <c r="F359" s="55"/>
      <c r="G359" s="55" t="n">
        <f aca="false">'4.1.1'!F375/1.2</f>
        <v>112.77371</v>
      </c>
      <c r="H359" s="55" t="n">
        <f aca="false">G359-57.95</f>
        <v>54.82371</v>
      </c>
      <c r="I359" s="55"/>
      <c r="J359" s="55" t="n">
        <f aca="false">'4.1.1'!E375/1.2</f>
        <v>106.724473376294</v>
      </c>
      <c r="K359" s="55" t="n">
        <f aca="false">J359-57.95</f>
        <v>48.7744733762942</v>
      </c>
      <c r="L359" s="55"/>
      <c r="M359" s="55" t="n">
        <f aca="false">'4.1.1'!G375/1.05</f>
        <v>45.5571428571429</v>
      </c>
      <c r="N359" s="57" t="n">
        <f aca="false">M359-0</f>
        <v>45.5571428571429</v>
      </c>
      <c r="O359" s="55"/>
      <c r="P359" s="55" t="n">
        <f aca="false">'4.1.1'!H375/1.05</f>
        <v>57.9143219047619</v>
      </c>
      <c r="Q359" s="57" t="n">
        <f aca="false">P359-11.14</f>
        <v>46.7743219047619</v>
      </c>
      <c r="R359" s="55"/>
      <c r="S359" s="84" t="n">
        <f aca="false">H359-K359</f>
        <v>6.04923662370578</v>
      </c>
      <c r="T359" s="55"/>
      <c r="U359" s="55"/>
      <c r="V359" s="55"/>
      <c r="W359" s="55"/>
    </row>
    <row r="360" customFormat="false" ht="14.25" hidden="false" customHeight="true" outlineLevel="0" collapsed="false">
      <c r="A360" s="85" t="n">
        <f aca="false">A348+1</f>
        <v>2019</v>
      </c>
      <c r="B360" s="56" t="n">
        <v>43617</v>
      </c>
      <c r="C360" s="56"/>
      <c r="D360" s="55"/>
      <c r="E360" s="55"/>
      <c r="F360" s="55"/>
      <c r="G360" s="55" t="n">
        <f aca="false">'4.1.1'!F376/1.2</f>
        <v>111.158731666667</v>
      </c>
      <c r="H360" s="55" t="n">
        <f aca="false">G360-57.95</f>
        <v>53.2087316666667</v>
      </c>
      <c r="I360" s="55" t="n">
        <f aca="false">SUM(H358:H360)/3</f>
        <v>53.597675</v>
      </c>
      <c r="J360" s="55" t="n">
        <f aca="false">'4.1.1'!E376/1.2</f>
        <v>106.358546220258</v>
      </c>
      <c r="K360" s="55" t="n">
        <f aca="false">J360-57.95</f>
        <v>48.4085462202576</v>
      </c>
      <c r="L360" s="55" t="n">
        <f aca="false">SUM(K358:K360)/3</f>
        <v>47.5486582036816</v>
      </c>
      <c r="M360" s="55" t="n">
        <f aca="false">'4.1.1'!G376/1.05</f>
        <v>42.1628571428571</v>
      </c>
      <c r="N360" s="57" t="n">
        <f aca="false">M360-0</f>
        <v>42.1628571428571</v>
      </c>
      <c r="O360" s="55" t="n">
        <f aca="false">SUM(N358:N360)/3</f>
        <v>44.435873015873</v>
      </c>
      <c r="P360" s="55" t="n">
        <f aca="false">'4.1.1'!H376/1.05</f>
        <v>54.5332447619048</v>
      </c>
      <c r="Q360" s="57" t="n">
        <f aca="false">P360-11.14</f>
        <v>43.3932447619048</v>
      </c>
      <c r="R360" s="55" t="n">
        <f aca="false">SUM(Q358:Q360)/3</f>
        <v>45.4470580952381</v>
      </c>
      <c r="S360" s="84" t="n">
        <f aca="false">H360-K360</f>
        <v>4.8001854464091</v>
      </c>
      <c r="T360" s="55"/>
      <c r="U360" s="55"/>
      <c r="V360" s="55"/>
      <c r="W360" s="55"/>
    </row>
    <row r="361" customFormat="false" ht="14.25" hidden="false" customHeight="true" outlineLevel="0" collapsed="false">
      <c r="A361" s="85" t="n">
        <f aca="false">A349+1</f>
        <v>2019</v>
      </c>
      <c r="B361" s="56" t="n">
        <v>43647</v>
      </c>
      <c r="C361" s="56"/>
      <c r="D361" s="55"/>
      <c r="E361" s="55"/>
      <c r="F361" s="55"/>
      <c r="G361" s="55" t="n">
        <f aca="false">'4.1.1'!F377/1.2</f>
        <v>109.800599166667</v>
      </c>
      <c r="H361" s="55" t="n">
        <f aca="false">G361-57.95</f>
        <v>51.8505991666667</v>
      </c>
      <c r="I361" s="55"/>
      <c r="J361" s="55" t="n">
        <f aca="false">'4.1.1'!E377/1.2</f>
        <v>106.153701032907</v>
      </c>
      <c r="K361" s="55" t="n">
        <f aca="false">J361-57.95</f>
        <v>48.2037010329068</v>
      </c>
      <c r="L361" s="55"/>
      <c r="M361" s="55" t="n">
        <f aca="false">'4.1.1'!G377/1.05</f>
        <v>45.1685714285714</v>
      </c>
      <c r="N361" s="57" t="n">
        <f aca="false">M361-0</f>
        <v>45.1685714285714</v>
      </c>
      <c r="O361" s="55"/>
      <c r="P361" s="55" t="n">
        <f aca="false">'4.1.1'!H377/1.05</f>
        <v>56.917200952381</v>
      </c>
      <c r="Q361" s="57" t="n">
        <f aca="false">P361-11.14</f>
        <v>45.777200952381</v>
      </c>
      <c r="R361" s="55"/>
      <c r="S361" s="84" t="n">
        <f aca="false">H361-K361</f>
        <v>3.64689813375985</v>
      </c>
      <c r="T361" s="55"/>
      <c r="U361" s="55"/>
      <c r="V361" s="55"/>
      <c r="W361" s="55"/>
    </row>
    <row r="362" customFormat="false" ht="14.25" hidden="false" customHeight="true" outlineLevel="0" collapsed="false">
      <c r="A362" s="85" t="n">
        <f aca="false">A350+1</f>
        <v>2019</v>
      </c>
      <c r="B362" s="56" t="n">
        <v>43678</v>
      </c>
      <c r="C362" s="56"/>
      <c r="D362" s="55"/>
      <c r="E362" s="55"/>
      <c r="F362" s="55"/>
      <c r="G362" s="55" t="n">
        <f aca="false">'4.1.1'!F378/1.2</f>
        <v>110.48056</v>
      </c>
      <c r="H362" s="55" t="n">
        <f aca="false">G362-57.95</f>
        <v>52.53056</v>
      </c>
      <c r="I362" s="55"/>
      <c r="J362" s="55" t="n">
        <f aca="false">'4.1.1'!E378/1.2</f>
        <v>107.091377090423</v>
      </c>
      <c r="K362" s="55" t="n">
        <f aca="false">J362-57.95</f>
        <v>49.1413770904227</v>
      </c>
      <c r="L362" s="55"/>
      <c r="M362" s="55" t="n">
        <f aca="false">'4.1.1'!G378/1.05</f>
        <v>45.2371428571429</v>
      </c>
      <c r="N362" s="57" t="n">
        <f aca="false">M362-0</f>
        <v>45.2371428571429</v>
      </c>
      <c r="O362" s="55"/>
      <c r="P362" s="55" t="n">
        <f aca="false">'4.1.1'!H378/1.05</f>
        <v>55.9969904761905</v>
      </c>
      <c r="Q362" s="57" t="n">
        <f aca="false">P362-11.14</f>
        <v>44.8569904761905</v>
      </c>
      <c r="R362" s="55"/>
      <c r="S362" s="84" t="n">
        <f aca="false">H362-K362</f>
        <v>3.3891829095773</v>
      </c>
      <c r="T362" s="55"/>
      <c r="U362" s="55"/>
      <c r="V362" s="55"/>
      <c r="W362" s="55"/>
    </row>
    <row r="363" customFormat="false" ht="14.25" hidden="false" customHeight="true" outlineLevel="0" collapsed="false">
      <c r="A363" s="85" t="n">
        <f aca="false">A351+1</f>
        <v>2019</v>
      </c>
      <c r="B363" s="56" t="n">
        <v>43709</v>
      </c>
      <c r="C363" s="56"/>
      <c r="D363" s="55"/>
      <c r="E363" s="55"/>
      <c r="F363" s="55"/>
      <c r="G363" s="55" t="n">
        <f aca="false">'4.1.1'!F379/1.2</f>
        <v>109.39199</v>
      </c>
      <c r="H363" s="55" t="n">
        <f aca="false">G363-57.95</f>
        <v>51.44199</v>
      </c>
      <c r="I363" s="55" t="n">
        <f aca="false">SUM(H361:H363)/3</f>
        <v>51.9410497222222</v>
      </c>
      <c r="J363" s="55" t="n">
        <f aca="false">'4.1.1'!E379/1.2</f>
        <v>105.828785885952</v>
      </c>
      <c r="K363" s="55" t="n">
        <f aca="false">J363-57.95</f>
        <v>47.8787858859521</v>
      </c>
      <c r="L363" s="55" t="n">
        <f aca="false">SUM(K361:K363)/3</f>
        <v>48.4079546697605</v>
      </c>
      <c r="M363" s="55" t="n">
        <f aca="false">'4.1.1'!G379/1.05</f>
        <v>44.4666666666667</v>
      </c>
      <c r="N363" s="57" t="n">
        <f aca="false">M363-0</f>
        <v>44.4666666666667</v>
      </c>
      <c r="O363" s="55" t="n">
        <f aca="false">SUM(N361:N363)/3</f>
        <v>44.9574603174603</v>
      </c>
      <c r="P363" s="55" t="n">
        <f aca="false">'4.1.1'!H379/1.05</f>
        <v>57.1444657142857</v>
      </c>
      <c r="Q363" s="57" t="n">
        <f aca="false">P363-11.14</f>
        <v>46.0044657142857</v>
      </c>
      <c r="R363" s="55" t="n">
        <f aca="false">SUM(Q361:Q363)/3</f>
        <v>45.5462190476191</v>
      </c>
      <c r="S363" s="84" t="n">
        <f aca="false">H363-K363</f>
        <v>3.56320411404795</v>
      </c>
      <c r="T363" s="55"/>
      <c r="U363" s="55"/>
      <c r="V363" s="55"/>
      <c r="W363" s="55"/>
    </row>
    <row r="364" customFormat="false" ht="14.25" hidden="false" customHeight="true" outlineLevel="0" collapsed="false">
      <c r="A364" s="85" t="n">
        <f aca="false">A352+1</f>
        <v>2019</v>
      </c>
      <c r="B364" s="56" t="n">
        <v>43739</v>
      </c>
      <c r="C364" s="56"/>
      <c r="D364" s="56"/>
      <c r="E364" s="56"/>
      <c r="F364" s="56"/>
      <c r="G364" s="55" t="n">
        <f aca="false">'4.1.1'!F380/1.2</f>
        <v>109.910668333333</v>
      </c>
      <c r="H364" s="55" t="n">
        <f aca="false">G364-57.95</f>
        <v>51.9606683333333</v>
      </c>
      <c r="I364" s="55"/>
      <c r="J364" s="55" t="n">
        <f aca="false">'4.1.1'!E380/1.2</f>
        <v>105.890520316728</v>
      </c>
      <c r="K364" s="55" t="n">
        <f aca="false">J364-57.95</f>
        <v>47.9405203167284</v>
      </c>
      <c r="L364" s="55"/>
      <c r="M364" s="55" t="n">
        <f aca="false">'4.1.1'!G380/1.05</f>
        <v>46.0361904761905</v>
      </c>
      <c r="N364" s="57" t="n">
        <f aca="false">M364-0</f>
        <v>46.0361904761905</v>
      </c>
      <c r="O364" s="55"/>
      <c r="P364" s="55" t="n">
        <f aca="false">'4.1.1'!H380/1.05</f>
        <v>56.451880952381</v>
      </c>
      <c r="Q364" s="57" t="n">
        <f aca="false">P364-11.14</f>
        <v>45.311880952381</v>
      </c>
      <c r="R364" s="55"/>
      <c r="S364" s="84" t="n">
        <f aca="false">H364-K364</f>
        <v>4.02014801660499</v>
      </c>
      <c r="T364" s="55"/>
      <c r="U364" s="55"/>
      <c r="V364" s="55"/>
      <c r="W364" s="55"/>
    </row>
    <row r="365" customFormat="false" ht="14.25" hidden="false" customHeight="true" outlineLevel="0" collapsed="false">
      <c r="A365" s="85" t="n">
        <f aca="false">A353+1</f>
        <v>2019</v>
      </c>
      <c r="B365" s="56" t="n">
        <v>43770</v>
      </c>
      <c r="C365" s="56"/>
      <c r="D365" s="95"/>
      <c r="E365" s="95"/>
      <c r="F365" s="95"/>
      <c r="G365" s="55" t="n">
        <f aca="false">'4.1.1'!F381/1.2</f>
        <v>108.569996666667</v>
      </c>
      <c r="H365" s="55" t="n">
        <f aca="false">G365-57.95</f>
        <v>50.6199966666667</v>
      </c>
      <c r="I365" s="55"/>
      <c r="J365" s="55" t="n">
        <f aca="false">'4.1.1'!E381/1.2</f>
        <v>104.704425884751</v>
      </c>
      <c r="K365" s="55" t="n">
        <f aca="false">J365-57.95</f>
        <v>46.7544258847514</v>
      </c>
      <c r="L365" s="55"/>
      <c r="M365" s="55" t="n">
        <f aca="false">'4.1.1'!G381/1.05</f>
        <v>44.2761904761905</v>
      </c>
      <c r="N365" s="57" t="n">
        <f aca="false">M365-0</f>
        <v>44.2761904761905</v>
      </c>
      <c r="O365" s="55"/>
      <c r="P365" s="55" t="n">
        <f aca="false">'4.1.1'!H381/1.05</f>
        <v>55.5971761904762</v>
      </c>
      <c r="Q365" s="57" t="n">
        <f aca="false">P365-11.14</f>
        <v>44.4571761904762</v>
      </c>
      <c r="R365" s="55"/>
      <c r="S365" s="84" t="n">
        <f aca="false">H365-K365</f>
        <v>3.86557078191528</v>
      </c>
      <c r="T365" s="55"/>
      <c r="U365" s="55"/>
      <c r="V365" s="55"/>
      <c r="W365" s="55"/>
    </row>
    <row r="366" customFormat="false" ht="14.25" hidden="false" customHeight="true" outlineLevel="0" collapsed="false">
      <c r="A366" s="85" t="n">
        <f aca="false">A354+1</f>
        <v>2019</v>
      </c>
      <c r="B366" s="56" t="n">
        <v>43800</v>
      </c>
      <c r="C366" s="56"/>
      <c r="D366" s="96"/>
      <c r="E366" s="96"/>
      <c r="F366" s="96"/>
      <c r="G366" s="55" t="n">
        <f aca="false">'4.1.1'!F382/1.2</f>
        <v>107.858348333333</v>
      </c>
      <c r="H366" s="55" t="n">
        <f aca="false">G366-57.95</f>
        <v>49.9083483333334</v>
      </c>
      <c r="I366" s="55" t="n">
        <f aca="false">SUM(H364:H366)/3</f>
        <v>50.8296711111111</v>
      </c>
      <c r="J366" s="55" t="n">
        <f aca="false">'4.1.1'!E382/1.2</f>
        <v>103.679021713023</v>
      </c>
      <c r="K366" s="55" t="n">
        <f aca="false">J366-57.95</f>
        <v>45.7290217130225</v>
      </c>
      <c r="L366" s="55" t="n">
        <f aca="false">SUM(K364:K366)/3</f>
        <v>46.8079893048341</v>
      </c>
      <c r="M366" s="55" t="n">
        <f aca="false">'4.1.1'!G382/1.05</f>
        <v>44.0971428571429</v>
      </c>
      <c r="N366" s="57" t="n">
        <f aca="false">M366-0</f>
        <v>44.0971428571429</v>
      </c>
      <c r="O366" s="55" t="n">
        <f aca="false">SUM(N364:N366)/3</f>
        <v>44.8031746031746</v>
      </c>
      <c r="P366" s="55" t="n">
        <f aca="false">'4.1.1'!H382/1.05</f>
        <v>54.7799752380952</v>
      </c>
      <c r="Q366" s="57" t="n">
        <f aca="false">P366-11.14</f>
        <v>43.6399752380952</v>
      </c>
      <c r="R366" s="55" t="n">
        <f aca="false">SUM(Q364:Q366)/3</f>
        <v>44.4696774603175</v>
      </c>
      <c r="S366" s="84" t="n">
        <f aca="false">H366-K366</f>
        <v>4.17932662031082</v>
      </c>
      <c r="T366" s="55" t="n">
        <f aca="false">AVERAGE(G355:G366)</f>
        <v>109.562885763889</v>
      </c>
      <c r="U366" s="55" t="n">
        <f aca="false">AVERAGE(H355:H366)</f>
        <v>51.6128857638889</v>
      </c>
      <c r="V366" s="55" t="n">
        <f aca="false">AVERAGE(J355:J366)</f>
        <v>104.064998746524</v>
      </c>
      <c r="W366" s="55" t="n">
        <f aca="false">AVERAGE(K355:K366)</f>
        <v>46.1149987465241</v>
      </c>
    </row>
    <row r="367" customFormat="false" ht="14.25" hidden="false" customHeight="true" outlineLevel="0" collapsed="false">
      <c r="A367" s="85" t="n">
        <v>2020</v>
      </c>
      <c r="B367" s="56" t="n">
        <v>43831</v>
      </c>
      <c r="C367" s="56"/>
      <c r="D367" s="96"/>
      <c r="E367" s="96"/>
      <c r="F367" s="96"/>
      <c r="G367" s="55" t="n">
        <f aca="false">'4.1.1'!F383/1.2</f>
        <v>110.5286225</v>
      </c>
      <c r="H367" s="55" t="n">
        <f aca="false">G367-57.95</f>
        <v>52.5786225</v>
      </c>
      <c r="I367" s="55"/>
      <c r="J367" s="55" t="n">
        <f aca="false">'4.1.1'!E383/1.2</f>
        <v>105.950445831525</v>
      </c>
      <c r="K367" s="55" t="n">
        <f aca="false">J367-57.95</f>
        <v>48.0004458315254</v>
      </c>
      <c r="L367" s="55"/>
      <c r="M367" s="55" t="n">
        <f aca="false">'4.1.1'!G383/1.05</f>
        <v>45.9019047619048</v>
      </c>
      <c r="N367" s="57" t="n">
        <f aca="false">M367-0</f>
        <v>45.9019047619048</v>
      </c>
      <c r="O367" s="55"/>
      <c r="P367" s="55" t="n">
        <f aca="false">'4.1.1'!H383/1.05</f>
        <v>56.9714904761905</v>
      </c>
      <c r="Q367" s="57" t="n">
        <f aca="false">P367-11.14</f>
        <v>45.8314904761905</v>
      </c>
      <c r="R367" s="55"/>
      <c r="S367" s="84" t="n">
        <f aca="false">H367-K367</f>
        <v>4.5781766684746</v>
      </c>
    </row>
    <row r="368" customFormat="false" ht="14.25" hidden="false" customHeight="true" outlineLevel="0" collapsed="false">
      <c r="A368" s="85" t="n">
        <v>2020</v>
      </c>
      <c r="B368" s="56" t="n">
        <v>43862</v>
      </c>
      <c r="C368" s="56"/>
      <c r="D368" s="96"/>
      <c r="E368" s="96"/>
      <c r="F368" s="96"/>
      <c r="G368" s="55" t="n">
        <f aca="false">'4.1.1'!F384/1.2</f>
        <v>106.4908575</v>
      </c>
      <c r="H368" s="55" t="n">
        <f aca="false">G368-57.95</f>
        <v>48.5408575</v>
      </c>
      <c r="I368" s="55"/>
      <c r="J368" s="55" t="n">
        <f aca="false">'4.1.1'!E384/1.2</f>
        <v>102.980893298834</v>
      </c>
      <c r="K368" s="55" t="n">
        <f aca="false">J368-57.95</f>
        <v>45.0308932988337</v>
      </c>
      <c r="L368" s="55"/>
      <c r="M368" s="55" t="n">
        <f aca="false">'4.1.1'!G384/1.05</f>
        <v>39.1066666666667</v>
      </c>
      <c r="N368" s="57" t="n">
        <f aca="false">M368-0</f>
        <v>39.1066666666667</v>
      </c>
      <c r="O368" s="55"/>
      <c r="P368" s="55" t="n">
        <f aca="false">'4.1.1'!H384/1.05</f>
        <v>51.6193361904762</v>
      </c>
      <c r="Q368" s="57" t="n">
        <f aca="false">P368-11.14</f>
        <v>40.4793361904762</v>
      </c>
      <c r="R368" s="55"/>
      <c r="S368" s="84" t="n">
        <f aca="false">H368-K368</f>
        <v>3.50996420116628</v>
      </c>
    </row>
    <row r="369" customFormat="false" ht="14.25" hidden="false" customHeight="true" outlineLevel="0" collapsed="false">
      <c r="A369" s="85" t="n">
        <v>2020</v>
      </c>
      <c r="B369" s="56" t="n">
        <v>43891</v>
      </c>
      <c r="C369" s="56"/>
      <c r="D369" s="96"/>
      <c r="E369" s="96"/>
      <c r="F369" s="96"/>
      <c r="G369" s="55" t="n">
        <f aca="false">'4.1.1'!F385/1.2</f>
        <v>103.4068925</v>
      </c>
      <c r="H369" s="55" t="n">
        <f aca="false">G369-57.95</f>
        <v>45.4568925</v>
      </c>
      <c r="I369" s="55" t="n">
        <f aca="false">SUM(H367:H369)/3</f>
        <v>48.8587908333334</v>
      </c>
      <c r="J369" s="55" t="n">
        <f aca="false">'4.1.1'!E385/1.2</f>
        <v>100.199353409175</v>
      </c>
      <c r="K369" s="55" t="n">
        <f aca="false">J369-57.95</f>
        <v>42.2493534091754</v>
      </c>
      <c r="L369" s="55" t="n">
        <f aca="false">SUM(K367:K369)/3</f>
        <v>45.0935641798448</v>
      </c>
      <c r="M369" s="55" t="n">
        <f aca="false">'4.1.1'!G385/1.05</f>
        <v>30.42</v>
      </c>
      <c r="N369" s="57" t="n">
        <f aca="false">M369-0</f>
        <v>30.42</v>
      </c>
      <c r="O369" s="55" t="n">
        <f aca="false">SUM(N367:N369)/3</f>
        <v>38.4761904761905</v>
      </c>
      <c r="P369" s="55" t="n">
        <f aca="false">'4.1.1'!H385/1.05</f>
        <v>44.0239361904762</v>
      </c>
      <c r="Q369" s="57" t="n">
        <f aca="false">P369-11.14</f>
        <v>32.8839361904762</v>
      </c>
      <c r="R369" s="55" t="n">
        <f aca="false">SUM(Q367:Q369)/3</f>
        <v>39.7315876190476</v>
      </c>
      <c r="S369" s="84" t="n">
        <f aca="false">H369-K369</f>
        <v>3.20753909082465</v>
      </c>
    </row>
    <row r="370" customFormat="false" ht="14.25" hidden="false" customHeight="true" outlineLevel="0" collapsed="false">
      <c r="A370" s="85" t="n">
        <v>2020</v>
      </c>
      <c r="B370" s="56" t="n">
        <v>43922</v>
      </c>
      <c r="C370" s="56"/>
      <c r="D370" s="96"/>
      <c r="E370" s="96"/>
      <c r="F370" s="96"/>
      <c r="G370" s="55" t="n">
        <f aca="false">'4.1.1'!F386/1.2</f>
        <v>96.51119</v>
      </c>
      <c r="H370" s="55" t="n">
        <f aca="false">G370-57.95</f>
        <v>38.56119</v>
      </c>
      <c r="I370" s="55"/>
      <c r="J370" s="55" t="n">
        <f aca="false">'4.1.1'!E386/1.2</f>
        <v>90.8085407834167</v>
      </c>
      <c r="K370" s="55" t="n">
        <f aca="false">J370-57.95</f>
        <v>32.8585407834167</v>
      </c>
      <c r="L370" s="55"/>
      <c r="M370" s="55" t="n">
        <f aca="false">'4.1.1'!G386/1.05</f>
        <v>21.352380952381</v>
      </c>
      <c r="N370" s="57" t="n">
        <f aca="false">M370-0</f>
        <v>21.352380952381</v>
      </c>
      <c r="O370" s="55"/>
      <c r="P370" s="55" t="n">
        <f aca="false">'4.1.1'!H386/1.05</f>
        <v>39.2635047619048</v>
      </c>
      <c r="Q370" s="57" t="n">
        <f aca="false">P370-11.14</f>
        <v>28.1235047619048</v>
      </c>
      <c r="R370" s="55"/>
      <c r="S370" s="84" t="n">
        <f aca="false">H370-K370</f>
        <v>5.70264921658331</v>
      </c>
    </row>
    <row r="371" customFormat="false" ht="14.25" hidden="false" customHeight="true" outlineLevel="0" collapsed="false">
      <c r="A371" s="85" t="n">
        <v>2020</v>
      </c>
      <c r="B371" s="56" t="n">
        <v>43952</v>
      </c>
      <c r="C371" s="56"/>
      <c r="D371" s="96"/>
      <c r="E371" s="96"/>
      <c r="F371" s="96"/>
      <c r="G371" s="55" t="n">
        <f aca="false">'4.1.1'!F387/1.2</f>
        <v>93.0131291666667</v>
      </c>
      <c r="H371" s="55" t="n">
        <f aca="false">G371-57.95</f>
        <v>35.0631291666667</v>
      </c>
      <c r="I371" s="55"/>
      <c r="J371" s="55" t="n">
        <f aca="false">'4.1.1'!E387/1.2</f>
        <v>87.3162998204073</v>
      </c>
      <c r="K371" s="55" t="n">
        <f aca="false">J371-57.95</f>
        <v>29.3662998204073</v>
      </c>
      <c r="L371" s="55"/>
      <c r="M371" s="55" t="n">
        <f aca="false">'4.1.1'!G387/1.05</f>
        <v>19.2990476190476</v>
      </c>
      <c r="N371" s="57" t="n">
        <f aca="false">M371-0</f>
        <v>19.2990476190476</v>
      </c>
      <c r="O371" s="55"/>
      <c r="P371" s="55" t="n">
        <f aca="false">'4.1.1'!H387/1.05</f>
        <v>36.5708361904762</v>
      </c>
      <c r="Q371" s="57" t="n">
        <f aca="false">P371-11.14</f>
        <v>25.4308361904762</v>
      </c>
      <c r="R371" s="55"/>
      <c r="S371" s="84" t="n">
        <f aca="false">H371-K371</f>
        <v>5.69682934625939</v>
      </c>
    </row>
    <row r="372" customFormat="false" ht="14.25" hidden="false" customHeight="true" outlineLevel="0" collapsed="false">
      <c r="A372" s="85" t="n">
        <v>2020</v>
      </c>
      <c r="B372" s="56" t="n">
        <v>43983</v>
      </c>
      <c r="C372" s="56"/>
      <c r="D372" s="96"/>
      <c r="E372" s="96"/>
      <c r="F372" s="96"/>
      <c r="G372" s="55" t="n">
        <f aca="false">'4.1.1'!F388/1.2</f>
        <v>93.2512533333333</v>
      </c>
      <c r="H372" s="55" t="n">
        <f aca="false">G372-57.95</f>
        <v>35.3012533333333</v>
      </c>
      <c r="I372" s="55" t="n">
        <f aca="false">SUM(H370:H372)/3</f>
        <v>36.3085241666667</v>
      </c>
      <c r="J372" s="55" t="n">
        <f aca="false">'4.1.1'!E388/1.2</f>
        <v>88.1956093602847</v>
      </c>
      <c r="K372" s="55" t="n">
        <f aca="false">J372-57.95</f>
        <v>30.2456093602846</v>
      </c>
      <c r="L372" s="55" t="n">
        <f aca="false">SUM(K370:K372)/3</f>
        <v>30.8234833213695</v>
      </c>
      <c r="M372" s="55" t="n">
        <f aca="false">'4.1.1'!G388/1.05</f>
        <v>24.9638095238095</v>
      </c>
      <c r="N372" s="57" t="n">
        <f aca="false">M372-0</f>
        <v>24.9638095238095</v>
      </c>
      <c r="O372" s="55" t="n">
        <f aca="false">SUM(N370:N372)/3</f>
        <v>21.871746031746</v>
      </c>
      <c r="P372" s="55" t="n">
        <f aca="false">'4.1.1'!H388/1.05</f>
        <v>41.1772180952381</v>
      </c>
      <c r="Q372" s="57" t="n">
        <f aca="false">P372-11.14</f>
        <v>30.0372180952381</v>
      </c>
      <c r="R372" s="55" t="n">
        <f aca="false">SUM(Q370:Q372)/3</f>
        <v>27.863853015873</v>
      </c>
      <c r="S372" s="84" t="n">
        <f aca="false">H372-K372</f>
        <v>5.05564397304869</v>
      </c>
    </row>
    <row r="373" customFormat="false" ht="14.25" hidden="false" customHeight="true" outlineLevel="0" collapsed="false">
      <c r="A373" s="85" t="n">
        <v>2020</v>
      </c>
      <c r="B373" s="56" t="n">
        <v>44013</v>
      </c>
      <c r="C373" s="56"/>
      <c r="D373" s="96"/>
      <c r="E373" s="96"/>
      <c r="F373" s="96"/>
      <c r="G373" s="55" t="n">
        <f aca="false">'4.1.1'!F389/1.2</f>
        <v>97.1230283333334</v>
      </c>
      <c r="H373" s="55" t="n">
        <f aca="false">G373-57.95</f>
        <v>39.1730283333334</v>
      </c>
      <c r="I373" s="55"/>
      <c r="J373" s="55" t="n">
        <f aca="false">'4.1.1'!E389/1.2</f>
        <v>92.6227833379424</v>
      </c>
      <c r="K373" s="55" t="n">
        <f aca="false">J373-57.95</f>
        <v>34.6727833379424</v>
      </c>
      <c r="L373" s="55"/>
      <c r="M373" s="55" t="n">
        <f aca="false">'4.1.1'!G389/1.05</f>
        <v>26.007619047619</v>
      </c>
      <c r="N373" s="57" t="n">
        <f aca="false">M373-0</f>
        <v>26.007619047619</v>
      </c>
      <c r="O373" s="55"/>
      <c r="P373" s="55" t="n">
        <f aca="false">'4.1.1'!H389/1.05</f>
        <v>43.8437438095238</v>
      </c>
      <c r="Q373" s="57" t="n">
        <f aca="false">P373-11.14</f>
        <v>32.7037438095238</v>
      </c>
      <c r="R373" s="55"/>
      <c r="S373" s="84" t="n">
        <f aca="false">H373-K373</f>
        <v>4.50024499539093</v>
      </c>
    </row>
    <row r="374" customFormat="false" ht="14.25" hidden="false" customHeight="true" outlineLevel="0" collapsed="false">
      <c r="A374" s="85" t="n">
        <v>2020</v>
      </c>
      <c r="B374" s="56" t="n">
        <v>44044</v>
      </c>
      <c r="C374" s="56"/>
      <c r="D374" s="96"/>
      <c r="E374" s="96"/>
      <c r="F374" s="96"/>
      <c r="G374" s="55" t="n">
        <f aca="false">'4.1.1'!F390/1.2</f>
        <v>98.0617966666667</v>
      </c>
      <c r="H374" s="55" t="n">
        <f aca="false">G374-57.95</f>
        <v>40.1117966666667</v>
      </c>
      <c r="I374" s="55"/>
      <c r="J374" s="55" t="n">
        <f aca="false">'4.1.1'!E390/1.2</f>
        <v>93.9710981720712</v>
      </c>
      <c r="K374" s="55" t="n">
        <f aca="false">J374-57.95</f>
        <v>36.0210981720712</v>
      </c>
      <c r="L374" s="55"/>
      <c r="M374" s="55" t="n">
        <f aca="false">'4.1.1'!G390/1.05</f>
        <v>25.9104761904762</v>
      </c>
      <c r="N374" s="57" t="n">
        <f aca="false">M374-0</f>
        <v>25.9104761904762</v>
      </c>
      <c r="O374" s="55"/>
      <c r="P374" s="55" t="n">
        <f aca="false">'4.1.1'!H390/1.05</f>
        <v>43.9332019047619</v>
      </c>
      <c r="Q374" s="57" t="n">
        <f aca="false">P374-11.14</f>
        <v>32.7932019047619</v>
      </c>
      <c r="R374" s="55"/>
      <c r="S374" s="84" t="n">
        <f aca="false">H374-K374</f>
        <v>4.09069849459546</v>
      </c>
    </row>
    <row r="375" customFormat="false" ht="14.25" hidden="false" customHeight="true" outlineLevel="0" collapsed="false">
      <c r="A375" s="85" t="n">
        <v>2020</v>
      </c>
      <c r="B375" s="56" t="n">
        <v>44075</v>
      </c>
      <c r="C375" s="56"/>
      <c r="D375" s="96"/>
      <c r="E375" s="96"/>
      <c r="F375" s="96"/>
      <c r="G375" s="55" t="n">
        <f aca="false">'4.1.1'!F391/1.2</f>
        <v>98.3311391666667</v>
      </c>
      <c r="H375" s="55" t="n">
        <f aca="false">G375-57.95</f>
        <v>40.3811391666667</v>
      </c>
      <c r="I375" s="55" t="n">
        <f aca="false">SUM(H373:H375)/3</f>
        <v>39.8886547222222</v>
      </c>
      <c r="J375" s="55" t="n">
        <f aca="false">'4.1.1'!E391/1.2</f>
        <v>94.3432623049567</v>
      </c>
      <c r="K375" s="55" t="n">
        <f aca="false">J375-57.95</f>
        <v>36.3932623049567</v>
      </c>
      <c r="L375" s="55" t="n">
        <f aca="false">SUM(K373:K375)/3</f>
        <v>35.6957146049901</v>
      </c>
      <c r="M375" s="55" t="n">
        <f aca="false">'4.1.1'!G391/1.05</f>
        <v>24.2161904761905</v>
      </c>
      <c r="N375" s="57" t="n">
        <f aca="false">M375-0</f>
        <v>24.2161904761905</v>
      </c>
      <c r="O375" s="55" t="n">
        <f aca="false">SUM(N373:N375)/3</f>
        <v>25.3780952380952</v>
      </c>
      <c r="P375" s="55" t="n">
        <f aca="false">'4.1.1'!H391/1.05</f>
        <v>40.3547876190476</v>
      </c>
      <c r="Q375" s="57" t="n">
        <f aca="false">P375-11.14</f>
        <v>29.2147876190476</v>
      </c>
      <c r="R375" s="55" t="n">
        <f aca="false">SUM(Q373:Q375)/3</f>
        <v>31.5705777777778</v>
      </c>
      <c r="S375" s="84" t="n">
        <f aca="false">H375-K375</f>
        <v>3.98787686170994</v>
      </c>
    </row>
    <row r="376" customFormat="false" ht="14.25" hidden="false" customHeight="true" outlineLevel="0" collapsed="false">
      <c r="A376" s="85" t="n">
        <v>2020</v>
      </c>
      <c r="B376" s="56" t="n">
        <v>44105</v>
      </c>
      <c r="C376" s="56"/>
      <c r="D376" s="96"/>
      <c r="E376" s="96"/>
      <c r="F376" s="96"/>
      <c r="G376" s="55" t="n">
        <f aca="false">'4.1.1'!F392/1.2</f>
        <v>98.2082116666667</v>
      </c>
      <c r="H376" s="55" t="n">
        <f aca="false">G376-57.95</f>
        <v>40.2582116666667</v>
      </c>
      <c r="I376" s="55"/>
      <c r="J376" s="55" t="n">
        <f aca="false">'4.1.1'!E392/1.2</f>
        <v>94.2953681194187</v>
      </c>
      <c r="K376" s="55" t="n">
        <f aca="false">J376-57.95</f>
        <v>36.3453681194187</v>
      </c>
      <c r="L376" s="55"/>
      <c r="M376" s="55" t="n">
        <f aca="false">'4.1.1'!G392/1.05</f>
        <v>24.8114285714286</v>
      </c>
      <c r="N376" s="57" t="n">
        <f aca="false">M376-0</f>
        <v>24.8114285714286</v>
      </c>
      <c r="O376" s="55"/>
      <c r="P376" s="55" t="n">
        <f aca="false">'4.1.1'!H392/1.05</f>
        <v>42.2336076190476</v>
      </c>
      <c r="Q376" s="57" t="n">
        <f aca="false">P376-11.14</f>
        <v>31.0936076190476</v>
      </c>
      <c r="R376" s="55"/>
      <c r="S376" s="84" t="n">
        <f aca="false">H376-K376</f>
        <v>3.91284354724796</v>
      </c>
    </row>
    <row r="377" customFormat="false" ht="14.25" hidden="false" customHeight="true" outlineLevel="0" collapsed="false">
      <c r="A377" s="85" t="n">
        <v>2020</v>
      </c>
      <c r="B377" s="56" t="n">
        <v>44136</v>
      </c>
      <c r="C377" s="56"/>
      <c r="D377" s="96"/>
      <c r="E377" s="96"/>
      <c r="F377" s="96"/>
      <c r="G377" s="55" t="n">
        <f aca="false">'4.1.1'!F393/1.2</f>
        <v>97.5413958333333</v>
      </c>
      <c r="H377" s="55" t="n">
        <f aca="false">G377-57.95</f>
        <v>39.5913958333333</v>
      </c>
      <c r="I377" s="55"/>
      <c r="J377" s="55" t="n">
        <f aca="false">'4.1.1'!E393/1.2</f>
        <v>93.755322671098</v>
      </c>
      <c r="K377" s="55" t="n">
        <f aca="false">J377-57.95</f>
        <v>35.805322671098</v>
      </c>
      <c r="L377" s="55"/>
      <c r="M377" s="55" t="n">
        <f aca="false">'4.1.1'!G393/1.05</f>
        <v>26.1209523809524</v>
      </c>
      <c r="N377" s="57" t="n">
        <f aca="false">M377-0</f>
        <v>26.1209523809524</v>
      </c>
      <c r="O377" s="55"/>
      <c r="P377" s="55" t="n">
        <f aca="false">'4.1.1'!H393/1.05</f>
        <v>41.01104</v>
      </c>
      <c r="Q377" s="57" t="n">
        <f aca="false">P377-11.14</f>
        <v>29.87104</v>
      </c>
      <c r="R377" s="55"/>
      <c r="S377" s="84" t="n">
        <f aca="false">H377-K377</f>
        <v>3.78607316223537</v>
      </c>
    </row>
    <row r="378" customFormat="false" ht="14.25" hidden="false" customHeight="true" outlineLevel="0" collapsed="false">
      <c r="A378" s="85" t="n">
        <v>2020</v>
      </c>
      <c r="B378" s="56" t="n">
        <v>44166</v>
      </c>
      <c r="C378" s="56"/>
      <c r="D378" s="96"/>
      <c r="E378" s="96"/>
      <c r="F378" s="96"/>
      <c r="G378" s="55" t="n">
        <f aca="false">'4.1.1'!F394/1.2</f>
        <v>98.8847158333334</v>
      </c>
      <c r="H378" s="55" t="n">
        <f aca="false">G378-57.95</f>
        <v>40.9347158333333</v>
      </c>
      <c r="I378" s="55" t="n">
        <f aca="false">SUM(H376:H378)/3</f>
        <v>40.2614411111111</v>
      </c>
      <c r="J378" s="55" t="n">
        <f aca="false">'4.1.1'!E394/1.2</f>
        <v>95.0339507967033</v>
      </c>
      <c r="K378" s="55" t="n">
        <f aca="false">J378-57.95</f>
        <v>37.0839507967033</v>
      </c>
      <c r="L378" s="55" t="n">
        <f aca="false">SUM(K376:K378)/3</f>
        <v>36.41154719574</v>
      </c>
      <c r="M378" s="55" t="n">
        <f aca="false">'4.1.1'!G394/1.05</f>
        <v>30.0485714285714</v>
      </c>
      <c r="N378" s="57" t="n">
        <f aca="false">M378-0</f>
        <v>30.0485714285714</v>
      </c>
      <c r="O378" s="55" t="n">
        <f aca="false">SUM(N376:N378)/3</f>
        <v>26.9936507936508</v>
      </c>
      <c r="P378" s="55" t="n">
        <f aca="false">'4.1.1'!H394/1.05</f>
        <v>45.8538247619048</v>
      </c>
      <c r="Q378" s="57" t="n">
        <f aca="false">P378-11.14</f>
        <v>34.7138247619048</v>
      </c>
      <c r="R378" s="55" t="n">
        <f aca="false">SUM(Q376:Q378)/3</f>
        <v>31.8928241269841</v>
      </c>
      <c r="S378" s="84" t="n">
        <f aca="false">H378-K378</f>
        <v>3.85076503663007</v>
      </c>
      <c r="T378" s="55" t="n">
        <f aca="false">AVERAGE(G367:G378)</f>
        <v>99.2793527083333</v>
      </c>
      <c r="U378" s="55" t="n">
        <f aca="false">AVERAGE(H367:H378)</f>
        <v>41.3293527083334</v>
      </c>
      <c r="V378" s="55" t="n">
        <f aca="false">AVERAGE(J367:J378)</f>
        <v>94.9560773254861</v>
      </c>
      <c r="W378" s="55" t="n">
        <f aca="false">AVERAGE(K367:K378)</f>
        <v>37.0060773254861</v>
      </c>
    </row>
    <row r="379" customFormat="false" ht="14.25" hidden="false" customHeight="true" outlineLevel="0" collapsed="false">
      <c r="A379" s="85" t="n">
        <v>2021</v>
      </c>
      <c r="B379" s="56" t="n">
        <v>44197</v>
      </c>
      <c r="C379" s="56"/>
      <c r="D379" s="96"/>
      <c r="E379" s="96"/>
      <c r="F379" s="96"/>
      <c r="G379" s="55" t="n">
        <f aca="false">'4.1.1'!F395/1.2</f>
        <v>101.445535</v>
      </c>
      <c r="H379" s="55" t="n">
        <f aca="false">G379-57.95</f>
        <v>43.495535</v>
      </c>
      <c r="I379" s="55"/>
      <c r="J379" s="55" t="n">
        <f aca="false">'4.1.1'!E395/1.2</f>
        <v>97.7098341455228</v>
      </c>
      <c r="K379" s="55" t="n">
        <f aca="false">J379-57.95</f>
        <v>39.7598341455227</v>
      </c>
      <c r="L379" s="55"/>
      <c r="M379" s="55" t="n">
        <f aca="false">'4.1.1'!G395/1.05</f>
        <v>32.9752380952381</v>
      </c>
      <c r="N379" s="57" t="n">
        <f aca="false">M379-0</f>
        <v>32.9752380952381</v>
      </c>
      <c r="O379" s="55"/>
      <c r="P379" s="55" t="n">
        <f aca="false">'4.1.1'!H395/1.05</f>
        <v>47.4779085714286</v>
      </c>
      <c r="Q379" s="57" t="n">
        <f aca="false">P379-11.14</f>
        <v>36.3379085714286</v>
      </c>
      <c r="R379" s="55"/>
      <c r="S379" s="84" t="n">
        <f aca="false">H379-K379</f>
        <v>3.73570085447727</v>
      </c>
    </row>
    <row r="380" customFormat="false" ht="14.25" hidden="false" customHeight="true" outlineLevel="0" collapsed="false">
      <c r="A380" s="85" t="n">
        <v>2021</v>
      </c>
      <c r="B380" s="56" t="n">
        <v>44228</v>
      </c>
      <c r="C380" s="56"/>
      <c r="D380" s="96"/>
      <c r="E380" s="96"/>
      <c r="F380" s="96"/>
      <c r="G380" s="55" t="n">
        <f aca="false">'4.1.1'!F396/1.2</f>
        <v>104.093761666667</v>
      </c>
      <c r="H380" s="55" t="n">
        <f aca="false">G380-57.95</f>
        <v>46.1437616666667</v>
      </c>
      <c r="I380" s="55"/>
      <c r="J380" s="55" t="n">
        <f aca="false">'4.1.1'!E396/1.2</f>
        <v>100.573022118848</v>
      </c>
      <c r="K380" s="55" t="n">
        <f aca="false">J380-57.95</f>
        <v>42.6230221188482</v>
      </c>
      <c r="L380" s="55"/>
      <c r="M380" s="55" t="n">
        <f aca="false">'4.1.1'!G396/1.05</f>
        <v>35.1028571428572</v>
      </c>
      <c r="N380" s="57" t="n">
        <f aca="false">M380-0</f>
        <v>35.1028571428572</v>
      </c>
      <c r="O380" s="55"/>
      <c r="P380" s="55" t="n">
        <f aca="false">'4.1.1'!H396/1.05</f>
        <v>50.3034361904762</v>
      </c>
      <c r="Q380" s="57" t="n">
        <f aca="false">P380-11.14</f>
        <v>39.1634361904762</v>
      </c>
      <c r="R380" s="55"/>
      <c r="S380" s="84" t="n">
        <f aca="false">H380-K380</f>
        <v>3.52073954781847</v>
      </c>
    </row>
    <row r="381" customFormat="false" ht="14.25" hidden="false" customHeight="true" outlineLevel="0" collapsed="false">
      <c r="A381" s="85" t="n">
        <v>2021</v>
      </c>
      <c r="B381" s="56" t="n">
        <v>44256</v>
      </c>
      <c r="C381" s="56"/>
      <c r="D381" s="96"/>
      <c r="E381" s="97"/>
      <c r="F381" s="97"/>
      <c r="G381" s="55" t="n">
        <f aca="false">'4.1.1'!F397/1.2</f>
        <v>106.7571175</v>
      </c>
      <c r="H381" s="55" t="n">
        <f aca="false">G381-57.95</f>
        <v>48.8071175</v>
      </c>
      <c r="I381" s="55" t="n">
        <f aca="false">SUM(H379:H381)/3</f>
        <v>46.1488047222222</v>
      </c>
      <c r="J381" s="55" t="n">
        <f aca="false">'4.1.1'!E397/1.2</f>
        <v>103.368855915756</v>
      </c>
      <c r="K381" s="55" t="n">
        <f aca="false">J381-57.95</f>
        <v>45.4188559157559</v>
      </c>
      <c r="L381" s="55" t="n">
        <f aca="false">SUM(K379:K381)/3</f>
        <v>42.6005707267089</v>
      </c>
      <c r="M381" s="55" t="n">
        <f aca="false">'4.1.1'!G397/1.05</f>
        <v>37.1485714285714</v>
      </c>
      <c r="N381" s="57" t="n">
        <f aca="false">M381-0</f>
        <v>37.1485714285714</v>
      </c>
      <c r="O381" s="55" t="n">
        <f aca="false">SUM(N379:N381)/3</f>
        <v>35.0755555555556</v>
      </c>
      <c r="P381" s="55" t="n">
        <f aca="false">'4.1.1'!H397/1.05</f>
        <v>53.0849571428571</v>
      </c>
      <c r="Q381" s="57" t="n">
        <f aca="false">P381-11.14</f>
        <v>41.9449571428571</v>
      </c>
      <c r="R381" s="55" t="n">
        <f aca="false">SUM(Q379:Q381)/3</f>
        <v>39.1487673015873</v>
      </c>
      <c r="S381" s="84" t="n">
        <f aca="false">H381-K381</f>
        <v>3.38826158424413</v>
      </c>
    </row>
    <row r="382" customFormat="false" ht="14.25" hidden="false" customHeight="true" outlineLevel="0" collapsed="false">
      <c r="A382" s="85" t="n">
        <v>2021</v>
      </c>
      <c r="B382" s="56" t="n">
        <v>44287</v>
      </c>
      <c r="C382" s="56"/>
      <c r="D382" s="96"/>
      <c r="E382" s="97"/>
      <c r="F382" s="97"/>
      <c r="G382" s="55" t="n">
        <f aca="false">'4.1.1'!F398/1.2</f>
        <v>107.6868825</v>
      </c>
      <c r="H382" s="55" t="n">
        <f aca="false">G382-57.95</f>
        <v>49.7368825</v>
      </c>
      <c r="I382" s="55"/>
      <c r="J382" s="55" t="n">
        <f aca="false">'4.1.1'!E398/1.2</f>
        <v>104.56077847286</v>
      </c>
      <c r="K382" s="55" t="n">
        <f aca="false">J382-57.95</f>
        <v>46.6107784728599</v>
      </c>
      <c r="L382" s="55"/>
      <c r="M382" s="55" t="n">
        <f aca="false">'4.1.1'!G398/1.05</f>
        <v>39.2828571428571</v>
      </c>
      <c r="N382" s="57" t="n">
        <f aca="false">M382-0</f>
        <v>39.2828571428571</v>
      </c>
      <c r="O382" s="55"/>
      <c r="P382" s="55" t="n">
        <f aca="false">'4.1.1'!H398/1.05</f>
        <v>51.6012466666667</v>
      </c>
      <c r="Q382" s="57" t="n">
        <f aca="false">P382-11.14</f>
        <v>40.4612466666667</v>
      </c>
      <c r="R382" s="55"/>
      <c r="S382" s="84" t="n">
        <f aca="false">H382-K382</f>
        <v>3.12610402714017</v>
      </c>
    </row>
    <row r="383" customFormat="false" ht="14.25" hidden="false" customHeight="true" outlineLevel="0" collapsed="false">
      <c r="A383" s="85" t="n">
        <v>2021</v>
      </c>
      <c r="B383" s="56" t="n">
        <v>44317</v>
      </c>
      <c r="C383" s="56"/>
      <c r="D383" s="96"/>
      <c r="E383" s="97"/>
      <c r="F383" s="97"/>
      <c r="G383" s="55" t="n">
        <f aca="false">'4.1.1'!F399/1.2</f>
        <v>109.109265833333</v>
      </c>
      <c r="H383" s="55" t="n">
        <f aca="false">G383-57.95</f>
        <v>51.1592658333334</v>
      </c>
      <c r="I383" s="55"/>
      <c r="J383" s="55" t="n">
        <f aca="false">'4.1.1'!E399/1.2</f>
        <v>106.089353094453</v>
      </c>
      <c r="K383" s="55" t="n">
        <f aca="false">J383-57.95</f>
        <v>48.1393530944528</v>
      </c>
      <c r="L383" s="55"/>
      <c r="M383" s="55" t="n">
        <f aca="false">'4.1.1'!G399/1.05</f>
        <v>37.6514285714286</v>
      </c>
      <c r="N383" s="57" t="n">
        <f aca="false">M383-0</f>
        <v>37.6514285714286</v>
      </c>
      <c r="O383" s="55"/>
      <c r="P383" s="55" t="n">
        <f aca="false">'4.1.1'!H399/1.05</f>
        <v>53.7807552380952</v>
      </c>
      <c r="Q383" s="57" t="n">
        <f aca="false">P383-11.14</f>
        <v>42.6407552380952</v>
      </c>
      <c r="R383" s="55"/>
      <c r="S383" s="84" t="n">
        <f aca="false">H383-K383</f>
        <v>3.01991273888054</v>
      </c>
    </row>
    <row r="384" customFormat="false" ht="14.25" hidden="false" customHeight="true" outlineLevel="0" collapsed="false">
      <c r="A384" s="85" t="n">
        <v>2021</v>
      </c>
      <c r="B384" s="56" t="n">
        <v>44348</v>
      </c>
      <c r="C384" s="56"/>
      <c r="D384" s="96"/>
      <c r="E384" s="97"/>
      <c r="F384" s="97"/>
      <c r="G384" s="55" t="n">
        <f aca="false">'4.1.1'!F400/1.2</f>
        <v>110.757332666667</v>
      </c>
      <c r="H384" s="55" t="n">
        <f aca="false">G384-57.95</f>
        <v>52.8073326666667</v>
      </c>
      <c r="I384" s="55" t="n">
        <f aca="false">SUM(H382:H384)/3</f>
        <v>51.2344936666667</v>
      </c>
      <c r="J384" s="55" t="n">
        <f aca="false">'4.1.1'!E400/1.2</f>
        <v>107.765811606326</v>
      </c>
      <c r="K384" s="55" t="n">
        <f aca="false">J384-57.95</f>
        <v>49.8158116063258</v>
      </c>
      <c r="L384" s="55" t="n">
        <f aca="false">SUM(K382:K384)/3</f>
        <v>48.1886477245462</v>
      </c>
      <c r="M384" s="55" t="n">
        <f aca="false">'4.1.1'!G400/1.05</f>
        <v>38.0047619047619</v>
      </c>
      <c r="N384" s="57" t="n">
        <f aca="false">M384-0</f>
        <v>38.0047619047619</v>
      </c>
      <c r="O384" s="55" t="n">
        <f aca="false">SUM(N382:N384)/3</f>
        <v>38.3130158730159</v>
      </c>
      <c r="P384" s="55" t="n">
        <f aca="false">'4.1.1'!H400/1.05</f>
        <v>54.0521361904762</v>
      </c>
      <c r="Q384" s="57" t="n">
        <f aca="false">P384-11.14</f>
        <v>42.9121361904762</v>
      </c>
      <c r="R384" s="55" t="n">
        <f aca="false">SUM(Q382:Q384)/3</f>
        <v>42.0047126984127</v>
      </c>
      <c r="S384" s="84" t="n">
        <f aca="false">H384-K384</f>
        <v>2.99152106034089</v>
      </c>
    </row>
    <row r="385" customFormat="false" ht="14.25" hidden="false" customHeight="true" outlineLevel="0" collapsed="false">
      <c r="A385" s="85" t="n">
        <v>2021</v>
      </c>
      <c r="B385" s="56" t="n">
        <v>44378</v>
      </c>
      <c r="C385" s="56"/>
      <c r="D385" s="96"/>
      <c r="E385" s="97"/>
      <c r="F385" s="97"/>
      <c r="G385" s="55" t="n">
        <f aca="false">'4.1.1'!F401/1.2</f>
        <v>112.80492672</v>
      </c>
      <c r="H385" s="55" t="n">
        <f aca="false">G385-57.95</f>
        <v>54.85492672</v>
      </c>
      <c r="I385" s="55"/>
      <c r="J385" s="55" t="n">
        <f aca="false">'4.1.1'!E401/1.2</f>
        <v>110.619347024593</v>
      </c>
      <c r="K385" s="55" t="n">
        <f aca="false">J385-57.95</f>
        <v>52.6693470245932</v>
      </c>
      <c r="L385" s="55"/>
      <c r="M385" s="55" t="n">
        <f aca="false">'4.1.1'!G401/1.05</f>
        <v>39.7304761904762</v>
      </c>
      <c r="N385" s="57" t="n">
        <f aca="false">M385-0</f>
        <v>39.7304761904762</v>
      </c>
      <c r="O385" s="98"/>
      <c r="P385" s="55" t="n">
        <f aca="false">'4.1.1'!H401/1.05</f>
        <v>55.2851342857143</v>
      </c>
      <c r="Q385" s="57" t="n">
        <f aca="false">P385-11.14</f>
        <v>44.1451342857143</v>
      </c>
      <c r="R385" s="98"/>
      <c r="S385" s="84" t="n">
        <f aca="false">H385-K385</f>
        <v>2.18557969540683</v>
      </c>
    </row>
    <row r="386" customFormat="false" ht="14.25" hidden="false" customHeight="true" outlineLevel="0" collapsed="false">
      <c r="A386" s="85" t="n">
        <v>2021</v>
      </c>
      <c r="B386" s="56" t="n">
        <v>44409</v>
      </c>
      <c r="C386" s="56"/>
      <c r="D386" s="96"/>
      <c r="E386" s="97"/>
      <c r="F386" s="97"/>
      <c r="G386" s="55" t="n">
        <f aca="false">'4.1.1'!F402/1.2</f>
        <v>114.10263</v>
      </c>
      <c r="H386" s="55" t="n">
        <f aca="false">G386-57.95</f>
        <v>56.15263</v>
      </c>
      <c r="I386" s="55"/>
      <c r="J386" s="55" t="n">
        <f aca="false">'4.1.1'!E402/1.2</f>
        <v>112.103754163595</v>
      </c>
      <c r="K386" s="55" t="n">
        <f aca="false">J386-57.95</f>
        <v>54.1537541635952</v>
      </c>
      <c r="L386" s="55"/>
      <c r="M386" s="55" t="n">
        <f aca="false">'4.1.1'!G402/1.05</f>
        <v>37.8771428571429</v>
      </c>
      <c r="N386" s="57" t="n">
        <f aca="false">M386-0</f>
        <v>37.8771428571429</v>
      </c>
      <c r="O386" s="98"/>
      <c r="P386" s="55" t="n">
        <f aca="false">'4.1.1'!H402/1.05</f>
        <v>54.6908361904762</v>
      </c>
      <c r="Q386" s="57" t="n">
        <f aca="false">P386-11.14</f>
        <v>43.5508361904762</v>
      </c>
      <c r="R386" s="98"/>
      <c r="S386" s="84" t="n">
        <f aca="false">H386-K386</f>
        <v>1.99887583640484</v>
      </c>
    </row>
    <row r="387" customFormat="false" ht="14.25" hidden="false" customHeight="true" outlineLevel="0" collapsed="false">
      <c r="A387" s="85" t="n">
        <v>2021</v>
      </c>
      <c r="B387" s="56" t="n">
        <v>44440</v>
      </c>
      <c r="C387" s="56"/>
      <c r="D387" s="96"/>
      <c r="E387" s="97"/>
      <c r="F387" s="97"/>
      <c r="G387" s="55" t="n">
        <f aca="false">'4.1.1'!F403/1.2</f>
        <v>114.0365125</v>
      </c>
      <c r="H387" s="55" t="n">
        <f aca="false">G387-57.95</f>
        <v>56.0865125</v>
      </c>
      <c r="I387" s="55" t="n">
        <f aca="false">SUM(H385:H387)/3</f>
        <v>55.6980230733333</v>
      </c>
      <c r="J387" s="55" t="n">
        <f aca="false">'4.1.1'!E403/1.2</f>
        <v>112.156497191459</v>
      </c>
      <c r="K387" s="55" t="n">
        <f aca="false">J387-57.95</f>
        <v>54.2064971914594</v>
      </c>
      <c r="L387" s="55" t="n">
        <f aca="false">SUM(K385:K387)/3</f>
        <v>53.6765327932159</v>
      </c>
      <c r="M387" s="55" t="n">
        <f aca="false">'4.1.1'!G403/1.05</f>
        <v>39.5038095238095</v>
      </c>
      <c r="N387" s="57" t="n">
        <f aca="false">M387-0</f>
        <v>39.5038095238095</v>
      </c>
      <c r="O387" s="55" t="n">
        <f aca="false">SUM(N385:N387)/3</f>
        <v>39.0371428571429</v>
      </c>
      <c r="P387" s="55" t="n">
        <f aca="false">'4.1.1'!H403/1.05</f>
        <v>56.8069647619048</v>
      </c>
      <c r="Q387" s="57" t="n">
        <f aca="false">P387-11.14</f>
        <v>45.6669647619048</v>
      </c>
      <c r="R387" s="55" t="n">
        <f aca="false">SUM(Q385:Q387)/3</f>
        <v>44.4543117460318</v>
      </c>
      <c r="S387" s="84" t="n">
        <f aca="false">H387-K387</f>
        <v>1.88001530854058</v>
      </c>
    </row>
    <row r="388" customFormat="false" ht="14.25" hidden="false" customHeight="true" outlineLevel="0" collapsed="false">
      <c r="A388" s="85" t="n">
        <v>2021</v>
      </c>
      <c r="B388" s="56" t="n">
        <v>44470</v>
      </c>
      <c r="C388" s="56"/>
      <c r="D388" s="96"/>
      <c r="E388" s="97"/>
      <c r="F388" s="97"/>
      <c r="G388" s="55" t="n">
        <f aca="false">'4.1.1'!F404/1.2</f>
        <v>119.401</v>
      </c>
      <c r="H388" s="55" t="n">
        <f aca="false">G388-57.95</f>
        <v>61.451</v>
      </c>
      <c r="I388" s="55"/>
      <c r="J388" s="55" t="n">
        <f aca="false">'4.1.1'!E404/1.2</f>
        <v>114.714862832158</v>
      </c>
      <c r="K388" s="55" t="n">
        <f aca="false">J388-57.95</f>
        <v>56.7648628321577</v>
      </c>
      <c r="L388" s="55"/>
      <c r="M388" s="55" t="n">
        <f aca="false">'4.1.1'!G404/1.05</f>
        <v>56.9733333333333</v>
      </c>
      <c r="N388" s="57" t="n">
        <f aca="false">M388-0</f>
        <v>56.9733333333333</v>
      </c>
      <c r="O388" s="55"/>
      <c r="P388" s="55" t="n">
        <f aca="false">'4.1.1'!H404/1.05</f>
        <v>69.781379047619</v>
      </c>
      <c r="Q388" s="57" t="n">
        <f aca="false">P388-11.14</f>
        <v>58.641379047619</v>
      </c>
      <c r="R388" s="55"/>
      <c r="S388" s="84" t="n">
        <f aca="false">H388-K388</f>
        <v>4.68613716784232</v>
      </c>
    </row>
    <row r="389" customFormat="false" ht="14.25" hidden="false" customHeight="true" outlineLevel="0" collapsed="false">
      <c r="A389" s="85" t="n">
        <v>2021</v>
      </c>
      <c r="B389" s="56" t="n">
        <v>44501</v>
      </c>
      <c r="C389" s="56"/>
      <c r="D389" s="96"/>
      <c r="E389" s="97"/>
      <c r="F389" s="97"/>
      <c r="G389" s="55" t="n">
        <f aca="false">'4.1.1'!F405/1.2</f>
        <v>124.8457075</v>
      </c>
      <c r="H389" s="55" t="n">
        <f aca="false">G389-57.95</f>
        <v>66.8957075</v>
      </c>
      <c r="I389" s="55"/>
      <c r="J389" s="55" t="n">
        <f aca="false">'4.1.1'!E405/1.2</f>
        <v>121.621968464625</v>
      </c>
      <c r="K389" s="55" t="n">
        <f aca="false">J389-57.95</f>
        <v>63.6719684646251</v>
      </c>
      <c r="L389" s="55"/>
      <c r="M389" s="55" t="n">
        <f aca="false">'4.1.1'!G405/1.05</f>
        <v>48.4419047619048</v>
      </c>
      <c r="N389" s="57" t="n">
        <f aca="false">M389-0</f>
        <v>48.4419047619048</v>
      </c>
      <c r="O389" s="55"/>
      <c r="P389" s="55" t="n">
        <f aca="false">'4.1.1'!H405/1.05</f>
        <v>69.6364380952381</v>
      </c>
      <c r="Q389" s="57" t="n">
        <f aca="false">P389-11.14</f>
        <v>58.4964380952381</v>
      </c>
      <c r="R389" s="55"/>
      <c r="S389" s="84" t="n">
        <f aca="false">H389-K389</f>
        <v>3.22373903537489</v>
      </c>
    </row>
    <row r="390" customFormat="false" ht="14.25" hidden="false" customHeight="true" outlineLevel="0" collapsed="false">
      <c r="A390" s="85" t="n">
        <v>2021</v>
      </c>
      <c r="B390" s="56" t="n">
        <v>44531</v>
      </c>
      <c r="C390" s="56"/>
      <c r="D390" s="96"/>
      <c r="E390" s="97"/>
      <c r="F390" s="97"/>
      <c r="G390" s="55" t="n">
        <f aca="false">'4.1.1'!F406/1.2</f>
        <v>124.329401666667</v>
      </c>
      <c r="H390" s="55" t="n">
        <f aca="false">G390-57.95</f>
        <v>66.3794016666667</v>
      </c>
      <c r="I390" s="55" t="n">
        <f aca="false">SUM(H388:H390)/3</f>
        <v>64.9087030555556</v>
      </c>
      <c r="J390" s="55" t="n">
        <f aca="false">'4.1.1'!E406/1.2</f>
        <v>121.41170413439</v>
      </c>
      <c r="K390" s="55" t="n">
        <f aca="false">J390-57.95</f>
        <v>63.4617041343896</v>
      </c>
      <c r="L390" s="55" t="n">
        <f aca="false">SUM(K388:K390)/3</f>
        <v>61.2995118103908</v>
      </c>
      <c r="M390" s="55" t="n">
        <f aca="false">'4.1.1'!G406/1.05</f>
        <v>46.1609523809524</v>
      </c>
      <c r="N390" s="57" t="n">
        <f aca="false">M390-0</f>
        <v>46.1609523809524</v>
      </c>
      <c r="O390" s="55" t="n">
        <f aca="false">SUM(N388:N390)/3</f>
        <v>50.5253968253968</v>
      </c>
      <c r="P390" s="55" t="n">
        <f aca="false">'4.1.1'!H406/1.05</f>
        <v>68.1204761904762</v>
      </c>
      <c r="Q390" s="57" t="n">
        <f aca="false">P390-11.14</f>
        <v>56.9804761904762</v>
      </c>
      <c r="R390" s="55" t="n">
        <f aca="false">SUM(Q388:Q390)/3</f>
        <v>58.0394311111111</v>
      </c>
      <c r="S390" s="84" t="n">
        <f aca="false">H390-K390</f>
        <v>2.9176975322771</v>
      </c>
      <c r="T390" s="55" t="n">
        <f aca="false">AVERAGE(G379:G390)</f>
        <v>112.447506129444</v>
      </c>
      <c r="U390" s="55" t="n">
        <f aca="false">AVERAGE(H379:H390)</f>
        <v>54.4975061294445</v>
      </c>
      <c r="V390" s="55" t="n">
        <f aca="false">AVERAGE(J379:J390)</f>
        <v>109.391315763715</v>
      </c>
      <c r="W390" s="55" t="n">
        <f aca="false">AVERAGE(K379:K390)</f>
        <v>51.4413157637155</v>
      </c>
    </row>
    <row r="391" customFormat="false" ht="14.25" hidden="false" customHeight="true" outlineLevel="0" collapsed="false">
      <c r="A391" s="85" t="n">
        <v>2022</v>
      </c>
      <c r="B391" s="56" t="n">
        <v>44562</v>
      </c>
      <c r="C391" s="56"/>
      <c r="D391" s="96"/>
      <c r="E391" s="97"/>
      <c r="F391" s="97"/>
      <c r="G391" s="55" t="n">
        <f aca="false">'4.1.1'!F407/1.2</f>
        <v>123.952416666667</v>
      </c>
      <c r="H391" s="55" t="n">
        <f aca="false">G391-57.95</f>
        <v>66.0024166666667</v>
      </c>
      <c r="I391" s="55"/>
      <c r="J391" s="55" t="n">
        <f aca="false">'4.1.1'!E407/1.2</f>
        <v>120.770416666667</v>
      </c>
      <c r="K391" s="55" t="n">
        <f aca="false">J391-57.95</f>
        <v>62.8204166666667</v>
      </c>
      <c r="L391" s="55"/>
      <c r="M391" s="55" t="n">
        <f aca="false">'4.1.1'!G407/1.05</f>
        <v>51.3571428571429</v>
      </c>
      <c r="N391" s="57" t="n">
        <f aca="false">M391-0</f>
        <v>51.3571428571429</v>
      </c>
      <c r="O391" s="55"/>
      <c r="P391" s="55" t="n">
        <f aca="false">'4.1.1'!H407/1.05</f>
        <v>68.4535238095238</v>
      </c>
      <c r="Q391" s="57" t="n">
        <f aca="false">P391-11.14</f>
        <v>57.3135238095238</v>
      </c>
      <c r="R391" s="55"/>
      <c r="S391" s="84" t="n">
        <f aca="false">H391-K391</f>
        <v>3.182</v>
      </c>
      <c r="T391" s="55"/>
      <c r="U391" s="55"/>
      <c r="V391" s="55"/>
      <c r="W391" s="55"/>
    </row>
    <row r="392" customFormat="false" ht="14.25" hidden="false" customHeight="true" outlineLevel="0" collapsed="false">
      <c r="A392" s="85" t="n">
        <v>2022</v>
      </c>
      <c r="B392" s="56" t="n">
        <v>44593</v>
      </c>
      <c r="C392" s="56"/>
      <c r="D392" s="96"/>
      <c r="E392" s="97"/>
      <c r="F392" s="97"/>
      <c r="G392" s="55" t="n">
        <f aca="false">'4.1.1'!F408/1.2</f>
        <v>125.89708</v>
      </c>
      <c r="H392" s="55" t="n">
        <f aca="false">G392-57.95</f>
        <v>67.94708</v>
      </c>
      <c r="I392" s="55"/>
      <c r="J392" s="55" t="n">
        <f aca="false">'4.1.1'!E408/1.2</f>
        <v>122.50384212829</v>
      </c>
      <c r="K392" s="55" t="n">
        <f aca="false">J392-57.95</f>
        <v>64.5538421282896</v>
      </c>
      <c r="L392" s="55"/>
      <c r="M392" s="55" t="n">
        <f aca="false">'4.1.1'!G408/1.05</f>
        <v>56.3</v>
      </c>
      <c r="N392" s="57" t="n">
        <f aca="false">M392-0</f>
        <v>56.3</v>
      </c>
      <c r="O392" s="55"/>
      <c r="P392" s="55" t="n">
        <f aca="false">'4.1.1'!H408/1.05</f>
        <v>73.6228780952381</v>
      </c>
      <c r="Q392" s="57" t="n">
        <f aca="false">P392-11.14</f>
        <v>62.4828780952381</v>
      </c>
      <c r="R392" s="55"/>
      <c r="S392" s="84" t="n">
        <f aca="false">H392-K392</f>
        <v>3.39323787171043</v>
      </c>
    </row>
    <row r="393" customFormat="false" ht="14.25" hidden="false" customHeight="true" outlineLevel="0" collapsed="false">
      <c r="A393" s="85" t="n">
        <v>2022</v>
      </c>
      <c r="B393" s="56" t="n">
        <v>44621</v>
      </c>
      <c r="C393" s="56"/>
      <c r="D393" s="96"/>
      <c r="E393" s="97"/>
      <c r="F393" s="97"/>
      <c r="G393" s="55" t="n">
        <f aca="false">'4.1.1'!F409/1.2</f>
        <v>142.825576666667</v>
      </c>
      <c r="H393" s="55" t="n">
        <f aca="false">G393-57.95</f>
        <v>84.8755766666667</v>
      </c>
      <c r="I393" s="55" t="n">
        <f aca="false">SUM(H391:H393)/3</f>
        <v>72.9416911111111</v>
      </c>
      <c r="J393" s="55" t="n">
        <f aca="false">'4.1.1'!E409/1.2</f>
        <v>134.881367364678</v>
      </c>
      <c r="K393" s="55" t="n">
        <f aca="false">J393-57.95</f>
        <v>76.9313673646783</v>
      </c>
      <c r="L393" s="55" t="n">
        <f aca="false">SUM(K391:K393)/3</f>
        <v>68.1018753865449</v>
      </c>
      <c r="M393" s="55" t="n">
        <f aca="false">'4.1.1'!G409/1.05</f>
        <v>80.82</v>
      </c>
      <c r="N393" s="57" t="n">
        <f aca="false">M393-0</f>
        <v>80.82</v>
      </c>
      <c r="O393" s="55" t="n">
        <f aca="false">SUM(N391:N393)/3</f>
        <v>62.8257142857143</v>
      </c>
      <c r="P393" s="55" t="n">
        <f aca="false">'4.1.1'!H409/1.05</f>
        <v>115.896176190476</v>
      </c>
      <c r="Q393" s="57" t="n">
        <f aca="false">P393-11.14</f>
        <v>104.756176190476</v>
      </c>
      <c r="R393" s="55" t="n">
        <f aca="false">SUM(Q391:Q393)/3</f>
        <v>74.8508593650794</v>
      </c>
      <c r="S393" s="84" t="n">
        <f aca="false">H393-K393</f>
        <v>7.94420930198837</v>
      </c>
      <c r="T393" s="55"/>
      <c r="U393" s="55"/>
      <c r="V393" s="55"/>
      <c r="W393" s="55"/>
    </row>
    <row r="394" customFormat="false" ht="14.25" hidden="false" customHeight="true" outlineLevel="0" collapsed="false">
      <c r="A394" s="85" t="n">
        <v>2022</v>
      </c>
      <c r="B394" s="56" t="n">
        <v>44652</v>
      </c>
      <c r="C394" s="56"/>
      <c r="D394" s="96"/>
      <c r="E394" s="97"/>
      <c r="F394" s="97"/>
      <c r="G394" s="55" t="n">
        <f aca="false">'4.1.1'!F410/1.2</f>
        <v>146.435955833333</v>
      </c>
      <c r="H394" s="55" t="n">
        <f aca="false">G394-52.95</f>
        <v>93.4859558333333</v>
      </c>
      <c r="I394" s="55"/>
      <c r="J394" s="55" t="n">
        <f aca="false">'4.1.1'!E410/1.2</f>
        <v>134.725411160744</v>
      </c>
      <c r="K394" s="55" t="n">
        <f aca="false">J394-52.95</f>
        <v>81.7754111607443</v>
      </c>
      <c r="L394" s="55"/>
      <c r="M394" s="55" t="n">
        <f aca="false">'4.1.1'!G410/1.05</f>
        <v>81.2714285714286</v>
      </c>
      <c r="N394" s="57" t="n">
        <f aca="false">M394-0</f>
        <v>81.2714285714286</v>
      </c>
      <c r="O394" s="55"/>
      <c r="P394" s="55" t="n">
        <f aca="false">'4.1.1'!H410/1.05</f>
        <v>103.373231428571</v>
      </c>
      <c r="Q394" s="57" t="n">
        <f aca="false">P394-10.18</f>
        <v>93.1932314285714</v>
      </c>
      <c r="R394" s="55"/>
      <c r="S394" s="84" t="n">
        <f aca="false">H394-K394</f>
        <v>11.7105446725891</v>
      </c>
    </row>
    <row r="395" customFormat="false" ht="14.25" hidden="false" customHeight="true" outlineLevel="0" collapsed="false">
      <c r="A395" s="85" t="n">
        <v>2022</v>
      </c>
      <c r="B395" s="56" t="n">
        <v>44682</v>
      </c>
      <c r="C395" s="56"/>
      <c r="D395" s="96"/>
      <c r="E395" s="97"/>
      <c r="F395" s="97"/>
      <c r="G395" s="55" t="n">
        <f aca="false">'4.1.1'!F411/1.2</f>
        <v>149.6520525</v>
      </c>
      <c r="H395" s="55" t="n">
        <f aca="false">G395-52.95</f>
        <v>96.7020525</v>
      </c>
      <c r="I395" s="55"/>
      <c r="J395" s="55" t="n">
        <f aca="false">'4.1.1'!E411/1.2</f>
        <v>137.638364087441</v>
      </c>
      <c r="K395" s="55" t="n">
        <f aca="false">J395-52.95</f>
        <v>84.6883640874411</v>
      </c>
      <c r="L395" s="55"/>
      <c r="M395" s="55" t="n">
        <f aca="false">'4.1.1'!G411/1.05</f>
        <v>86.2247619047619</v>
      </c>
      <c r="N395" s="57" t="n">
        <f aca="false">M395-0</f>
        <v>86.2247619047619</v>
      </c>
      <c r="O395" s="55"/>
      <c r="P395" s="55" t="n">
        <f aca="false">'4.1.1'!H411/1.05</f>
        <v>99.4259428571428</v>
      </c>
      <c r="Q395" s="57" t="n">
        <f aca="false">P395-10.18</f>
        <v>89.2459428571428</v>
      </c>
      <c r="R395" s="55"/>
      <c r="S395" s="84" t="n">
        <f aca="false">H395-K395</f>
        <v>12.0136884125589</v>
      </c>
    </row>
    <row r="396" customFormat="false" ht="14.25" hidden="false" customHeight="true" outlineLevel="0" collapsed="false">
      <c r="A396" s="85" t="n">
        <v>2022</v>
      </c>
      <c r="B396" s="56" t="n">
        <v>44713</v>
      </c>
      <c r="C396" s="56"/>
      <c r="D396" s="96"/>
      <c r="E396" s="97"/>
      <c r="F396" s="97"/>
      <c r="G396" s="55" t="n">
        <f aca="false">'4.1.1'!F412/1.2</f>
        <v>158.458478333333</v>
      </c>
      <c r="H396" s="55" t="n">
        <f aca="false">G396-52.95</f>
        <v>105.508478333333</v>
      </c>
      <c r="I396" s="55" t="n">
        <f aca="false">SUM(H394:H396)/3</f>
        <v>98.5654955555556</v>
      </c>
      <c r="J396" s="55" t="n">
        <f aca="false">'4.1.1'!E412/1.2</f>
        <v>152.579861824997</v>
      </c>
      <c r="K396" s="55" t="n">
        <f aca="false">J396-52.95</f>
        <v>99.6298618249972</v>
      </c>
      <c r="L396" s="55" t="n">
        <f aca="false">SUM(K394:K396)/3</f>
        <v>88.6978790243942</v>
      </c>
      <c r="M396" s="55" t="n">
        <f aca="false">'4.1.1'!G412/1.05</f>
        <v>94.5742857142857</v>
      </c>
      <c r="N396" s="57" t="n">
        <f aca="false">M396-0</f>
        <v>94.5742857142857</v>
      </c>
      <c r="O396" s="55" t="n">
        <f aca="false">SUM(N394:N396)/3</f>
        <v>87.3568253968254</v>
      </c>
      <c r="P396" s="55" t="n">
        <f aca="false">'4.1.1'!H412/1.05</f>
        <v>113.257954285714</v>
      </c>
      <c r="Q396" s="57" t="n">
        <f aca="false">P396-10.18</f>
        <v>103.077954285714</v>
      </c>
      <c r="R396" s="55" t="n">
        <f aca="false">SUM(Q394:Q396)/3</f>
        <v>95.1723761904762</v>
      </c>
      <c r="S396" s="84" t="n">
        <f aca="false">H396-K396</f>
        <v>5.87861650833619</v>
      </c>
    </row>
    <row r="397" customFormat="false" ht="14.25" hidden="false" customHeight="true" outlineLevel="0" collapsed="false">
      <c r="A397" s="85" t="n">
        <v>2022</v>
      </c>
      <c r="B397" s="56" t="n">
        <v>44743</v>
      </c>
      <c r="C397" s="56"/>
      <c r="D397" s="96"/>
      <c r="E397" s="97"/>
      <c r="F397" s="97"/>
      <c r="G397" s="55" t="n">
        <f aca="false">'4.1.1'!F413/1.2</f>
        <v>164.481405</v>
      </c>
      <c r="H397" s="55" t="n">
        <f aca="false">G397-52.95</f>
        <v>111.531405</v>
      </c>
      <c r="I397" s="55"/>
      <c r="J397" s="55" t="n">
        <f aca="false">'4.1.1'!E413/1.2</f>
        <v>157.325644183236</v>
      </c>
      <c r="K397" s="55" t="n">
        <f aca="false">J397-52.95</f>
        <v>104.375644183236</v>
      </c>
      <c r="L397" s="55"/>
      <c r="M397" s="55" t="n">
        <f aca="false">'4.1.1'!G413/1.05</f>
        <v>80.6866666666667</v>
      </c>
      <c r="N397" s="57" t="n">
        <f aca="false">M397-0</f>
        <v>80.6866666666667</v>
      </c>
      <c r="O397" s="55"/>
      <c r="P397" s="55" t="n">
        <f aca="false">'4.1.1'!H413/1.05</f>
        <v>105.805315238095</v>
      </c>
      <c r="Q397" s="57" t="n">
        <f aca="false">P397-10.18</f>
        <v>95.6253152380952</v>
      </c>
      <c r="R397" s="55"/>
      <c r="S397" s="84" t="n">
        <f aca="false">H397-K397</f>
        <v>7.15576081676417</v>
      </c>
    </row>
    <row r="398" customFormat="false" ht="14.25" hidden="false" customHeight="true" outlineLevel="0" collapsed="false">
      <c r="A398" s="85" t="n">
        <v>2022</v>
      </c>
      <c r="B398" s="56" t="n">
        <v>44774</v>
      </c>
      <c r="C398" s="56"/>
      <c r="D398" s="96"/>
      <c r="E398" s="97"/>
      <c r="F398" s="97"/>
      <c r="G398" s="55" t="n">
        <f aca="false">'4.1.1'!F414/1.2</f>
        <v>154.125525833333</v>
      </c>
      <c r="H398" s="55" t="n">
        <f aca="false">G398-52.95</f>
        <v>101.175525833333</v>
      </c>
      <c r="I398" s="55"/>
      <c r="J398" s="55" t="n">
        <f aca="false">'4.1.1'!E414/1.2</f>
        <v>144.891119035443</v>
      </c>
      <c r="K398" s="55" t="n">
        <f aca="false">J398-52.95</f>
        <v>91.9411190354428</v>
      </c>
      <c r="L398" s="55"/>
      <c r="M398" s="55" t="n">
        <f aca="false">'4.1.1'!G414/1.05</f>
        <v>75.3847619047619</v>
      </c>
      <c r="N398" s="57" t="n">
        <f aca="false">M398-0</f>
        <v>75.3847619047619</v>
      </c>
      <c r="O398" s="55"/>
      <c r="P398" s="55" t="n">
        <f aca="false">'4.1.1'!H414/1.05</f>
        <v>99.2581361904762</v>
      </c>
      <c r="Q398" s="57" t="n">
        <f aca="false">P398-10.18</f>
        <v>89.0781361904762</v>
      </c>
      <c r="R398" s="55"/>
      <c r="S398" s="84" t="n">
        <f aca="false">H398-K398</f>
        <v>9.23440679789059</v>
      </c>
    </row>
    <row r="399" customFormat="false" ht="14.25" hidden="false" customHeight="true" outlineLevel="0" collapsed="false">
      <c r="A399" s="85" t="n">
        <v>2022</v>
      </c>
      <c r="B399" s="56" t="n">
        <v>44805</v>
      </c>
      <c r="C399" s="56"/>
      <c r="D399" s="96"/>
      <c r="E399" s="97"/>
      <c r="F399" s="97"/>
      <c r="G399" s="55" t="n">
        <f aca="false">'4.1.1'!F415/1.2</f>
        <v>151.849361666667</v>
      </c>
      <c r="H399" s="55" t="n">
        <f aca="false">G399-52.95</f>
        <v>98.8993616666667</v>
      </c>
      <c r="I399" s="55" t="n">
        <f aca="false">SUM(H397:H399)/3</f>
        <v>103.868764166667</v>
      </c>
      <c r="J399" s="55" t="n">
        <f aca="false">'4.1.1'!E415/1.2</f>
        <v>139.480253794171</v>
      </c>
      <c r="K399" s="55" t="n">
        <f aca="false">J399-52.95</f>
        <v>86.5302537941706</v>
      </c>
      <c r="L399" s="55" t="n">
        <f aca="false">SUM(K397:K399)/3</f>
        <v>94.2823390042831</v>
      </c>
      <c r="M399" s="55" t="n">
        <f aca="false">'4.1.1'!G415/1.05</f>
        <v>81.4504761904762</v>
      </c>
      <c r="N399" s="57" t="n">
        <f aca="false">M399-0</f>
        <v>81.4504761904762</v>
      </c>
      <c r="O399" s="55" t="n">
        <f aca="false">SUM(N397:N399)/3</f>
        <v>79.1739682539683</v>
      </c>
      <c r="P399" s="55" t="n">
        <f aca="false">'4.1.1'!H415/1.05</f>
        <v>98.9272257142857</v>
      </c>
      <c r="Q399" s="57" t="n">
        <f aca="false">P399-10.18</f>
        <v>88.7472257142857</v>
      </c>
      <c r="R399" s="55" t="n">
        <f aca="false">SUM(Q397:Q399)/3</f>
        <v>91.1502257142857</v>
      </c>
      <c r="S399" s="84" t="n">
        <f aca="false">H399-K399</f>
        <v>12.3691078724961</v>
      </c>
    </row>
    <row r="400" customFormat="false" ht="14.25" hidden="false" customHeight="true" outlineLevel="0" collapsed="false">
      <c r="A400" s="85" t="n">
        <v>2022</v>
      </c>
      <c r="B400" s="56" t="n">
        <v>44835</v>
      </c>
      <c r="C400" s="56"/>
      <c r="D400" s="96"/>
      <c r="E400" s="97"/>
      <c r="F400" s="97"/>
      <c r="G400" s="55" t="n">
        <f aca="false">'4.1.1'!F416/1.2</f>
        <v>152.1340275</v>
      </c>
      <c r="H400" s="55" t="n">
        <f aca="false">G400-52.95</f>
        <v>99.1840275</v>
      </c>
      <c r="I400" s="55"/>
      <c r="J400" s="55" t="n">
        <f aca="false">'4.1.1'!E416/1.2</f>
        <v>135.934234601604</v>
      </c>
      <c r="K400" s="55" t="n">
        <f aca="false">J400-52.95</f>
        <v>82.9842346016041</v>
      </c>
      <c r="L400" s="55"/>
      <c r="M400" s="55" t="n">
        <f aca="false">'4.1.1'!G416/1.05</f>
        <v>83.3809523809524</v>
      </c>
      <c r="N400" s="57" t="n">
        <f aca="false">M400-0</f>
        <v>83.3809523809524</v>
      </c>
      <c r="O400" s="55"/>
      <c r="P400" s="55" t="n">
        <f aca="false">'4.1.1'!H416/1.05</f>
        <v>106.884102857143</v>
      </c>
      <c r="Q400" s="57" t="n">
        <f aca="false">P400-10.18</f>
        <v>96.7041028571429</v>
      </c>
      <c r="R400" s="55"/>
      <c r="S400" s="84" t="n">
        <f aca="false">H400-K400</f>
        <v>16.1997928983959</v>
      </c>
    </row>
    <row r="401" customFormat="false" ht="14.25" hidden="false" customHeight="true" outlineLevel="0" collapsed="false">
      <c r="A401" s="85" t="n">
        <v>2022</v>
      </c>
      <c r="B401" s="56" t="n">
        <v>44866</v>
      </c>
      <c r="C401" s="56"/>
      <c r="D401" s="96"/>
      <c r="E401" s="97"/>
      <c r="F401" s="97"/>
      <c r="G401" s="55" t="n">
        <f aca="false">'4.1.1'!F417/1.2</f>
        <v>157.262599166667</v>
      </c>
      <c r="H401" s="55" t="n">
        <f aca="false">G401-52.95</f>
        <v>104.312599166667</v>
      </c>
      <c r="I401" s="55"/>
      <c r="J401" s="55" t="n">
        <f aca="false">'4.1.1'!E417/1.2</f>
        <v>136.989041541341</v>
      </c>
      <c r="K401" s="55" t="n">
        <f aca="false">J401-52.95</f>
        <v>84.0390415413408</v>
      </c>
      <c r="L401" s="55"/>
      <c r="M401" s="55" t="n">
        <f aca="false">'4.1.1'!G417/1.05</f>
        <v>81.407619047619</v>
      </c>
      <c r="N401" s="57" t="n">
        <f aca="false">M401-0</f>
        <v>81.407619047619</v>
      </c>
      <c r="O401" s="55"/>
      <c r="P401" s="55" t="n">
        <f aca="false">'4.1.1'!H417/1.05</f>
        <v>121.968276190476</v>
      </c>
      <c r="Q401" s="57" t="n">
        <f aca="false">P401-10.18</f>
        <v>111.788276190476</v>
      </c>
      <c r="R401" s="55"/>
      <c r="S401" s="84" t="n">
        <f aca="false">H401-K401</f>
        <v>20.2735576253259</v>
      </c>
    </row>
    <row r="402" customFormat="false" ht="14.25" hidden="false" customHeight="true" outlineLevel="0" collapsed="false">
      <c r="A402" s="85" t="n">
        <v>2022</v>
      </c>
      <c r="B402" s="56" t="n">
        <v>44896</v>
      </c>
      <c r="C402" s="56"/>
      <c r="D402" s="96"/>
      <c r="E402" s="97"/>
      <c r="F402" s="97"/>
      <c r="G402" s="55" t="n">
        <f aca="false">'4.1.1'!F418/1.2</f>
        <v>149.5068375</v>
      </c>
      <c r="H402" s="55" t="n">
        <f aca="false">G402-52.95</f>
        <v>96.5568375</v>
      </c>
      <c r="I402" s="55" t="n">
        <f aca="false">SUM(H400:H402)/3</f>
        <v>100.017821388889</v>
      </c>
      <c r="J402" s="55" t="n">
        <f aca="false">'4.1.1'!E418/1.2</f>
        <v>129.603186021269</v>
      </c>
      <c r="K402" s="55" t="n">
        <f aca="false">J402-52.95</f>
        <v>76.6531860212691</v>
      </c>
      <c r="L402" s="55" t="n">
        <f aca="false">SUM(K400:K402)/3</f>
        <v>81.2254873880713</v>
      </c>
      <c r="M402" s="55" t="n">
        <f aca="false">'4.1.1'!G418/1.05</f>
        <v>67.1238095238095</v>
      </c>
      <c r="N402" s="57" t="n">
        <f aca="false">M402-0</f>
        <v>67.1238095238095</v>
      </c>
      <c r="O402" s="55" t="n">
        <f aca="false">SUM(N400:N402)/3</f>
        <v>77.304126984127</v>
      </c>
      <c r="P402" s="55" t="n">
        <f aca="false">'4.1.1'!H418/1.05</f>
        <v>86.1926723809524</v>
      </c>
      <c r="Q402" s="57" t="n">
        <f aca="false">P402-10.18</f>
        <v>76.0126723809524</v>
      </c>
      <c r="R402" s="55" t="n">
        <f aca="false">SUM(Q400:Q402)/3</f>
        <v>94.8350171428571</v>
      </c>
      <c r="S402" s="84" t="n">
        <f aca="false">H402-K402</f>
        <v>19.9036514787309</v>
      </c>
      <c r="T402" s="55" t="n">
        <f aca="false">AVERAGE(G391:G402)</f>
        <v>148.048443055556</v>
      </c>
      <c r="U402" s="55" t="n">
        <f aca="false">AVERAGE(H391:H402)</f>
        <v>93.8484430555556</v>
      </c>
      <c r="V402" s="55" t="n">
        <f aca="false">AVERAGE(J391:J402)</f>
        <v>137.276895200823</v>
      </c>
      <c r="W402" s="55" t="n">
        <f aca="false">AVERAGE(K391:K402)</f>
        <v>83.0768952008234</v>
      </c>
    </row>
    <row r="403" customFormat="false" ht="14.25" hidden="false" customHeight="true" outlineLevel="0" collapsed="false">
      <c r="A403" s="85" t="n">
        <v>2023</v>
      </c>
      <c r="B403" s="56" t="n">
        <v>44927</v>
      </c>
      <c r="C403" s="56"/>
      <c r="D403" s="96"/>
      <c r="E403" s="97"/>
      <c r="F403" s="97"/>
      <c r="G403" s="55" t="n">
        <f aca="false">'4.1.1'!F419/1.2</f>
        <v>142.725780833333</v>
      </c>
      <c r="H403" s="55" t="n">
        <f aca="false">G403-52.95</f>
        <v>89.7757808333333</v>
      </c>
      <c r="I403" s="55"/>
      <c r="J403" s="55" t="n">
        <f aca="false">'4.1.1'!E419/1.2</f>
        <v>123.70892678018</v>
      </c>
      <c r="K403" s="55" t="n">
        <f aca="false">J403-52.95</f>
        <v>70.7589267801798</v>
      </c>
      <c r="L403" s="55"/>
      <c r="M403" s="55" t="n">
        <f aca="false">'4.1.1'!G419/1.05</f>
        <v>71.2266666666667</v>
      </c>
      <c r="N403" s="57" t="n">
        <f aca="false">M403-0</f>
        <v>71.2266666666667</v>
      </c>
      <c r="O403" s="55"/>
      <c r="P403" s="55" t="n">
        <f aca="false">'4.1.1'!H419/1.05</f>
        <v>87.7196257142857</v>
      </c>
      <c r="Q403" s="57" t="n">
        <f aca="false">P403-10.18</f>
        <v>77.5396257142857</v>
      </c>
      <c r="R403" s="55"/>
      <c r="S403" s="84" t="n">
        <f aca="false">H403-K403</f>
        <v>19.0168540531536</v>
      </c>
    </row>
    <row r="404" customFormat="false" ht="14.25" hidden="false" customHeight="true" outlineLevel="0" collapsed="false">
      <c r="A404" s="85" t="n">
        <v>2023</v>
      </c>
      <c r="B404" s="56" t="n">
        <v>44958</v>
      </c>
      <c r="C404" s="56"/>
      <c r="D404" s="96"/>
      <c r="E404" s="97"/>
      <c r="F404" s="97"/>
      <c r="G404" s="55" t="n">
        <f aca="false">'4.1.1'!F420/1.2</f>
        <v>141.248259166667</v>
      </c>
      <c r="H404" s="55" t="n">
        <f aca="false">G404-52.95</f>
        <v>88.2982591666666</v>
      </c>
      <c r="I404" s="55"/>
      <c r="J404" s="55" t="n">
        <f aca="false">'4.1.1'!E420/1.2</f>
        <v>123.34670367705</v>
      </c>
      <c r="K404" s="55" t="n">
        <f aca="false">J404-52.95</f>
        <v>70.3967036770503</v>
      </c>
      <c r="L404" s="55"/>
      <c r="M404" s="55" t="n">
        <f aca="false">'4.1.1'!G420/1.05</f>
        <v>66.5419047619048</v>
      </c>
      <c r="N404" s="57" t="n">
        <f aca="false">M404-0</f>
        <v>66.5419047619048</v>
      </c>
      <c r="O404" s="55"/>
      <c r="P404" s="55" t="n">
        <f aca="false">'4.1.1'!H420/1.05</f>
        <v>80.2787742857143</v>
      </c>
      <c r="Q404" s="57" t="n">
        <f aca="false">P404-10.18</f>
        <v>70.0987742857143</v>
      </c>
      <c r="R404" s="55"/>
      <c r="S404" s="84" t="n">
        <f aca="false">H404-K404</f>
        <v>17.9015554896164</v>
      </c>
    </row>
    <row r="405" customFormat="false" ht="14.25" hidden="false" customHeight="true" outlineLevel="0" collapsed="false">
      <c r="A405" s="85" t="n">
        <v>2023</v>
      </c>
      <c r="B405" s="56" t="n">
        <v>44986</v>
      </c>
      <c r="C405" s="56"/>
      <c r="D405" s="96"/>
      <c r="E405" s="97"/>
      <c r="F405" s="97"/>
      <c r="G405" s="55" t="n">
        <f aca="false">'4.1.1'!F421/1.2</f>
        <v>139.023185833333</v>
      </c>
      <c r="H405" s="55" t="n">
        <f aca="false">G405-52.95</f>
        <v>86.0731858333334</v>
      </c>
      <c r="I405" s="55" t="n">
        <f aca="false">SUM(H403:H405)/3</f>
        <v>88.0490752777778</v>
      </c>
      <c r="J405" s="55" t="n">
        <f aca="false">'4.1.1'!E421/1.2</f>
        <v>122.390300082879</v>
      </c>
      <c r="K405" s="55" t="n">
        <f aca="false">J405-52.95</f>
        <v>69.4403000828786</v>
      </c>
      <c r="L405" s="55" t="n">
        <f aca="false">SUM(K403:K405)/3</f>
        <v>70.1986435133695</v>
      </c>
      <c r="M405" s="55" t="n">
        <f aca="false">'4.1.1'!G421/1.05</f>
        <v>62.7057142857143</v>
      </c>
      <c r="N405" s="57" t="n">
        <f aca="false">M405-0</f>
        <v>62.7057142857143</v>
      </c>
      <c r="O405" s="55" t="n">
        <f aca="false">SUM(N403:N405)/3</f>
        <v>66.8247619047619</v>
      </c>
      <c r="P405" s="55" t="n">
        <f aca="false">'4.1.1'!H421/1.05</f>
        <v>77.12118</v>
      </c>
      <c r="Q405" s="57" t="n">
        <f aca="false">P405-10.18</f>
        <v>66.94118</v>
      </c>
      <c r="R405" s="55" t="n">
        <f aca="false">SUM(Q403:Q405)/3</f>
        <v>71.5265266666667</v>
      </c>
      <c r="S405" s="84" t="n">
        <f aca="false">H405-K405</f>
        <v>16.6328857504548</v>
      </c>
    </row>
    <row r="406" customFormat="false" ht="14.25" hidden="false" customHeight="true" outlineLevel="0" collapsed="false">
      <c r="A406" s="85" t="n">
        <v>2023</v>
      </c>
      <c r="B406" s="56" t="n">
        <v>45017</v>
      </c>
      <c r="C406" s="56"/>
      <c r="D406" s="96"/>
      <c r="E406" s="97"/>
      <c r="F406" s="97"/>
      <c r="G406" s="55" t="n">
        <f aca="false">'4.1.1'!F422/1.2</f>
        <v>135.073044166667</v>
      </c>
      <c r="H406" s="55" t="n">
        <f aca="false">G406-52.95</f>
        <v>82.1230441666667</v>
      </c>
      <c r="I406" s="55"/>
      <c r="J406" s="55" t="n">
        <f aca="false">'4.1.1'!E422/1.2</f>
        <v>121.774624628858</v>
      </c>
      <c r="K406" s="55" t="n">
        <f aca="false">J406-52.95</f>
        <v>68.8246246288582</v>
      </c>
      <c r="L406" s="55"/>
      <c r="M406" s="55" t="n">
        <f aca="false">'4.1.1'!G422/1.05</f>
        <v>58.6876190476191</v>
      </c>
      <c r="N406" s="57" t="n">
        <f aca="false">M406-0</f>
        <v>58.6876190476191</v>
      </c>
      <c r="O406" s="55"/>
      <c r="P406" s="55" t="n">
        <f aca="false">'4.1.1'!H422/1.05</f>
        <v>89.3079838095238</v>
      </c>
      <c r="Q406" s="57" t="n">
        <f aca="false">P406-10.18</f>
        <v>79.1279838095238</v>
      </c>
      <c r="R406" s="55"/>
      <c r="S406" s="84" t="n">
        <f aca="false">H406-K406</f>
        <v>13.2984195378085</v>
      </c>
    </row>
    <row r="407" customFormat="false" ht="14.25" hidden="false" customHeight="true" outlineLevel="0" collapsed="false">
      <c r="A407" s="85" t="n">
        <v>2023</v>
      </c>
      <c r="B407" s="56" t="n">
        <v>45047</v>
      </c>
      <c r="C407" s="56"/>
      <c r="D407" s="96"/>
      <c r="E407" s="97"/>
      <c r="F407" s="97"/>
      <c r="G407" s="55" t="n">
        <f aca="false">'4.1.1'!F423/1.2</f>
        <v>129.407615833333</v>
      </c>
      <c r="H407" s="55" t="n">
        <f aca="false">G407-52.95</f>
        <v>76.4576158333334</v>
      </c>
      <c r="I407" s="55"/>
      <c r="J407" s="55" t="n">
        <f aca="false">'4.1.1'!E423/1.2</f>
        <v>120.481427992035</v>
      </c>
      <c r="K407" s="55" t="n">
        <f aca="false">J407-52.95</f>
        <v>67.5314279920351</v>
      </c>
      <c r="L407" s="55"/>
      <c r="M407" s="55" t="n">
        <f aca="false">'4.1.1'!G423/1.05</f>
        <v>50.6980952380952</v>
      </c>
      <c r="N407" s="57" t="n">
        <f aca="false">M407-0</f>
        <v>50.6980952380952</v>
      </c>
      <c r="O407" s="55"/>
      <c r="P407" s="55" t="n">
        <f aca="false">'4.1.1'!H423/1.05</f>
        <v>79.2893038095238</v>
      </c>
      <c r="Q407" s="57" t="n">
        <f aca="false">P407-10.18</f>
        <v>69.1093038095238</v>
      </c>
      <c r="R407" s="55"/>
      <c r="S407" s="84" t="n">
        <f aca="false">H407-K407</f>
        <v>8.92618784129824</v>
      </c>
    </row>
    <row r="408" customFormat="false" ht="14.25" hidden="false" customHeight="true" outlineLevel="0" collapsed="false">
      <c r="A408" s="85" t="n">
        <v>2023</v>
      </c>
      <c r="B408" s="56" t="n">
        <v>45078</v>
      </c>
      <c r="C408" s="56"/>
      <c r="D408" s="96"/>
      <c r="E408" s="97"/>
      <c r="F408" s="97"/>
      <c r="G408" s="55" t="n">
        <f aca="false">'4.1.1'!F424/1.2</f>
        <v>121.223031666667</v>
      </c>
      <c r="H408" s="55" t="n">
        <f aca="false">G408-52.95</f>
        <v>68.2730316666667</v>
      </c>
      <c r="I408" s="55" t="n">
        <f aca="false">SUM(H406:H408)/3</f>
        <v>75.6178972222223</v>
      </c>
      <c r="J408" s="55" t="n">
        <f aca="false">'4.1.1'!E424/1.2</f>
        <v>118.921477558887</v>
      </c>
      <c r="K408" s="55" t="n">
        <f aca="false">J408-52.95</f>
        <v>65.9714775588871</v>
      </c>
      <c r="L408" s="55" t="n">
        <f aca="false">SUM(K406:K408)/3</f>
        <v>67.4425100599268</v>
      </c>
      <c r="M408" s="55" t="n">
        <f aca="false">'4.1.1'!G424/1.05</f>
        <v>51.6057142857143</v>
      </c>
      <c r="N408" s="57" t="n">
        <f aca="false">M408-0</f>
        <v>51.6057142857143</v>
      </c>
      <c r="O408" s="55" t="n">
        <f aca="false">SUM(N406:N408)/3</f>
        <v>53.6638095238095</v>
      </c>
      <c r="P408" s="55" t="n">
        <f aca="false">'4.1.1'!H424/1.05</f>
        <v>64.1268761904762</v>
      </c>
      <c r="Q408" s="57" t="n">
        <f aca="false">P408-10.18</f>
        <v>53.9468761904762</v>
      </c>
      <c r="R408" s="55" t="n">
        <f aca="false">SUM(Q406:Q408)/3</f>
        <v>67.3947212698413</v>
      </c>
      <c r="S408" s="84" t="n">
        <f aca="false">H408-K408</f>
        <v>2.30155410777962</v>
      </c>
    </row>
    <row r="409" customFormat="false" ht="14.25" hidden="false" customHeight="true" outlineLevel="0" collapsed="false">
      <c r="A409" s="85" t="n">
        <v>2023</v>
      </c>
      <c r="B409" s="56" t="n">
        <v>45108</v>
      </c>
      <c r="C409" s="56"/>
      <c r="D409" s="96"/>
      <c r="E409" s="97"/>
      <c r="F409" s="97"/>
      <c r="G409" s="55" t="n">
        <f aca="false">'4.1.1'!F425/1.2</f>
        <v>120.5349925</v>
      </c>
      <c r="H409" s="55" t="n">
        <f aca="false">G409-52.95</f>
        <v>67.5849925</v>
      </c>
      <c r="I409" s="55"/>
      <c r="J409" s="55" t="n">
        <f aca="false">'4.1.1'!E425/1.2</f>
        <v>119.003708426802</v>
      </c>
      <c r="K409" s="55" t="n">
        <f aca="false">J409-52.95</f>
        <v>66.0537084268015</v>
      </c>
      <c r="L409" s="55"/>
      <c r="M409" s="55" t="n">
        <f aca="false">'4.1.1'!G425/1.05</f>
        <v>53.9380952380952</v>
      </c>
      <c r="N409" s="57" t="n">
        <f aca="false">M409-0</f>
        <v>53.9380952380952</v>
      </c>
      <c r="O409" s="55"/>
      <c r="P409" s="55" t="n">
        <f aca="false">'4.1.1'!H425/1.05</f>
        <v>83.0328647619048</v>
      </c>
      <c r="Q409" s="57" t="n">
        <f aca="false">P409-10.18</f>
        <v>72.8528647619048</v>
      </c>
      <c r="R409" s="55"/>
      <c r="S409" s="84" t="n">
        <f aca="false">H409-K409</f>
        <v>1.53128407319848</v>
      </c>
    </row>
    <row r="410" customFormat="false" ht="14.25" hidden="false" customHeight="true" outlineLevel="0" collapsed="false">
      <c r="A410" s="85" t="n">
        <v>2023</v>
      </c>
      <c r="B410" s="56" t="n">
        <v>45139</v>
      </c>
      <c r="C410" s="56"/>
      <c r="D410" s="96"/>
      <c r="E410" s="97"/>
      <c r="F410" s="97"/>
      <c r="G410" s="55" t="n">
        <f aca="false">'4.1.1'!F426/1.2</f>
        <v>125.380643333333</v>
      </c>
      <c r="H410" s="55" t="n">
        <f aca="false">G410-52.95</f>
        <v>72.4306433333333</v>
      </c>
      <c r="I410" s="55"/>
      <c r="J410" s="55" t="n">
        <f aca="false">'4.1.1'!E426/1.2</f>
        <v>123.258849159236</v>
      </c>
      <c r="K410" s="55" t="n">
        <f aca="false">J410-52.95</f>
        <v>70.3088491592359</v>
      </c>
      <c r="L410" s="55"/>
      <c r="M410" s="55" t="n">
        <f aca="false">'4.1.1'!G426/1.05</f>
        <v>65.6914285714286</v>
      </c>
      <c r="N410" s="57" t="n">
        <f aca="false">M410-0</f>
        <v>65.6914285714286</v>
      </c>
      <c r="O410" s="55"/>
      <c r="P410" s="55" t="n">
        <f aca="false">'4.1.1'!H426/1.05</f>
        <v>76.3022076190476</v>
      </c>
      <c r="Q410" s="57" t="n">
        <f aca="false">P410-10.18</f>
        <v>66.1222076190476</v>
      </c>
      <c r="R410" s="55"/>
      <c r="S410" s="84" t="n">
        <f aca="false">H410-K410</f>
        <v>2.1217941740974</v>
      </c>
    </row>
    <row r="411" customFormat="false" ht="14.25" hidden="false" customHeight="true" outlineLevel="0" collapsed="false">
      <c r="A411" s="85" t="n">
        <v>2023</v>
      </c>
      <c r="B411" s="56" t="n">
        <v>45170</v>
      </c>
      <c r="C411" s="56"/>
      <c r="D411" s="96"/>
      <c r="E411" s="97"/>
      <c r="F411" s="97"/>
      <c r="G411" s="55" t="n">
        <f aca="false">'4.1.1'!F427/1.2</f>
        <v>131.949925</v>
      </c>
      <c r="H411" s="55" t="n">
        <f aca="false">G411-52.95</f>
        <v>78.999925</v>
      </c>
      <c r="I411" s="55" t="n">
        <f aca="false">SUM(H409:H411)/3</f>
        <v>73.0051869444445</v>
      </c>
      <c r="J411" s="55" t="n">
        <f aca="false">'4.1.1'!E427/1.2</f>
        <v>128.534222758978</v>
      </c>
      <c r="K411" s="55" t="n">
        <f aca="false">J411-52.95</f>
        <v>75.584222758978</v>
      </c>
      <c r="L411" s="55" t="n">
        <f aca="false">SUM(K409:K411)/3</f>
        <v>70.6489267816718</v>
      </c>
      <c r="M411" s="55" t="n">
        <f aca="false">'4.1.1'!G427/1.05</f>
        <v>71.3371428571429</v>
      </c>
      <c r="N411" s="57" t="n">
        <f aca="false">M411-0</f>
        <v>71.3371428571429</v>
      </c>
      <c r="O411" s="55" t="n">
        <f aca="false">SUM(N409:N411)/3</f>
        <v>63.6555555555556</v>
      </c>
      <c r="P411" s="55" t="n">
        <f aca="false">'4.1.1'!H427/1.05</f>
        <v>84.9258590476191</v>
      </c>
      <c r="Q411" s="57" t="n">
        <f aca="false">P411-10.18</f>
        <v>74.7458590476191</v>
      </c>
      <c r="R411" s="55" t="n">
        <f aca="false">SUM(Q409:Q411)/3</f>
        <v>71.2403104761905</v>
      </c>
      <c r="S411" s="84" t="n">
        <f aca="false">H411-K411</f>
        <v>3.41570224102202</v>
      </c>
    </row>
    <row r="412" customFormat="false" ht="14.25" hidden="false" customHeight="true" outlineLevel="0" collapsed="false">
      <c r="A412" s="85" t="n">
        <v>2023</v>
      </c>
      <c r="B412" s="56" t="n">
        <v>45200</v>
      </c>
      <c r="C412" s="56"/>
      <c r="D412" s="96"/>
      <c r="E412" s="97"/>
      <c r="F412" s="97"/>
      <c r="G412" s="55" t="n">
        <f aca="false">'4.1.1'!F428/1.2</f>
        <v>135.244175833333</v>
      </c>
      <c r="H412" s="55" t="n">
        <f aca="false">G412-52.95</f>
        <v>82.2941758333334</v>
      </c>
      <c r="I412" s="55"/>
      <c r="J412" s="55" t="n">
        <f aca="false">'4.1.1'!E428/1.2</f>
        <v>129.460086104546</v>
      </c>
      <c r="K412" s="55" t="n">
        <f aca="false">J412-52.95</f>
        <v>76.5100861045455</v>
      </c>
      <c r="L412" s="55"/>
      <c r="M412" s="55" t="n">
        <f aca="false">'4.1.1'!G428/1.05</f>
        <v>70.2257142857143</v>
      </c>
      <c r="N412" s="57" t="n">
        <f aca="false">M412-0</f>
        <v>70.2257142857143</v>
      </c>
      <c r="O412" s="55"/>
      <c r="P412" s="55" t="n">
        <f aca="false">'4.1.1'!H428/1.05</f>
        <v>82.7948019047619</v>
      </c>
      <c r="Q412" s="57" t="n">
        <f aca="false">P412-10.18</f>
        <v>72.6148019047619</v>
      </c>
      <c r="R412" s="55"/>
      <c r="S412" s="84" t="n">
        <f aca="false">H412-K412</f>
        <v>5.78408972878785</v>
      </c>
    </row>
    <row r="413" customFormat="false" ht="14.25" hidden="false" customHeight="true" outlineLevel="0" collapsed="false">
      <c r="A413" s="85" t="n">
        <v>2023</v>
      </c>
      <c r="B413" s="56" t="n">
        <v>45231</v>
      </c>
      <c r="C413" s="56"/>
      <c r="D413" s="96"/>
      <c r="E413" s="97"/>
      <c r="F413" s="97"/>
      <c r="G413" s="55" t="n">
        <f aca="false">'4.1.1'!F429/1.2</f>
        <v>133.514126666667</v>
      </c>
      <c r="H413" s="55" t="n">
        <f aca="false">G413-52.95</f>
        <v>80.5641266666667</v>
      </c>
      <c r="I413" s="55"/>
      <c r="J413" s="55" t="n">
        <f aca="false">'4.1.1'!E429/1.2</f>
        <v>126.853416405233</v>
      </c>
      <c r="K413" s="55" t="n">
        <f aca="false">J413-52.95</f>
        <v>73.9034164052329</v>
      </c>
      <c r="L413" s="55"/>
      <c r="M413" s="55" t="n">
        <f aca="false">'4.1.1'!G429/1.05</f>
        <v>65.56</v>
      </c>
      <c r="N413" s="57" t="n">
        <f aca="false">M413-0</f>
        <v>65.56</v>
      </c>
      <c r="O413" s="55"/>
      <c r="P413" s="55" t="n">
        <f aca="false">'4.1.1'!H429/1.05</f>
        <v>76.0336876190476</v>
      </c>
      <c r="Q413" s="57" t="n">
        <f aca="false">P413-10.18</f>
        <v>65.8536876190476</v>
      </c>
      <c r="R413" s="55"/>
      <c r="S413" s="84" t="n">
        <f aca="false">H413-K413</f>
        <v>6.66071026143376</v>
      </c>
    </row>
    <row r="414" customFormat="false" ht="14.25" hidden="false" customHeight="true" outlineLevel="0" collapsed="false">
      <c r="A414" s="85" t="n">
        <v>2023</v>
      </c>
      <c r="B414" s="56" t="n">
        <v>45261</v>
      </c>
      <c r="C414" s="56"/>
      <c r="D414" s="96"/>
      <c r="E414" s="97"/>
      <c r="F414" s="97"/>
      <c r="G414" s="55" t="n">
        <f aca="false">'4.1.1'!F430/1.2</f>
        <v>126.562331666667</v>
      </c>
      <c r="H414" s="55" t="n">
        <f aca="false">G414-52.95</f>
        <v>73.6123316666667</v>
      </c>
      <c r="I414" s="55" t="n">
        <f aca="false">SUM(H412:H414)/3</f>
        <v>78.8235447222223</v>
      </c>
      <c r="J414" s="55" t="n">
        <f aca="false">'4.1.1'!E430/1.2</f>
        <v>119.729592710242</v>
      </c>
      <c r="K414" s="55" t="n">
        <f aca="false">J414-52.95</f>
        <v>66.7795927102422</v>
      </c>
      <c r="L414" s="55" t="n">
        <f aca="false">SUM(K412:K414)/3</f>
        <v>72.3976984066735</v>
      </c>
      <c r="M414" s="55" t="n">
        <f aca="false">'4.1.1'!G430/1.05</f>
        <v>59.2504761904762</v>
      </c>
      <c r="N414" s="57" t="n">
        <f aca="false">M414-0</f>
        <v>59.2504761904762</v>
      </c>
      <c r="O414" s="55" t="n">
        <f aca="false">SUM(N412:N414)/3</f>
        <v>65.0120634920635</v>
      </c>
      <c r="P414" s="55" t="n">
        <f aca="false">'4.1.1'!H430/1.05</f>
        <v>72.4059285714286</v>
      </c>
      <c r="Q414" s="57" t="n">
        <f aca="false">P414-10.18</f>
        <v>62.2259285714286</v>
      </c>
      <c r="R414" s="55" t="n">
        <f aca="false">SUM(Q412:Q414)/3</f>
        <v>66.8981393650794</v>
      </c>
      <c r="S414" s="84" t="n">
        <f aca="false">H414-K414</f>
        <v>6.83273895642448</v>
      </c>
      <c r="T414" s="55" t="n">
        <f aca="false">AVERAGE(G403:G414)</f>
        <v>131.823926041667</v>
      </c>
      <c r="U414" s="55" t="n">
        <f aca="false">AVERAGE(H403:H414)</f>
        <v>78.8739260416667</v>
      </c>
      <c r="V414" s="55" t="n">
        <f aca="false">AVERAGE(J403:J414)</f>
        <v>123.12194469041</v>
      </c>
      <c r="W414" s="55" t="n">
        <f aca="false">AVERAGE(K403:K414)</f>
        <v>70.1719446904104</v>
      </c>
    </row>
    <row r="415" customFormat="false" ht="14.25" hidden="false" customHeight="true" outlineLevel="0" collapsed="false">
      <c r="A415" s="85" t="n">
        <v>2024</v>
      </c>
      <c r="B415" s="56" t="n">
        <v>45292</v>
      </c>
      <c r="C415" s="56"/>
      <c r="D415" s="96"/>
      <c r="E415" s="97"/>
      <c r="F415" s="97"/>
      <c r="G415" s="55" t="n">
        <f aca="false">'4.1.1'!F431/1.2</f>
        <v>123.193245833333</v>
      </c>
      <c r="H415" s="55" t="n">
        <f aca="false">G415-52.95</f>
        <v>70.2432458333333</v>
      </c>
      <c r="I415" s="55"/>
      <c r="J415" s="55" t="n">
        <f aca="false">'4.1.1'!E431/1.2</f>
        <v>116.133515104967</v>
      </c>
      <c r="K415" s="55" t="n">
        <f aca="false">J415-52.95</f>
        <v>63.183515104967</v>
      </c>
      <c r="L415" s="55"/>
      <c r="M415" s="55" t="n">
        <f aca="false">'4.1.1'!G431/1.05</f>
        <v>59.9380952380952</v>
      </c>
      <c r="N415" s="57" t="n">
        <f aca="false">M415-0</f>
        <v>59.9380952380952</v>
      </c>
      <c r="O415" s="55"/>
      <c r="P415" s="55" t="n">
        <f aca="false">'4.1.1'!H431/1.05</f>
        <v>71.7709533333333</v>
      </c>
      <c r="Q415" s="57" t="n">
        <f aca="false">P415-10.18</f>
        <v>61.5909533333333</v>
      </c>
      <c r="R415" s="55"/>
      <c r="S415" s="84" t="n">
        <f aca="false">H415-K415</f>
        <v>7.05973072836635</v>
      </c>
    </row>
    <row r="416" customFormat="false" ht="14.25" hidden="false" customHeight="true" outlineLevel="0" collapsed="false">
      <c r="A416" s="85" t="n">
        <v>2024</v>
      </c>
      <c r="B416" s="56" t="n">
        <v>45323</v>
      </c>
      <c r="C416" s="56"/>
      <c r="D416" s="96"/>
      <c r="E416" s="97"/>
      <c r="F416" s="97"/>
      <c r="G416" s="55" t="n">
        <f aca="false">'4.1.1'!F432/1.2</f>
        <v>125.3766675</v>
      </c>
      <c r="H416" s="55" t="n">
        <f aca="false">G416-52.95</f>
        <v>72.4266675</v>
      </c>
      <c r="I416" s="55"/>
      <c r="J416" s="55" t="n">
        <f aca="false">'4.1.1'!E432/1.2</f>
        <v>117.891638758746</v>
      </c>
      <c r="K416" s="55" t="n">
        <f aca="false">J416-52.95</f>
        <v>64.9416387587462</v>
      </c>
      <c r="L416" s="55"/>
      <c r="M416" s="55" t="n">
        <f aca="false">'4.1.1'!G432/1.05</f>
        <v>63.4628571428571</v>
      </c>
      <c r="N416" s="57" t="n">
        <f aca="false">M416-0</f>
        <v>63.4628571428571</v>
      </c>
      <c r="O416" s="55"/>
      <c r="P416" s="55" t="n">
        <f aca="false">'4.1.1'!H432/1.05</f>
        <v>74.8026752380952</v>
      </c>
      <c r="Q416" s="57" t="n">
        <f aca="false">P416-10.18</f>
        <v>64.6226752380952</v>
      </c>
      <c r="R416" s="55"/>
      <c r="S416" s="84" t="n">
        <f aca="false">H416-K416</f>
        <v>7.48502874125386</v>
      </c>
    </row>
    <row r="417" customFormat="false" ht="14.25" hidden="false" customHeight="true" outlineLevel="0" collapsed="false">
      <c r="A417" s="85" t="n">
        <v>2024</v>
      </c>
      <c r="B417" s="56" t="n">
        <v>45352</v>
      </c>
      <c r="C417" s="56"/>
      <c r="D417" s="96"/>
      <c r="E417" s="97"/>
      <c r="F417" s="97"/>
      <c r="G417" s="55" t="n">
        <f aca="false">'4.1.1'!F433/1.2</f>
        <v>128.103475</v>
      </c>
      <c r="H417" s="55" t="n">
        <f aca="false">G417-52.95</f>
        <v>75.153475</v>
      </c>
      <c r="I417" s="55" t="n">
        <f aca="false">SUM(H415:H417)/3</f>
        <v>72.6077961111111</v>
      </c>
      <c r="J417" s="55" t="n">
        <f aca="false">'4.1.1'!E433/1.2</f>
        <v>120.549214895241</v>
      </c>
      <c r="K417" s="55" t="n">
        <f aca="false">J417-52.95</f>
        <v>67.5992148952408</v>
      </c>
      <c r="L417" s="55" t="n">
        <f aca="false">SUM(K415:K417)/3</f>
        <v>65.2414562529846</v>
      </c>
      <c r="M417" s="55" t="n">
        <f aca="false">'4.1.1'!G433/1.05</f>
        <v>59.7380952380952</v>
      </c>
      <c r="N417" s="57" t="n">
        <f aca="false">M417-0</f>
        <v>59.7380952380952</v>
      </c>
      <c r="O417" s="55" t="n">
        <f aca="false">SUM(N415:N417)/3</f>
        <v>61.0463492063492</v>
      </c>
      <c r="P417" s="55" t="n">
        <f aca="false">'4.1.1'!H433/1.05</f>
        <v>75.0113552380953</v>
      </c>
      <c r="Q417" s="57" t="n">
        <f aca="false">P417-10.18</f>
        <v>64.8313552380953</v>
      </c>
      <c r="R417" s="55" t="n">
        <f aca="false">SUM(Q415:Q417)/3</f>
        <v>63.6816612698413</v>
      </c>
      <c r="S417" s="84" t="n">
        <f aca="false">H417-K417</f>
        <v>7.55426010475921</v>
      </c>
    </row>
    <row r="418" customFormat="false" ht="14.25" hidden="false" customHeight="true" outlineLevel="0" collapsed="false">
      <c r="A418" s="85" t="n">
        <v>2024</v>
      </c>
      <c r="B418" s="56" t="n">
        <v>45383</v>
      </c>
      <c r="C418" s="56"/>
      <c r="D418" s="96"/>
      <c r="E418" s="97"/>
      <c r="F418" s="97"/>
      <c r="G418" s="55" t="n">
        <f aca="false">'4.1.1'!F434/1.2</f>
        <v>131.448959166667</v>
      </c>
      <c r="H418" s="55" t="n">
        <f aca="false">G418-52.95</f>
        <v>78.4989591666667</v>
      </c>
      <c r="I418" s="55"/>
      <c r="J418" s="55" t="n">
        <f aca="false">'4.1.1'!E434/1.2</f>
        <v>124.039430851962</v>
      </c>
      <c r="K418" s="55" t="n">
        <f aca="false">J418-52.95</f>
        <v>71.0894308519624</v>
      </c>
      <c r="L418" s="55"/>
      <c r="M418" s="55" t="n">
        <f aca="false">'4.1.1'!G434/1.05</f>
        <v>60.9657142857143</v>
      </c>
      <c r="N418" s="57" t="n">
        <f aca="false">M418-0</f>
        <v>60.9657142857143</v>
      </c>
      <c r="O418" s="55"/>
      <c r="P418" s="55" t="n">
        <f aca="false">'4.1.1'!H434/1.05</f>
        <v>74.7173476190476</v>
      </c>
      <c r="Q418" s="57" t="n">
        <f aca="false">P418-10.18</f>
        <v>64.5373476190476</v>
      </c>
      <c r="R418" s="55"/>
      <c r="S418" s="84" t="n">
        <f aca="false">H418-K418</f>
        <v>7.40952831470428</v>
      </c>
    </row>
    <row r="419" customFormat="false" ht="14.25" hidden="false" customHeight="true" outlineLevel="0" collapsed="false">
      <c r="A419" s="85" t="n">
        <v>2024</v>
      </c>
      <c r="B419" s="56" t="n">
        <v>45413</v>
      </c>
      <c r="C419" s="56"/>
      <c r="D419" s="96"/>
      <c r="E419" s="97"/>
      <c r="F419" s="97"/>
      <c r="G419" s="55" t="n">
        <f aca="false">'4.1.1'!F435/1.2</f>
        <v>131.047140833333</v>
      </c>
      <c r="H419" s="55" t="n">
        <f aca="false">G419-52.95</f>
        <v>78.0971408333334</v>
      </c>
      <c r="I419" s="55"/>
      <c r="J419" s="55" t="n">
        <f aca="false">'4.1.1'!E435/1.2</f>
        <v>124.427059887544</v>
      </c>
      <c r="K419" s="55" t="n">
        <f aca="false">J419-52.95</f>
        <v>71.4770598875444</v>
      </c>
      <c r="L419" s="55"/>
      <c r="M419" s="55" t="n">
        <f aca="false">'4.1.1'!G435/1.05</f>
        <v>56.8295238095238</v>
      </c>
      <c r="N419" s="57" t="n">
        <f aca="false">M419-0</f>
        <v>56.8295238095238</v>
      </c>
      <c r="O419" s="55"/>
      <c r="P419" s="55" t="n">
        <f aca="false">'4.1.1'!H435/1.05</f>
        <v>69.2642657142857</v>
      </c>
      <c r="Q419" s="57" t="n">
        <f aca="false">P419-10.18</f>
        <v>59.0842657142857</v>
      </c>
      <c r="R419" s="55"/>
      <c r="S419" s="84" t="n">
        <f aca="false">H419-K419</f>
        <v>6.62008094578894</v>
      </c>
    </row>
    <row r="420" customFormat="false" ht="12.75" hidden="false" customHeight="false" outlineLevel="0" collapsed="false">
      <c r="A420" s="85" t="n">
        <v>2024</v>
      </c>
      <c r="B420" s="56" t="n">
        <v>45444</v>
      </c>
      <c r="C420" s="56"/>
      <c r="D420" s="96"/>
      <c r="E420" s="97"/>
      <c r="F420" s="97"/>
      <c r="G420" s="55" t="n">
        <f aca="false">'4.1.1'!F436/1.2</f>
        <v>125.506768333333</v>
      </c>
      <c r="H420" s="55" t="n">
        <f aca="false">G420-52.95</f>
        <v>72.5567683333334</v>
      </c>
      <c r="I420" s="55" t="n">
        <f aca="false">SUM(H418:H420)/3</f>
        <v>76.3842894444445</v>
      </c>
      <c r="J420" s="55" t="n">
        <f aca="false">'4.1.1'!E436/1.2</f>
        <v>120.910053788817</v>
      </c>
      <c r="K420" s="55" t="n">
        <f aca="false">J420-52.95</f>
        <v>67.9600537888175</v>
      </c>
      <c r="L420" s="55" t="n">
        <f aca="false">SUM(K418:K420)/3</f>
        <v>70.1755148427748</v>
      </c>
      <c r="M420" s="55" t="n">
        <f aca="false">'4.1.1'!G436/1.05</f>
        <v>55.6771428571429</v>
      </c>
      <c r="N420" s="57" t="n">
        <f aca="false">M420-0</f>
        <v>55.6771428571429</v>
      </c>
      <c r="O420" s="55" t="n">
        <f aca="false">SUM(N418:N420)/3</f>
        <v>57.824126984127</v>
      </c>
      <c r="P420" s="55" t="n">
        <f aca="false">'4.1.1'!H436/1.05</f>
        <v>69.21052</v>
      </c>
      <c r="Q420" s="57" t="n">
        <f aca="false">P420-10.18</f>
        <v>59.03052</v>
      </c>
      <c r="R420" s="55" t="n">
        <f aca="false">SUM(Q418:Q420)/3</f>
        <v>60.8840444444444</v>
      </c>
      <c r="S420" s="84" t="n">
        <f aca="false">H420-K420</f>
        <v>4.59671454451588</v>
      </c>
    </row>
    <row r="421" customFormat="false" ht="12.75" hidden="false" customHeight="false" outlineLevel="0" collapsed="false">
      <c r="A421" s="85" t="n">
        <v>2024</v>
      </c>
      <c r="B421" s="56" t="n">
        <v>45474</v>
      </c>
      <c r="C421" s="56"/>
      <c r="D421" s="96"/>
      <c r="E421" s="97"/>
      <c r="F421" s="97"/>
      <c r="G421" s="55" t="n">
        <f aca="false">'4.1.1'!F437/1.2</f>
        <v>125.532404166667</v>
      </c>
      <c r="H421" s="55" t="n">
        <f aca="false">G421-52.95</f>
        <v>72.5824041666667</v>
      </c>
      <c r="I421" s="55"/>
      <c r="J421" s="55" t="n">
        <f aca="false">'4.1.1'!E437/1.2</f>
        <v>120.657766659886</v>
      </c>
      <c r="K421" s="55" t="n">
        <f aca="false">J421-52.95</f>
        <v>67.7077666598864</v>
      </c>
      <c r="L421" s="55"/>
      <c r="M421" s="55" t="n">
        <f aca="false">'4.1.1'!G437/1.05</f>
        <v>56.1876190476191</v>
      </c>
      <c r="N421" s="57" t="n">
        <f aca="false">M421-0</f>
        <v>56.1876190476191</v>
      </c>
      <c r="O421" s="55"/>
      <c r="P421" s="55" t="n">
        <f aca="false">'4.1.1'!H437/1.05</f>
        <v>69.9895380952381</v>
      </c>
      <c r="Q421" s="57" t="n">
        <f aca="false">P421-10.18</f>
        <v>59.8095380952381</v>
      </c>
      <c r="R421" s="55"/>
      <c r="S421" s="84" t="n">
        <f aca="false">H421-K421</f>
        <v>4.87463750678033</v>
      </c>
    </row>
    <row r="422" customFormat="false" ht="12.75" hidden="false" customHeight="false" outlineLevel="0" collapsed="false">
      <c r="A422" s="85" t="n">
        <v>2024</v>
      </c>
      <c r="B422" s="56" t="n">
        <v>45505</v>
      </c>
      <c r="C422" s="56"/>
      <c r="D422" s="96"/>
      <c r="E422" s="97"/>
      <c r="F422" s="97"/>
      <c r="G422" s="55" t="n">
        <f aca="false">'4.1.1'!F438/1.2</f>
        <v>123.620099166667</v>
      </c>
      <c r="H422" s="55" t="n">
        <f aca="false">G422-52.95</f>
        <v>70.6700991666667</v>
      </c>
      <c r="I422" s="55"/>
      <c r="J422" s="55" t="n">
        <f aca="false">'4.1.1'!E438/1.2</f>
        <v>119.077968614574</v>
      </c>
      <c r="K422" s="55" t="n">
        <f aca="false">J422-52.95</f>
        <v>66.1279686145743</v>
      </c>
      <c r="L422" s="55"/>
      <c r="M422" s="55" t="n">
        <f aca="false">'4.1.1'!G438/1.05</f>
        <v>53.0733333333333</v>
      </c>
      <c r="N422" s="57" t="n">
        <f aca="false">M422-0</f>
        <v>53.0733333333333</v>
      </c>
      <c r="O422" s="55"/>
      <c r="P422" s="55" t="n">
        <f aca="false">'4.1.1'!H438/1.05</f>
        <v>66.1280295238095</v>
      </c>
      <c r="Q422" s="57" t="n">
        <f aca="false">P422-10.18</f>
        <v>55.9480295238095</v>
      </c>
      <c r="R422" s="55"/>
      <c r="S422" s="84" t="n">
        <f aca="false">H422-K422</f>
        <v>4.54213055209233</v>
      </c>
    </row>
    <row r="423" customFormat="false" ht="12.75" hidden="false" customHeight="false" outlineLevel="0" collapsed="false">
      <c r="A423" s="85" t="n">
        <v>2024</v>
      </c>
      <c r="B423" s="56" t="n">
        <v>45536</v>
      </c>
      <c r="C423" s="56"/>
      <c r="D423" s="96"/>
      <c r="E423" s="97"/>
      <c r="F423" s="97"/>
      <c r="G423" s="55" t="n">
        <f aca="false">'4.1.1'!F439/1.2</f>
        <v>117.891643333333</v>
      </c>
      <c r="H423" s="55" t="n">
        <f aca="false">G423-52.95</f>
        <v>64.9416433333334</v>
      </c>
      <c r="I423" s="55" t="n">
        <f aca="false">SUM(H421:H423)/3</f>
        <v>69.3980488888889</v>
      </c>
      <c r="J423" s="55" t="n">
        <f aca="false">'4.1.1'!E439/1.2</f>
        <v>113.675715613424</v>
      </c>
      <c r="K423" s="55" t="n">
        <f aca="false">J423-52.95</f>
        <v>60.725715613424</v>
      </c>
      <c r="L423" s="55" t="n">
        <f aca="false">SUM(K421:K423)/3</f>
        <v>64.8538169626282</v>
      </c>
      <c r="M423" s="55" t="n">
        <f aca="false">'4.1.1'!G439/1.05</f>
        <v>47.2695238095238</v>
      </c>
      <c r="N423" s="57" t="n">
        <f aca="false">M423-0</f>
        <v>47.2695238095238</v>
      </c>
      <c r="O423" s="55" t="n">
        <f aca="false">SUM(N421:N423)/3</f>
        <v>52.1768253968254</v>
      </c>
      <c r="P423" s="55" t="n">
        <f aca="false">'4.1.1'!H439/1.05</f>
        <v>60.8740076190476</v>
      </c>
      <c r="Q423" s="57" t="n">
        <f aca="false">P423-10.18</f>
        <v>50.6940076190476</v>
      </c>
      <c r="R423" s="55" t="n">
        <f aca="false">SUM(Q421:Q423)/3</f>
        <v>55.4838584126984</v>
      </c>
      <c r="S423" s="84" t="n">
        <f aca="false">H423-K423</f>
        <v>4.2159277199093</v>
      </c>
    </row>
    <row r="424" customFormat="false" ht="12.75" hidden="false" customHeight="false" outlineLevel="0" collapsed="false">
      <c r="A424" s="85" t="n">
        <v>2024</v>
      </c>
      <c r="B424" s="56" t="n">
        <v>45566</v>
      </c>
      <c r="C424" s="56"/>
      <c r="D424" s="96"/>
      <c r="E424" s="97"/>
      <c r="F424" s="97"/>
      <c r="G424" s="55" t="n">
        <f aca="false">'4.1.1'!F440/1.2</f>
        <v>115.791015</v>
      </c>
      <c r="H424" s="55" t="n">
        <f aca="false">G424-52.95</f>
        <v>62.841015</v>
      </c>
      <c r="I424" s="55"/>
      <c r="J424" s="55" t="n">
        <f aca="false">'4.1.1'!E440/1.2</f>
        <v>111.589280705525</v>
      </c>
      <c r="K424" s="55" t="n">
        <f aca="false">J424-52.95</f>
        <v>58.6392807055253</v>
      </c>
      <c r="L424" s="55"/>
      <c r="M424" s="55" t="n">
        <f aca="false">'4.1.1'!G440/1.05</f>
        <v>50.6533333333333</v>
      </c>
      <c r="N424" s="57" t="n">
        <f aca="false">M424-0</f>
        <v>50.6533333333333</v>
      </c>
      <c r="O424" s="55"/>
      <c r="P424" s="55" t="n">
        <f aca="false">'4.1.1'!H440/1.05</f>
        <v>64.5552638095238</v>
      </c>
      <c r="Q424" s="57" t="n">
        <f aca="false">P424-10.18</f>
        <v>54.3752638095238</v>
      </c>
      <c r="R424" s="55"/>
      <c r="S424" s="84" t="n">
        <f aca="false">H424-K424</f>
        <v>4.20173429447466</v>
      </c>
    </row>
    <row r="425" customFormat="false" ht="12.75" hidden="false" customHeight="false" outlineLevel="0" collapsed="false">
      <c r="A425" s="85" t="n">
        <v>2024</v>
      </c>
      <c r="B425" s="56" t="n">
        <v>45597</v>
      </c>
      <c r="C425" s="56"/>
      <c r="D425" s="96"/>
      <c r="E425" s="97"/>
      <c r="F425" s="97"/>
      <c r="G425" s="55" t="n">
        <f aca="false">'4.1.1'!F441/1.2</f>
        <v>116.969561666667</v>
      </c>
      <c r="H425" s="55" t="n">
        <f aca="false">G425-52.95</f>
        <v>64.0195616666667</v>
      </c>
      <c r="I425" s="55"/>
      <c r="J425" s="55" t="n">
        <f aca="false">'4.1.1'!E441/1.2</f>
        <v>112.260525936003</v>
      </c>
      <c r="K425" s="55" t="n">
        <f aca="false">J425-52.95</f>
        <v>59.310525936003</v>
      </c>
      <c r="L425" s="55"/>
      <c r="M425" s="55" t="n">
        <f aca="false">'4.1.1'!G441/1.05</f>
        <v>50.6895238095238</v>
      </c>
      <c r="N425" s="57" t="n">
        <f aca="false">M425-0</f>
        <v>50.6895238095238</v>
      </c>
      <c r="O425" s="55"/>
      <c r="P425" s="55" t="n">
        <f aca="false">'4.1.1'!H441/1.05</f>
        <v>65.0145266666667</v>
      </c>
      <c r="Q425" s="57" t="n">
        <f aca="false">P425-10.18</f>
        <v>54.8345266666667</v>
      </c>
      <c r="R425" s="55"/>
      <c r="S425" s="84" t="n">
        <f aca="false">H425-K425</f>
        <v>4.7090357306637</v>
      </c>
    </row>
    <row r="426" customFormat="false" ht="12.75" hidden="false" customHeight="false" outlineLevel="0" collapsed="false">
      <c r="A426" s="85" t="n">
        <v>2024</v>
      </c>
      <c r="B426" s="56" t="n">
        <v>45627</v>
      </c>
      <c r="C426" s="56"/>
      <c r="D426" s="96"/>
      <c r="E426" s="97"/>
      <c r="F426" s="97"/>
      <c r="G426" s="55" t="n">
        <f aca="false">'4.1.1'!F442/1.2</f>
        <v>118.807868333333</v>
      </c>
      <c r="H426" s="55" t="n">
        <f aca="false">G426-52.95</f>
        <v>65.8578683333333</v>
      </c>
      <c r="I426" s="55" t="n">
        <f aca="false">SUM(H424:H426)/3</f>
        <v>64.2394816666667</v>
      </c>
      <c r="J426" s="55" t="n">
        <f aca="false">'4.1.1'!E442/1.2</f>
        <v>113.564483250335</v>
      </c>
      <c r="K426" s="55" t="n">
        <f aca="false">J426-52.95</f>
        <v>60.614483250335</v>
      </c>
      <c r="L426" s="55" t="n">
        <f aca="false">SUM(K424:K426)/3</f>
        <v>59.5214299639544</v>
      </c>
      <c r="M426" s="55" t="n">
        <f aca="false">'4.1.1'!G442/1.05</f>
        <v>51.1571428571429</v>
      </c>
      <c r="N426" s="57" t="n">
        <f aca="false">M426-0</f>
        <v>51.1571428571429</v>
      </c>
      <c r="O426" s="55" t="n">
        <f aca="false">SUM(N424:N426)/3</f>
        <v>50.8333333333333</v>
      </c>
      <c r="P426" s="55" t="n">
        <f aca="false">'4.1.1'!H442/1.05</f>
        <v>65.1653076190476</v>
      </c>
      <c r="Q426" s="57" t="n">
        <f aca="false">P426-10.18</f>
        <v>54.9853076190476</v>
      </c>
      <c r="R426" s="55" t="n">
        <f aca="false">SUM(Q424:Q426)/3</f>
        <v>54.7316993650794</v>
      </c>
      <c r="S426" s="84" t="n">
        <f aca="false">H426-K426</f>
        <v>5.2433850829983</v>
      </c>
    </row>
    <row r="427" customFormat="false" ht="12.75" hidden="false" customHeight="false" outlineLevel="0" collapsed="false">
      <c r="A427" s="85" t="n">
        <v>2025</v>
      </c>
      <c r="B427" s="56" t="n">
        <v>45658</v>
      </c>
      <c r="C427" s="56"/>
      <c r="D427" s="96"/>
      <c r="E427" s="97"/>
      <c r="F427" s="97"/>
      <c r="G427" s="55" t="n">
        <f aca="false">'4.1.1'!F443/1.2</f>
        <v>119.513368333333</v>
      </c>
      <c r="H427" s="55" t="n">
        <f aca="false">G427-52.95</f>
        <v>66.5633683333333</v>
      </c>
      <c r="I427" s="55"/>
      <c r="J427" s="55" t="n">
        <f aca="false">'4.1.1'!E443/1.2</f>
        <v>113.964502676383</v>
      </c>
      <c r="K427" s="55" t="n">
        <f aca="false">J427-52.95</f>
        <v>61.0145026763831</v>
      </c>
      <c r="L427" s="55"/>
      <c r="M427" s="55" t="n">
        <f aca="false">'4.1.1'!G443/1.05</f>
        <v>53.9466666666667</v>
      </c>
      <c r="N427" s="57" t="n">
        <f aca="false">M427-0</f>
        <v>53.9466666666667</v>
      </c>
      <c r="O427" s="55"/>
      <c r="P427" s="55" t="n">
        <f aca="false">'4.1.1'!H443/1.05</f>
        <v>71.1245980952381</v>
      </c>
      <c r="Q427" s="57" t="n">
        <f aca="false">P427-10.18</f>
        <v>60.9445980952381</v>
      </c>
      <c r="R427" s="55"/>
      <c r="S427" s="84" t="n">
        <f aca="false">H427-K427</f>
        <v>5.54886565695024</v>
      </c>
    </row>
    <row r="428" customFormat="false" ht="12.75" hidden="false" customHeight="false" outlineLevel="0" collapsed="false">
      <c r="A428" s="85" t="n">
        <v>2025</v>
      </c>
      <c r="B428" s="56" t="n">
        <v>45689</v>
      </c>
      <c r="C428" s="56"/>
      <c r="D428" s="96"/>
      <c r="E428" s="97"/>
      <c r="F428" s="97"/>
      <c r="G428" s="55" t="n">
        <f aca="false">'4.1.1'!F444/1.2</f>
        <v>122.085856666667</v>
      </c>
      <c r="H428" s="55" t="n">
        <f aca="false">G428-52.95</f>
        <v>69.1358566666667</v>
      </c>
      <c r="I428" s="55"/>
      <c r="J428" s="55" t="n">
        <f aca="false">'4.1.1'!E444/1.2</f>
        <v>116.123050893206</v>
      </c>
      <c r="K428" s="55" t="n">
        <f aca="false">J428-52.95</f>
        <v>63.1730508932059</v>
      </c>
      <c r="L428" s="55"/>
      <c r="M428" s="55" t="n">
        <f aca="false">'4.1.1'!G444/1.05</f>
        <v>53.3857142857143</v>
      </c>
      <c r="N428" s="57" t="n">
        <f aca="false">M428-0</f>
        <v>53.3857142857143</v>
      </c>
      <c r="O428" s="55"/>
      <c r="P428" s="55" t="n">
        <f aca="false">'4.1.1'!H444/1.05</f>
        <v>68.0953428571429</v>
      </c>
      <c r="Q428" s="57" t="n">
        <f aca="false">P428-10.18</f>
        <v>57.9153428571429</v>
      </c>
      <c r="R428" s="55"/>
      <c r="S428" s="84" t="n">
        <f aca="false">H428-K428</f>
        <v>5.96280577346082</v>
      </c>
    </row>
    <row r="429" customFormat="false" ht="12.75" hidden="false" customHeight="false" outlineLevel="0" collapsed="false">
      <c r="A429" s="85" t="n">
        <v>2025</v>
      </c>
      <c r="B429" s="56" t="n">
        <v>45717</v>
      </c>
      <c r="C429" s="56"/>
      <c r="D429" s="96"/>
      <c r="E429" s="97"/>
      <c r="F429" s="97"/>
      <c r="G429" s="55" t="n">
        <f aca="false">'4.1.1'!F445/1.2</f>
        <v>120.8168475</v>
      </c>
      <c r="H429" s="55" t="n">
        <f aca="false">G429-52.95</f>
        <v>67.8668475</v>
      </c>
      <c r="I429" s="55" t="n">
        <f aca="false">SUM(H427:H429)/3</f>
        <v>67.8553575</v>
      </c>
      <c r="J429" s="55" t="n">
        <f aca="false">'4.1.1'!E445/1.2</f>
        <v>114.692542556551</v>
      </c>
      <c r="K429" s="55" t="n">
        <f aca="false">J429-52.95</f>
        <v>61.7425425565507</v>
      </c>
      <c r="L429" s="55" t="n">
        <f aca="false">SUM(K427:K429)/3</f>
        <v>61.9766987087132</v>
      </c>
      <c r="M429" s="55" t="n">
        <f aca="false">'4.1.1'!G445/1.05</f>
        <v>49.5171428571429</v>
      </c>
      <c r="N429" s="57" t="n">
        <f aca="false">M429-0</f>
        <v>49.5171428571429</v>
      </c>
      <c r="O429" s="55" t="n">
        <f aca="false">SUM(N427:N429)/3</f>
        <v>52.2831746031746</v>
      </c>
      <c r="P429" s="55" t="n">
        <f aca="false">'4.1.1'!H445/1.05</f>
        <v>63.988740952381</v>
      </c>
      <c r="Q429" s="57" t="n">
        <f aca="false">P429-10.18</f>
        <v>53.808740952381</v>
      </c>
      <c r="R429" s="55" t="n">
        <f aca="false">SUM(Q427:Q429)/3</f>
        <v>57.5562273015873</v>
      </c>
      <c r="S429" s="84" t="n">
        <f aca="false">H429-K429</f>
        <v>6.12430494344935</v>
      </c>
    </row>
    <row r="430" customFormat="false" ht="12.75" hidden="false" customHeight="false" outlineLevel="0" collapsed="false">
      <c r="A430" s="85" t="n">
        <v>2025</v>
      </c>
      <c r="B430" s="56" t="n">
        <v>45748</v>
      </c>
      <c r="C430" s="56"/>
      <c r="D430" s="96"/>
      <c r="E430" s="97"/>
      <c r="F430" s="97"/>
      <c r="G430" s="55" t="n">
        <f aca="false">'4.1.1'!F446/1.2</f>
        <v>118.104966666667</v>
      </c>
      <c r="H430" s="55" t="n">
        <f aca="false">G430-52.95</f>
        <v>65.1549666666667</v>
      </c>
      <c r="I430" s="55"/>
      <c r="J430" s="55" t="n">
        <f aca="false">'4.1.1'!E446/1.2</f>
        <v>112.343460608278</v>
      </c>
      <c r="K430" s="55" t="n">
        <f aca="false">J430-52.95</f>
        <v>59.3934606082785</v>
      </c>
      <c r="L430" s="55"/>
      <c r="M430" s="55" t="n">
        <f aca="false">'4.1.1'!G446/1.05</f>
        <v>48.6619047619048</v>
      </c>
      <c r="N430" s="57" t="n">
        <f aca="false">M430-0</f>
        <v>48.6619047619048</v>
      </c>
      <c r="O430" s="55"/>
      <c r="P430" s="55" t="n">
        <f aca="false">'4.1.1'!H446/1.05</f>
        <v>61.1553923809524</v>
      </c>
      <c r="Q430" s="57" t="n">
        <f aca="false">P430-10.18</f>
        <v>50.9753923809524</v>
      </c>
      <c r="R430" s="55"/>
      <c r="S430" s="84" t="n">
        <f aca="false">H430-K430</f>
        <v>5.76150605838822</v>
      </c>
    </row>
    <row r="431" customFormat="false" ht="12.75" hidden="false" customHeight="false" outlineLevel="0" collapsed="false">
      <c r="A431" s="85" t="n">
        <v>2025</v>
      </c>
      <c r="B431" s="56" t="n">
        <v>45778</v>
      </c>
      <c r="C431" s="56"/>
      <c r="D431" s="96"/>
      <c r="E431" s="97"/>
      <c r="F431" s="97"/>
      <c r="G431" s="55" t="n">
        <f aca="false">'4.1.1'!F447/1.2</f>
        <v>115.892494166667</v>
      </c>
      <c r="H431" s="55" t="n">
        <f aca="false">G431-52.95</f>
        <v>62.9424941666667</v>
      </c>
      <c r="I431" s="55"/>
      <c r="J431" s="55" t="n">
        <f aca="false">'4.1.1'!E447/1.2</f>
        <v>110.260877587829</v>
      </c>
      <c r="K431" s="55" t="n">
        <f aca="false">J431-52.95</f>
        <v>57.3108775878285</v>
      </c>
      <c r="L431" s="55"/>
      <c r="M431" s="55" t="n">
        <f aca="false">'4.1.1'!G447/1.05</f>
        <v>44.1838095238095</v>
      </c>
      <c r="N431" s="57" t="n">
        <f aca="false">M431-0</f>
        <v>44.1838095238095</v>
      </c>
      <c r="O431" s="55"/>
      <c r="P431" s="55" t="n">
        <f aca="false">'4.1.1'!H447/1.05</f>
        <v>59.6538990476191</v>
      </c>
      <c r="Q431" s="57" t="n">
        <f aca="false">P431-10.18</f>
        <v>49.4738990476191</v>
      </c>
      <c r="R431" s="55"/>
      <c r="S431" s="84" t="n">
        <f aca="false">H431-K431</f>
        <v>5.63161657883813</v>
      </c>
    </row>
    <row r="432" customFormat="false" ht="12.75" hidden="false" customHeight="false" outlineLevel="0" collapsed="false">
      <c r="A432" s="85" t="n">
        <v>2025</v>
      </c>
      <c r="B432" s="56" t="n">
        <v>45809</v>
      </c>
      <c r="C432" s="56"/>
      <c r="D432" s="96"/>
      <c r="E432" s="97"/>
      <c r="F432" s="97"/>
      <c r="G432" s="55" t="n">
        <f aca="false">'4.1.1'!F448/1.2</f>
        <v>114.562911666667</v>
      </c>
      <c r="H432" s="55" t="n">
        <f aca="false">G432-52.95</f>
        <v>61.6129116666667</v>
      </c>
      <c r="I432" s="55" t="n">
        <f aca="false">SUM(H430:H432)/3</f>
        <v>63.2367908333333</v>
      </c>
      <c r="J432" s="55" t="n">
        <f aca="false">'4.1.1'!E448/1.2</f>
        <v>109.556477652071</v>
      </c>
      <c r="K432" s="55" t="n">
        <f aca="false">J432-52.95</f>
        <v>56.6064776520714</v>
      </c>
      <c r="L432" s="55" t="n">
        <f aca="false">SUM(K430:K432)/3</f>
        <v>57.7702719493928</v>
      </c>
      <c r="M432" s="55" t="n">
        <f aca="false">'4.1.1'!G448/1.05</f>
        <v>46.7752380952381</v>
      </c>
      <c r="N432" s="57" t="n">
        <f aca="false">M432-0</f>
        <v>46.7752380952381</v>
      </c>
      <c r="O432" s="55" t="n">
        <f aca="false">SUM(N430:N432)/3</f>
        <v>46.5403174603175</v>
      </c>
      <c r="P432" s="55" t="n">
        <f aca="false">'4.1.1'!H448/1.05</f>
        <v>60.8609009523809</v>
      </c>
      <c r="Q432" s="57" t="n">
        <f aca="false">P432-10.18</f>
        <v>50.6809009523809</v>
      </c>
      <c r="R432" s="55" t="n">
        <f aca="false">SUM(Q430:Q432)/3</f>
        <v>50.3767307936508</v>
      </c>
      <c r="S432" s="84" t="n">
        <f aca="false">H432-K432</f>
        <v>5.00643401459527</v>
      </c>
    </row>
    <row r="433" customFormat="false" ht="12.75" hidden="false" customHeight="false" outlineLevel="0" collapsed="false">
      <c r="A433" s="85" t="n">
        <v>2025</v>
      </c>
      <c r="B433" s="56" t="n">
        <v>45839</v>
      </c>
      <c r="C433" s="56"/>
      <c r="D433" s="96"/>
      <c r="E433" s="97"/>
      <c r="F433" s="97"/>
      <c r="G433" s="55" t="n">
        <f aca="false">'4.1.1'!F449/1.2</f>
        <v>117.362085</v>
      </c>
      <c r="H433" s="55" t="n">
        <f aca="false">G433-52.95</f>
        <v>64.412085</v>
      </c>
      <c r="I433" s="55"/>
      <c r="J433" s="55" t="n">
        <f aca="false">'4.1.1'!E449/1.2</f>
        <v>111.620179326613</v>
      </c>
      <c r="K433" s="55" t="n">
        <f aca="false">J433-52.95</f>
        <v>58.670179326613</v>
      </c>
      <c r="L433" s="55"/>
      <c r="M433" s="55" t="n">
        <f aca="false">'4.1.1'!G449/1.05</f>
        <v>51.2590476190476</v>
      </c>
      <c r="N433" s="57" t="n">
        <f aca="false">M433-0</f>
        <v>51.2590476190476</v>
      </c>
      <c r="O433" s="55"/>
      <c r="P433" s="55" t="n">
        <f aca="false">'4.1.1'!H449/1.05</f>
        <v>65.9806276190476</v>
      </c>
      <c r="Q433" s="57" t="n">
        <f aca="false">P433-10.18</f>
        <v>55.8006276190476</v>
      </c>
      <c r="R433" s="55"/>
      <c r="S433" s="84" t="n">
        <f aca="false">H433-K433</f>
        <v>5.74190567338704</v>
      </c>
    </row>
    <row r="434" customFormat="false" ht="12.75" hidden="false" customHeight="false" outlineLevel="0" collapsed="false">
      <c r="A434" s="85" t="n">
        <v>2025</v>
      </c>
      <c r="B434" s="56" t="n">
        <v>45870</v>
      </c>
      <c r="C434" s="56"/>
      <c r="D434" s="96"/>
      <c r="E434" s="97"/>
      <c r="F434" s="97"/>
      <c r="G434" s="55" t="n">
        <f aca="false">'4.1.1'!F450/1.2</f>
        <v>118.44194</v>
      </c>
      <c r="H434" s="55" t="n">
        <f aca="false">G434-52.95</f>
        <v>65.49194</v>
      </c>
      <c r="I434" s="55"/>
      <c r="J434" s="55" t="n">
        <f aca="false">'4.1.1'!E450/1.2</f>
        <v>112.044158339118</v>
      </c>
      <c r="K434" s="55" t="n">
        <f aca="false">J434-52.95</f>
        <v>59.0941583391176</v>
      </c>
      <c r="L434" s="55"/>
      <c r="M434" s="55" t="n">
        <f aca="false">'4.1.1'!G450/1.05</f>
        <v>48.2990476190476</v>
      </c>
      <c r="N434" s="57" t="n">
        <f aca="false">M434-0</f>
        <v>48.2990476190476</v>
      </c>
      <c r="O434" s="55"/>
      <c r="P434" s="55" t="n">
        <f aca="false">'4.1.1'!H450/1.05</f>
        <v>62.5660085714286</v>
      </c>
      <c r="Q434" s="57" t="n">
        <f aca="false">P434-10.18</f>
        <v>52.3860085714286</v>
      </c>
      <c r="R434" s="55"/>
      <c r="S434" s="84" t="n">
        <f aca="false">H434-K434</f>
        <v>6.39778166088246</v>
      </c>
    </row>
    <row r="435" customFormat="false" ht="12.75" hidden="false" customHeight="false" outlineLevel="0" collapsed="false">
      <c r="A435" s="85" t="n">
        <v>2025</v>
      </c>
      <c r="B435" s="56" t="n">
        <v>45901</v>
      </c>
      <c r="C435" s="56"/>
      <c r="D435" s="96"/>
      <c r="E435" s="97"/>
      <c r="F435" s="97"/>
      <c r="G435" s="55" t="n">
        <f aca="false">'4.1.1'!F451/1.2</f>
        <v>117.973191666667</v>
      </c>
      <c r="H435" s="55" t="n">
        <f aca="false">G435-52.95</f>
        <v>65.0231916666667</v>
      </c>
      <c r="I435" s="55" t="n">
        <f aca="false">SUM(H433:H435)/3</f>
        <v>64.9757388888889</v>
      </c>
      <c r="J435" s="55" t="n">
        <f aca="false">'4.1.1'!E451/1.2</f>
        <v>111.532300446014</v>
      </c>
      <c r="K435" s="55" t="n">
        <f aca="false">J435-52.95</f>
        <v>58.5823004460135</v>
      </c>
      <c r="L435" s="55" t="n">
        <f aca="false">SUM(K433:K435)/3</f>
        <v>58.7822127039147</v>
      </c>
      <c r="M435" s="55" t="n">
        <f aca="false">'4.1.1'!G451/1.05</f>
        <v>46.9104761904762</v>
      </c>
      <c r="N435" s="57" t="n">
        <f aca="false">M435-0</f>
        <v>46.9104761904762</v>
      </c>
      <c r="O435" s="55" t="n">
        <f aca="false">SUM(N433:N435)/3</f>
        <v>48.8228571428571</v>
      </c>
      <c r="P435" s="55" t="n">
        <f aca="false">'4.1.1'!H451/1.05</f>
        <v>63.7063333333333</v>
      </c>
      <c r="Q435" s="57" t="n">
        <f aca="false">P435-10.18</f>
        <v>53.5263333333333</v>
      </c>
      <c r="R435" s="55" t="n">
        <f aca="false">SUM(Q433:Q435)/3</f>
        <v>53.9043231746032</v>
      </c>
      <c r="S435" s="84" t="n">
        <f aca="false">H435-K435</f>
        <v>6.44089122065317</v>
      </c>
    </row>
    <row r="436" customFormat="false" ht="12.75" hidden="false" customHeight="false" outlineLevel="0" collapsed="false">
      <c r="A436" s="85" t="n">
        <v>2025</v>
      </c>
      <c r="B436" s="56" t="n">
        <v>45931</v>
      </c>
      <c r="C436" s="56"/>
      <c r="D436" s="96"/>
      <c r="E436" s="97"/>
      <c r="F436" s="97"/>
      <c r="G436" s="55" t="n">
        <f aca="false">'4.1.1'!F452/1.2</f>
        <v>119.181473333333</v>
      </c>
      <c r="H436" s="55" t="n">
        <f aca="false">G436-52.95</f>
        <v>66.2314733333334</v>
      </c>
      <c r="I436" s="55"/>
      <c r="J436" s="55" t="n">
        <f aca="false">'4.1.1'!E452/1.2</f>
        <v>112.309131172857</v>
      </c>
      <c r="K436" s="55" t="n">
        <f aca="false">J436-52.95</f>
        <v>59.3591311728573</v>
      </c>
      <c r="L436" s="55"/>
      <c r="M436" s="55" t="n">
        <f aca="false">'4.1.1'!G452/1.05</f>
        <v>49.8466666666667</v>
      </c>
      <c r="N436" s="57" t="n">
        <f aca="false">M436-0</f>
        <v>49.8466666666667</v>
      </c>
      <c r="O436" s="55"/>
      <c r="P436" s="55" t="n">
        <f aca="false">'4.1.1'!H452/1.05</f>
        <v>64.0255476190476</v>
      </c>
      <c r="Q436" s="57" t="n">
        <f aca="false">P436-10.18</f>
        <v>53.8455476190476</v>
      </c>
      <c r="R436" s="55"/>
      <c r="S436" s="84" t="n">
        <f aca="false">H436-K436</f>
        <v>6.87234216047607</v>
      </c>
    </row>
    <row r="437" customFormat="false" ht="12.75" hidden="false" customHeight="false" outlineLevel="0" collapsed="false">
      <c r="A437" s="85" t="n">
        <v>2025</v>
      </c>
      <c r="B437" s="56" t="n">
        <v>45962</v>
      </c>
      <c r="C437" s="56"/>
      <c r="D437" s="96"/>
      <c r="E437" s="97"/>
      <c r="F437" s="97"/>
      <c r="G437" s="55" t="n">
        <f aca="false">'4.1.1'!F453/1.2</f>
        <v>119.948631666667</v>
      </c>
      <c r="H437" s="55" t="n">
        <f aca="false">G437-52.95</f>
        <v>66.9986316666667</v>
      </c>
      <c r="I437" s="55"/>
      <c r="J437" s="55" t="n">
        <f aca="false">'4.1.1'!E453/1.2</f>
        <v>112.4850517061</v>
      </c>
      <c r="K437" s="55" t="n">
        <f aca="false">J437-52.95</f>
        <v>59.5350517060998</v>
      </c>
      <c r="L437" s="55"/>
      <c r="M437" s="55" t="n">
        <f aca="false">'4.1.1'!G453/1.05</f>
        <v>53.1704761904762</v>
      </c>
      <c r="N437" s="57" t="n">
        <f aca="false">M437-0</f>
        <v>53.1704761904762</v>
      </c>
      <c r="O437" s="55"/>
      <c r="P437" s="55" t="n">
        <f aca="false">'4.1.1'!H453/1.05</f>
        <v>69.3528514285714</v>
      </c>
      <c r="Q437" s="57" t="n">
        <f aca="false">P437-10.18</f>
        <v>59.1728514285714</v>
      </c>
      <c r="R437" s="55"/>
      <c r="S437" s="84" t="n">
        <f aca="false">H437-K437</f>
        <v>7.46357996056692</v>
      </c>
    </row>
    <row r="438" customFormat="false" ht="12.75" hidden="false" customHeight="false" outlineLevel="0" collapsed="false">
      <c r="A438" s="85" t="n">
        <v>2025</v>
      </c>
      <c r="B438" s="56" t="n">
        <v>45992</v>
      </c>
      <c r="C438" s="56"/>
      <c r="D438" s="96"/>
      <c r="E438" s="97"/>
      <c r="F438" s="97"/>
      <c r="G438" s="55" t="n">
        <f aca="false">'4.1.1'!F454/1.2</f>
        <v>121.601984166667</v>
      </c>
      <c r="H438" s="55" t="n">
        <f aca="false">G438-52.95</f>
        <v>68.6519841666667</v>
      </c>
      <c r="I438" s="55" t="n">
        <f aca="false">SUM(H436:H438)/3</f>
        <v>67.2940297222222</v>
      </c>
      <c r="J438" s="55" t="n">
        <f aca="false">'4.1.1'!E454/1.2</f>
        <v>113.790370754891</v>
      </c>
      <c r="K438" s="55" t="n">
        <f aca="false">J438-52.95</f>
        <v>60.8403707548912</v>
      </c>
      <c r="L438" s="55" t="n">
        <f aca="false">SUM(K436:K438)/3</f>
        <v>59.9115178779494</v>
      </c>
      <c r="M438" s="55" t="n">
        <f aca="false">'4.1.1'!G454/1.05</f>
        <v>49.9780952380952</v>
      </c>
      <c r="N438" s="57" t="n">
        <f aca="false">M438-0</f>
        <v>49.9780952380952</v>
      </c>
      <c r="O438" s="55" t="n">
        <f aca="false">SUM(N436:N438)/3</f>
        <v>50.9984126984127</v>
      </c>
      <c r="P438" s="55" t="n">
        <f aca="false">'4.1.1'!H454/1.05</f>
        <v>62.3623428571429</v>
      </c>
      <c r="Q438" s="57" t="n">
        <f aca="false">P438-10.18</f>
        <v>52.1823428571429</v>
      </c>
      <c r="R438" s="55" t="n">
        <f aca="false">SUM(Q436:Q438)/3</f>
        <v>55.066913968254</v>
      </c>
      <c r="S438" s="84" t="n">
        <f aca="false">H438-K438</f>
        <v>7.81161341177551</v>
      </c>
    </row>
    <row r="439" customFormat="false" ht="12.75" hidden="false" customHeight="false" outlineLevel="0" collapsed="false">
      <c r="A439" s="85" t="n">
        <v>2026</v>
      </c>
      <c r="B439" s="56" t="n">
        <v>46023</v>
      </c>
      <c r="C439" s="56"/>
      <c r="D439" s="96"/>
      <c r="E439" s="97"/>
      <c r="F439" s="97"/>
      <c r="G439" s="55" t="n">
        <f aca="false">'4.1.1'!F455/1.2</f>
        <v>118.676068333333</v>
      </c>
      <c r="H439" s="55" t="n">
        <f aca="false">G439-52.95</f>
        <v>65.7260683333334</v>
      </c>
      <c r="I439" s="55"/>
      <c r="J439" s="55" t="n">
        <f aca="false">'4.1.1'!E455/1.2</f>
        <v>110.995603622547</v>
      </c>
      <c r="K439" s="55" t="n">
        <f aca="false">J439-52.95</f>
        <v>58.0456036225467</v>
      </c>
      <c r="L439" s="55"/>
      <c r="M439" s="55" t="n">
        <f aca="false">'4.1.1'!G455/1.05</f>
        <v>49.3742857142857</v>
      </c>
      <c r="N439" s="57" t="n">
        <f aca="false">M439-0</f>
        <v>49.3742857142857</v>
      </c>
      <c r="O439" s="55"/>
      <c r="P439" s="55" t="n">
        <f aca="false">'4.1.1'!H455/1.05</f>
        <v>61.3621714285714</v>
      </c>
      <c r="Q439" s="57" t="n">
        <f aca="false">P439-10.18</f>
        <v>51.1821714285714</v>
      </c>
      <c r="R439" s="55"/>
      <c r="S439" s="84" t="n">
        <f aca="false">H439-K439</f>
        <v>7.68046471078665</v>
      </c>
    </row>
    <row r="440" customFormat="false" ht="12.75" hidden="false" customHeight="false" outlineLevel="0" collapsed="false">
      <c r="A440" s="85" t="n">
        <v>2026</v>
      </c>
      <c r="B440" s="56" t="n">
        <v>46054</v>
      </c>
      <c r="C440" s="56"/>
      <c r="D440" s="96"/>
      <c r="E440" s="97"/>
      <c r="F440" s="97"/>
      <c r="G440" s="55" t="n">
        <f aca="false">'4.1.1'!F456/1.2</f>
        <v>117.683785</v>
      </c>
      <c r="H440" s="55" t="n">
        <f aca="false">G440-52.95</f>
        <v>64.733785</v>
      </c>
      <c r="I440" s="55"/>
      <c r="J440" s="55" t="n">
        <f aca="false">'4.1.1'!E456/1.2</f>
        <v>109.486831267333</v>
      </c>
      <c r="K440" s="55" t="n">
        <f aca="false">J440-52.95</f>
        <v>56.5368312673326</v>
      </c>
      <c r="L440" s="55"/>
      <c r="M440" s="55" t="n">
        <f aca="false">'4.1.1'!G456/1.05</f>
        <v>50.9180952380952</v>
      </c>
      <c r="N440" s="57" t="n">
        <f aca="false">M440-0</f>
        <v>50.9180952380952</v>
      </c>
      <c r="O440" s="55"/>
      <c r="P440" s="55" t="n">
        <f aca="false">'4.1.1'!H456/1.05</f>
        <v>62.868380952381</v>
      </c>
      <c r="Q440" s="57" t="n">
        <f aca="false">P440-10.18</f>
        <v>52.688380952381</v>
      </c>
      <c r="R440" s="55"/>
      <c r="S440" s="84" t="n">
        <f aca="false">H440-K440</f>
        <v>8.19695373266735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F81BD"/>
    <pageSetUpPr fitToPage="false"/>
  </sheetPr>
  <dimension ref="A1:I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76" activePane="bottomLeft" state="frozen"/>
      <selection pane="topLeft" activeCell="A1" activeCellId="0" sqref="A1"/>
      <selection pane="bottomLeft" activeCell="A1" activeCellId="0" sqref="A1"/>
    </sheetView>
  </sheetViews>
  <sheetFormatPr defaultColWidth="15.5703125" defaultRowHeight="12.75" customHeight="true" zeroHeight="false" outlineLevelRow="0" outlineLevelCol="0"/>
  <cols>
    <col collapsed="false" customWidth="true" hidden="false" outlineLevel="0" max="9" min="1" style="0" width="15.71"/>
  </cols>
  <sheetData>
    <row r="1" customFormat="false" ht="18" hidden="false" customHeight="true" outlineLevel="0" collapsed="false">
      <c r="A1" s="99" t="s">
        <v>133</v>
      </c>
      <c r="B1" s="100"/>
      <c r="C1" s="100"/>
      <c r="D1" s="100"/>
      <c r="E1" s="100"/>
      <c r="F1" s="100"/>
      <c r="G1" s="100"/>
      <c r="H1" s="100"/>
      <c r="I1" s="100"/>
    </row>
    <row r="2" customFormat="false" ht="18" hidden="false" customHeight="true" outlineLevel="0" collapsed="false">
      <c r="A2" s="101" t="s">
        <v>134</v>
      </c>
      <c r="B2" s="100"/>
      <c r="C2" s="100"/>
      <c r="D2" s="100"/>
      <c r="E2" s="100"/>
      <c r="F2" s="100"/>
      <c r="G2" s="100"/>
      <c r="H2" s="100"/>
      <c r="I2" s="100"/>
    </row>
    <row r="3" customFormat="false" ht="18" hidden="false" customHeight="true" outlineLevel="0" collapsed="false">
      <c r="A3" s="101" t="s">
        <v>135</v>
      </c>
      <c r="B3" s="100"/>
      <c r="C3" s="100"/>
      <c r="D3" s="100"/>
      <c r="E3" s="100"/>
      <c r="F3" s="100"/>
      <c r="G3" s="100"/>
      <c r="H3" s="100"/>
      <c r="I3" s="100"/>
    </row>
    <row r="4" customFormat="false" ht="18" hidden="false" customHeight="true" outlineLevel="0" collapsed="false">
      <c r="A4" s="101" t="s">
        <v>136</v>
      </c>
      <c r="B4" s="100"/>
      <c r="C4" s="100"/>
      <c r="D4" s="100"/>
      <c r="E4" s="100"/>
      <c r="F4" s="100"/>
      <c r="G4" s="100"/>
      <c r="H4" s="100"/>
      <c r="I4" s="100"/>
    </row>
    <row r="5" customFormat="false" ht="18" hidden="false" customHeight="true" outlineLevel="0" collapsed="false">
      <c r="A5" s="101" t="s">
        <v>137</v>
      </c>
      <c r="B5" s="100"/>
      <c r="C5" s="100"/>
      <c r="D5" s="100"/>
      <c r="E5" s="100"/>
      <c r="F5" s="100"/>
      <c r="G5" s="100"/>
      <c r="H5" s="100"/>
      <c r="I5" s="100"/>
    </row>
    <row r="6" customFormat="false" ht="18" hidden="false" customHeight="true" outlineLevel="0" collapsed="false">
      <c r="A6" s="102" t="s">
        <v>138</v>
      </c>
      <c r="B6" s="100"/>
      <c r="C6" s="100"/>
      <c r="D6" s="100"/>
      <c r="E6" s="100"/>
      <c r="F6" s="100"/>
      <c r="G6" s="100"/>
      <c r="H6" s="100"/>
      <c r="I6" s="100"/>
    </row>
    <row r="7" customFormat="false" ht="18" hidden="false" customHeight="true" outlineLevel="0" collapsed="false">
      <c r="A7" s="101" t="s">
        <v>139</v>
      </c>
      <c r="B7" s="100"/>
      <c r="C7" s="100"/>
      <c r="D7" s="100"/>
      <c r="E7" s="100"/>
      <c r="F7" s="100"/>
      <c r="G7" s="100"/>
      <c r="H7" s="100"/>
      <c r="I7" s="100"/>
    </row>
    <row r="8" customFormat="false" ht="18" hidden="false" customHeight="true" outlineLevel="0" collapsed="false">
      <c r="A8" s="101" t="s">
        <v>140</v>
      </c>
      <c r="B8" s="100"/>
      <c r="C8" s="100"/>
      <c r="D8" s="100"/>
      <c r="E8" s="100"/>
      <c r="F8" s="100"/>
      <c r="G8" s="100"/>
      <c r="H8" s="100"/>
      <c r="I8" s="100"/>
    </row>
    <row r="9" customFormat="false" ht="18" hidden="false" customHeight="true" outlineLevel="0" collapsed="false">
      <c r="A9" s="101" t="s">
        <v>141</v>
      </c>
      <c r="B9" s="100"/>
      <c r="C9" s="100"/>
      <c r="D9" s="100"/>
      <c r="E9" s="100"/>
      <c r="F9" s="100"/>
      <c r="G9" s="100"/>
      <c r="H9" s="100"/>
      <c r="I9" s="100"/>
    </row>
    <row r="10" customFormat="false" ht="18" hidden="false" customHeight="true" outlineLevel="0" collapsed="false">
      <c r="A10" s="101" t="s">
        <v>142</v>
      </c>
      <c r="B10" s="100"/>
      <c r="C10" s="100"/>
      <c r="D10" s="100"/>
      <c r="E10" s="100"/>
      <c r="F10" s="100"/>
      <c r="G10" s="100"/>
      <c r="H10" s="100"/>
      <c r="I10" s="100"/>
    </row>
    <row r="11" customFormat="false" ht="18" hidden="false" customHeight="true" outlineLevel="0" collapsed="false">
      <c r="A11" s="103" t="s">
        <v>143</v>
      </c>
      <c r="B11" s="100"/>
      <c r="C11" s="100"/>
      <c r="D11" s="100"/>
      <c r="E11" s="100"/>
      <c r="F11" s="100"/>
      <c r="G11" s="100"/>
      <c r="H11" s="100"/>
      <c r="I11" s="100"/>
    </row>
    <row r="12" customFormat="false" ht="18" hidden="false" customHeight="true" outlineLevel="0" collapsed="false">
      <c r="A12" s="103" t="s">
        <v>43</v>
      </c>
      <c r="B12" s="100"/>
      <c r="C12" s="100"/>
      <c r="D12" s="100"/>
      <c r="E12" s="100"/>
      <c r="F12" s="100"/>
      <c r="G12" s="100"/>
      <c r="H12" s="100"/>
      <c r="I12" s="100"/>
    </row>
    <row r="13" customFormat="false" ht="18" hidden="false" customHeight="true" outlineLevel="0" collapsed="false">
      <c r="A13" s="17" t="s">
        <v>44</v>
      </c>
      <c r="B13" s="100"/>
      <c r="C13" s="100"/>
      <c r="D13" s="100"/>
      <c r="E13" s="100"/>
      <c r="F13" s="100"/>
      <c r="G13" s="100"/>
      <c r="H13" s="100"/>
      <c r="I13" s="100"/>
    </row>
    <row r="14" customFormat="false" ht="91.5" hidden="false" customHeight="true" outlineLevel="0" collapsed="false">
      <c r="A14" s="104" t="s">
        <v>45</v>
      </c>
      <c r="B14" s="104" t="s">
        <v>46</v>
      </c>
      <c r="C14" s="105" t="s">
        <v>144</v>
      </c>
      <c r="D14" s="105" t="s">
        <v>145</v>
      </c>
      <c r="E14" s="105" t="s">
        <v>146</v>
      </c>
      <c r="F14" s="105" t="s">
        <v>147</v>
      </c>
      <c r="G14" s="105" t="s">
        <v>148</v>
      </c>
      <c r="H14" s="105" t="s">
        <v>149</v>
      </c>
      <c r="I14" s="105" t="s">
        <v>150</v>
      </c>
    </row>
    <row r="15" customFormat="false" ht="14.25" hidden="false" customHeight="true" outlineLevel="0" collapsed="false">
      <c r="A15" s="106" t="n">
        <v>1954</v>
      </c>
      <c r="B15" s="106" t="s">
        <v>59</v>
      </c>
      <c r="C15" s="107" t="n">
        <v>4.47</v>
      </c>
      <c r="D15" s="107" t="n">
        <v>4.9</v>
      </c>
      <c r="E15" s="107" t="s">
        <v>151</v>
      </c>
      <c r="F15" s="107" t="s">
        <v>151</v>
      </c>
      <c r="G15" s="107" t="s">
        <v>151</v>
      </c>
      <c r="H15" s="107" t="s">
        <v>151</v>
      </c>
      <c r="I15" s="107" t="s">
        <v>151</v>
      </c>
    </row>
    <row r="16" customFormat="false" ht="14.25" hidden="false" customHeight="true" outlineLevel="0" collapsed="false">
      <c r="A16" s="106" t="n">
        <v>1955</v>
      </c>
      <c r="B16" s="106" t="s">
        <v>59</v>
      </c>
      <c r="C16" s="107" t="n">
        <v>4.49</v>
      </c>
      <c r="D16" s="107" t="n">
        <v>4.9</v>
      </c>
      <c r="E16" s="107" t="s">
        <v>151</v>
      </c>
      <c r="F16" s="107" t="s">
        <v>151</v>
      </c>
      <c r="G16" s="108" t="n">
        <v>4.38</v>
      </c>
      <c r="H16" s="107" t="s">
        <v>151</v>
      </c>
      <c r="I16" s="107" t="s">
        <v>151</v>
      </c>
    </row>
    <row r="17" customFormat="false" ht="14.25" hidden="false" customHeight="true" outlineLevel="0" collapsed="false">
      <c r="A17" s="106" t="n">
        <v>1956</v>
      </c>
      <c r="B17" s="106" t="s">
        <v>59</v>
      </c>
      <c r="C17" s="107" t="n">
        <v>4.49</v>
      </c>
      <c r="D17" s="107" t="n">
        <v>5.04</v>
      </c>
      <c r="E17" s="107" t="s">
        <v>151</v>
      </c>
      <c r="F17" s="107" t="s">
        <v>151</v>
      </c>
      <c r="G17" s="108" t="n">
        <v>4.47</v>
      </c>
      <c r="H17" s="107" t="s">
        <v>151</v>
      </c>
      <c r="I17" s="107" t="s">
        <v>151</v>
      </c>
    </row>
    <row r="18" customFormat="false" ht="14.25" hidden="false" customHeight="true" outlineLevel="0" collapsed="false">
      <c r="A18" s="106" t="n">
        <v>1957</v>
      </c>
      <c r="B18" s="106" t="s">
        <v>59</v>
      </c>
      <c r="C18" s="107" t="n">
        <v>6.09</v>
      </c>
      <c r="D18" s="107" t="n">
        <v>6.64</v>
      </c>
      <c r="E18" s="107" t="s">
        <v>151</v>
      </c>
      <c r="F18" s="107" t="s">
        <v>151</v>
      </c>
      <c r="G18" s="108" t="n">
        <v>6.07</v>
      </c>
      <c r="H18" s="107" t="s">
        <v>151</v>
      </c>
      <c r="I18" s="107" t="s">
        <v>151</v>
      </c>
    </row>
    <row r="19" customFormat="false" ht="14.25" hidden="false" customHeight="true" outlineLevel="0" collapsed="false">
      <c r="A19" s="106" t="n">
        <v>1958</v>
      </c>
      <c r="B19" s="106" t="s">
        <v>59</v>
      </c>
      <c r="C19" s="107" t="n">
        <v>4.65</v>
      </c>
      <c r="D19" s="107" t="n">
        <v>5.13</v>
      </c>
      <c r="E19" s="107" t="s">
        <v>151</v>
      </c>
      <c r="F19" s="107" t="s">
        <v>151</v>
      </c>
      <c r="G19" s="108" t="n">
        <v>4.69</v>
      </c>
      <c r="H19" s="107" t="s">
        <v>151</v>
      </c>
      <c r="I19" s="107" t="s">
        <v>151</v>
      </c>
    </row>
    <row r="20" customFormat="false" ht="14.25" hidden="false" customHeight="true" outlineLevel="0" collapsed="false">
      <c r="A20" s="106" t="n">
        <v>1959</v>
      </c>
      <c r="B20" s="106" t="s">
        <v>59</v>
      </c>
      <c r="C20" s="107" t="n">
        <v>4.67</v>
      </c>
      <c r="D20" s="107" t="n">
        <v>5.13</v>
      </c>
      <c r="E20" s="107" t="s">
        <v>151</v>
      </c>
      <c r="F20" s="107" t="s">
        <v>151</v>
      </c>
      <c r="G20" s="108" t="n">
        <v>4.7</v>
      </c>
      <c r="H20" s="107" t="s">
        <v>151</v>
      </c>
      <c r="I20" s="107" t="s">
        <v>151</v>
      </c>
    </row>
    <row r="21" customFormat="false" ht="14.25" hidden="false" customHeight="true" outlineLevel="0" collapsed="false">
      <c r="A21" s="106" t="n">
        <v>1960</v>
      </c>
      <c r="B21" s="106" t="s">
        <v>59</v>
      </c>
      <c r="C21" s="107" t="n">
        <v>4.67</v>
      </c>
      <c r="D21" s="107" t="n">
        <v>5.18</v>
      </c>
      <c r="E21" s="107" t="s">
        <v>151</v>
      </c>
      <c r="F21" s="107" t="s">
        <v>151</v>
      </c>
      <c r="G21" s="108" t="n">
        <v>4.79</v>
      </c>
      <c r="H21" s="108" t="n">
        <v>1.55</v>
      </c>
      <c r="I21" s="108" t="n">
        <v>1.55</v>
      </c>
    </row>
    <row r="22" customFormat="false" ht="14.25" hidden="false" customHeight="true" outlineLevel="0" collapsed="false">
      <c r="A22" s="106" t="n">
        <v>1961</v>
      </c>
      <c r="B22" s="106" t="s">
        <v>59</v>
      </c>
      <c r="C22" s="107" t="n">
        <v>4.58</v>
      </c>
      <c r="D22" s="107" t="n">
        <v>5.09</v>
      </c>
      <c r="E22" s="107" t="s">
        <v>151</v>
      </c>
      <c r="F22" s="107" t="s">
        <v>151</v>
      </c>
      <c r="G22" s="108" t="n">
        <v>4.65</v>
      </c>
      <c r="H22" s="108" t="n">
        <v>1.65</v>
      </c>
      <c r="I22" s="108" t="n">
        <v>1.52</v>
      </c>
    </row>
    <row r="23" customFormat="false" ht="14.25" hidden="false" customHeight="true" outlineLevel="0" collapsed="false">
      <c r="A23" s="106" t="n">
        <v>1962</v>
      </c>
      <c r="B23" s="106" t="s">
        <v>59</v>
      </c>
      <c r="C23" s="107" t="n">
        <v>4.86</v>
      </c>
      <c r="D23" s="107" t="n">
        <v>5.36</v>
      </c>
      <c r="E23" s="107" t="s">
        <v>151</v>
      </c>
      <c r="F23" s="107" t="s">
        <v>151</v>
      </c>
      <c r="G23" s="108" t="n">
        <v>4.93</v>
      </c>
      <c r="H23" s="108" t="n">
        <v>1.89</v>
      </c>
      <c r="I23" s="108" t="n">
        <v>1.73</v>
      </c>
    </row>
    <row r="24" customFormat="false" ht="14.25" hidden="false" customHeight="true" outlineLevel="0" collapsed="false">
      <c r="A24" s="106" t="n">
        <v>1963</v>
      </c>
      <c r="B24" s="106" t="s">
        <v>59</v>
      </c>
      <c r="C24" s="107" t="n">
        <v>4.77</v>
      </c>
      <c r="D24" s="107" t="n">
        <v>5.36</v>
      </c>
      <c r="E24" s="107" t="s">
        <v>151</v>
      </c>
      <c r="F24" s="107" t="s">
        <v>151</v>
      </c>
      <c r="G24" s="108" t="n">
        <v>4.93</v>
      </c>
      <c r="H24" s="108" t="n">
        <v>1.86</v>
      </c>
      <c r="I24" s="108" t="n">
        <v>1.73</v>
      </c>
    </row>
    <row r="25" customFormat="false" ht="14.25" hidden="false" customHeight="true" outlineLevel="0" collapsed="false">
      <c r="A25" s="106" t="n">
        <v>1964</v>
      </c>
      <c r="B25" s="106" t="s">
        <v>59</v>
      </c>
      <c r="C25" s="107" t="n">
        <v>4.77</v>
      </c>
      <c r="D25" s="107" t="n">
        <v>5.22</v>
      </c>
      <c r="E25" s="107" t="s">
        <v>151</v>
      </c>
      <c r="F25" s="107" t="s">
        <v>151</v>
      </c>
      <c r="G25" s="108" t="n">
        <v>4.97</v>
      </c>
      <c r="H25" s="108" t="n">
        <v>1.86</v>
      </c>
      <c r="I25" s="108" t="n">
        <v>1.73</v>
      </c>
    </row>
    <row r="26" customFormat="false" ht="14.25" hidden="false" customHeight="true" outlineLevel="0" collapsed="false">
      <c r="A26" s="106" t="n">
        <v>1965</v>
      </c>
      <c r="B26" s="106" t="s">
        <v>59</v>
      </c>
      <c r="C26" s="107" t="n">
        <v>5.36</v>
      </c>
      <c r="D26" s="107" t="n">
        <v>5.82</v>
      </c>
      <c r="E26" s="107" t="s">
        <v>151</v>
      </c>
      <c r="F26" s="107" t="s">
        <v>151</v>
      </c>
      <c r="G26" s="108" t="n">
        <v>5.52</v>
      </c>
      <c r="H26" s="108" t="n">
        <v>1.86</v>
      </c>
      <c r="I26" s="108" t="n">
        <v>1.73</v>
      </c>
    </row>
    <row r="27" customFormat="false" ht="14.25" hidden="false" customHeight="true" outlineLevel="0" collapsed="false">
      <c r="A27" s="106" t="n">
        <v>1966</v>
      </c>
      <c r="B27" s="106" t="s">
        <v>59</v>
      </c>
      <c r="C27" s="107" t="n">
        <v>5.36</v>
      </c>
      <c r="D27" s="107" t="n">
        <v>5.68</v>
      </c>
      <c r="E27" s="107" t="s">
        <v>151</v>
      </c>
      <c r="F27" s="107" t="s">
        <v>151</v>
      </c>
      <c r="G27" s="108" t="n">
        <v>5.52</v>
      </c>
      <c r="H27" s="108" t="n">
        <v>1.86</v>
      </c>
      <c r="I27" s="108" t="n">
        <v>1.73</v>
      </c>
    </row>
    <row r="28" customFormat="false" ht="14.25" hidden="false" customHeight="true" outlineLevel="0" collapsed="false">
      <c r="A28" s="106" t="n">
        <v>1967</v>
      </c>
      <c r="B28" s="106" t="s">
        <v>59</v>
      </c>
      <c r="C28" s="107" t="n">
        <v>5.73</v>
      </c>
      <c r="D28" s="107" t="n">
        <v>6.05</v>
      </c>
      <c r="E28" s="107" t="s">
        <v>151</v>
      </c>
      <c r="F28" s="107" t="s">
        <v>151</v>
      </c>
      <c r="G28" s="108" t="n">
        <v>5.89</v>
      </c>
      <c r="H28" s="108" t="n">
        <v>1.86</v>
      </c>
      <c r="I28" s="108" t="n">
        <v>1.73</v>
      </c>
    </row>
    <row r="29" customFormat="false" ht="14.25" hidden="false" customHeight="true" outlineLevel="0" collapsed="false">
      <c r="A29" s="106" t="n">
        <v>1968</v>
      </c>
      <c r="B29" s="106" t="s">
        <v>59</v>
      </c>
      <c r="C29" s="107" t="n">
        <v>5.77</v>
      </c>
      <c r="D29" s="107" t="n">
        <v>6.14</v>
      </c>
      <c r="E29" s="107" t="s">
        <v>151</v>
      </c>
      <c r="F29" s="107" t="s">
        <v>151</v>
      </c>
      <c r="G29" s="108" t="n">
        <v>6.07</v>
      </c>
      <c r="H29" s="108" t="n">
        <v>2.06</v>
      </c>
      <c r="I29" s="108" t="n">
        <v>1.95</v>
      </c>
    </row>
    <row r="30" customFormat="false" ht="14.25" hidden="false" customHeight="true" outlineLevel="0" collapsed="false">
      <c r="A30" s="106" t="n">
        <v>1969</v>
      </c>
      <c r="B30" s="106" t="s">
        <v>59</v>
      </c>
      <c r="C30" s="107" t="n">
        <v>6.57</v>
      </c>
      <c r="D30" s="107" t="n">
        <v>6.94</v>
      </c>
      <c r="E30" s="107" t="s">
        <v>151</v>
      </c>
      <c r="F30" s="107" t="s">
        <v>151</v>
      </c>
      <c r="G30" s="108" t="n">
        <v>6.92</v>
      </c>
      <c r="H30" s="108" t="n">
        <v>2.09</v>
      </c>
      <c r="I30" s="108" t="n">
        <v>1.95</v>
      </c>
    </row>
    <row r="31" customFormat="false" ht="14.25" hidden="false" customHeight="true" outlineLevel="0" collapsed="false">
      <c r="A31" s="106" t="n">
        <v>1970</v>
      </c>
      <c r="B31" s="106" t="s">
        <v>59</v>
      </c>
      <c r="C31" s="107" t="n">
        <v>6.78</v>
      </c>
      <c r="D31" s="107" t="n">
        <v>7.15</v>
      </c>
      <c r="E31" s="107" t="s">
        <v>151</v>
      </c>
      <c r="F31" s="107" t="s">
        <v>151</v>
      </c>
      <c r="G31" s="108" t="n">
        <v>6.99</v>
      </c>
      <c r="H31" s="108" t="n">
        <v>2.17</v>
      </c>
      <c r="I31" s="108" t="n">
        <v>2.02</v>
      </c>
    </row>
    <row r="32" customFormat="false" ht="14.25" hidden="false" customHeight="true" outlineLevel="0" collapsed="false">
      <c r="A32" s="106" t="n">
        <v>1971</v>
      </c>
      <c r="B32" s="106" t="s">
        <v>59</v>
      </c>
      <c r="C32" s="107" t="n">
        <v>7.06</v>
      </c>
      <c r="D32" s="107" t="n">
        <v>7.42</v>
      </c>
      <c r="E32" s="107" t="s">
        <v>151</v>
      </c>
      <c r="F32" s="107" t="s">
        <v>151</v>
      </c>
      <c r="G32" s="108" t="n">
        <v>7.22</v>
      </c>
      <c r="H32" s="108" t="n">
        <v>2.34</v>
      </c>
      <c r="I32" s="108" t="n">
        <v>2.14</v>
      </c>
    </row>
    <row r="33" customFormat="false" ht="14.25" hidden="false" customHeight="true" outlineLevel="0" collapsed="false">
      <c r="A33" s="106" t="n">
        <v>1972</v>
      </c>
      <c r="B33" s="106" t="s">
        <v>59</v>
      </c>
      <c r="C33" s="107" t="n">
        <v>7.26</v>
      </c>
      <c r="D33" s="107" t="n">
        <v>7.7</v>
      </c>
      <c r="E33" s="107" t="s">
        <v>151</v>
      </c>
      <c r="F33" s="107" t="s">
        <v>151</v>
      </c>
      <c r="G33" s="108" t="n">
        <v>7.48</v>
      </c>
      <c r="H33" s="108" t="n">
        <v>2.45</v>
      </c>
      <c r="I33" s="108" t="n">
        <v>2.21</v>
      </c>
    </row>
    <row r="34" customFormat="false" ht="14.25" hidden="false" customHeight="true" outlineLevel="0" collapsed="false">
      <c r="A34" s="106" t="n">
        <v>1973</v>
      </c>
      <c r="B34" s="106" t="s">
        <v>59</v>
      </c>
      <c r="C34" s="107" t="n">
        <v>7.48</v>
      </c>
      <c r="D34" s="107" t="n">
        <v>7.7</v>
      </c>
      <c r="E34" s="107" t="s">
        <v>151</v>
      </c>
      <c r="F34" s="107" t="s">
        <v>151</v>
      </c>
      <c r="G34" s="108" t="n">
        <v>7.48</v>
      </c>
      <c r="H34" s="108" t="n">
        <v>2.51</v>
      </c>
      <c r="I34" s="108" t="n">
        <v>2.27</v>
      </c>
    </row>
    <row r="35" customFormat="false" ht="14.25" hidden="false" customHeight="true" outlineLevel="0" collapsed="false">
      <c r="A35" s="106" t="n">
        <v>1974</v>
      </c>
      <c r="B35" s="106" t="s">
        <v>59</v>
      </c>
      <c r="C35" s="107" t="n">
        <v>8.91</v>
      </c>
      <c r="D35" s="107" t="n">
        <v>9.24</v>
      </c>
      <c r="E35" s="107" t="s">
        <v>151</v>
      </c>
      <c r="F35" s="107" t="s">
        <v>151</v>
      </c>
      <c r="G35" s="108" t="n">
        <v>9.13</v>
      </c>
      <c r="H35" s="108" t="n">
        <v>3.39</v>
      </c>
      <c r="I35" s="108" t="n">
        <v>3.39</v>
      </c>
    </row>
    <row r="36" customFormat="false" ht="14.25" hidden="false" customHeight="true" outlineLevel="0" collapsed="false">
      <c r="A36" s="106" t="n">
        <v>1975</v>
      </c>
      <c r="B36" s="106" t="s">
        <v>59</v>
      </c>
      <c r="C36" s="107" t="n">
        <v>15.62</v>
      </c>
      <c r="D36" s="107" t="n">
        <v>15.95</v>
      </c>
      <c r="E36" s="107" t="s">
        <v>151</v>
      </c>
      <c r="F36" s="107" t="s">
        <v>151</v>
      </c>
      <c r="G36" s="108" t="n">
        <v>12.21</v>
      </c>
      <c r="H36" s="108" t="n">
        <v>5.06</v>
      </c>
      <c r="I36" s="108" t="n">
        <v>5.26</v>
      </c>
    </row>
    <row r="37" customFormat="false" ht="14.25" hidden="false" customHeight="true" outlineLevel="0" collapsed="false">
      <c r="A37" s="106" t="n">
        <v>1976</v>
      </c>
      <c r="B37" s="106" t="s">
        <v>59</v>
      </c>
      <c r="C37" s="107" t="n">
        <v>16.5</v>
      </c>
      <c r="D37" s="107" t="n">
        <v>16.83</v>
      </c>
      <c r="E37" s="107" t="s">
        <v>151</v>
      </c>
      <c r="F37" s="107" t="s">
        <v>151</v>
      </c>
      <c r="G37" s="108" t="n">
        <v>13.53</v>
      </c>
      <c r="H37" s="108" t="n">
        <v>6.49</v>
      </c>
      <c r="I37" s="108" t="n">
        <v>6.47</v>
      </c>
    </row>
    <row r="38" customFormat="false" ht="14.25" hidden="false" customHeight="true" outlineLevel="0" collapsed="false">
      <c r="A38" s="106" t="n">
        <v>1977</v>
      </c>
      <c r="B38" s="106" t="s">
        <v>59</v>
      </c>
      <c r="C38" s="107" t="n">
        <v>17.05</v>
      </c>
      <c r="D38" s="107" t="n">
        <v>17.49</v>
      </c>
      <c r="E38" s="107" t="s">
        <v>151</v>
      </c>
      <c r="F38" s="107" t="s">
        <v>151</v>
      </c>
      <c r="G38" s="108" t="n">
        <v>17.16</v>
      </c>
      <c r="H38" s="108" t="n">
        <v>8.15</v>
      </c>
      <c r="I38" s="108" t="n">
        <v>7.93</v>
      </c>
    </row>
    <row r="39" customFormat="false" ht="14.25" hidden="false" customHeight="true" outlineLevel="0" collapsed="false">
      <c r="A39" s="106" t="n">
        <v>1978</v>
      </c>
      <c r="B39" s="106" t="s">
        <v>59</v>
      </c>
      <c r="C39" s="107" t="n">
        <v>16.37</v>
      </c>
      <c r="D39" s="107" t="n">
        <v>16.76</v>
      </c>
      <c r="E39" s="107" t="s">
        <v>151</v>
      </c>
      <c r="F39" s="107" t="s">
        <v>151</v>
      </c>
      <c r="G39" s="108" t="n">
        <v>18.57</v>
      </c>
      <c r="H39" s="108" t="n">
        <v>8.43</v>
      </c>
      <c r="I39" s="108" t="n">
        <v>8.48</v>
      </c>
    </row>
    <row r="40" customFormat="false" ht="14.25" hidden="false" customHeight="true" outlineLevel="0" collapsed="false">
      <c r="A40" s="106" t="n">
        <v>1979</v>
      </c>
      <c r="B40" s="106" t="s">
        <v>59</v>
      </c>
      <c r="C40" s="107" t="n">
        <v>17.09</v>
      </c>
      <c r="D40" s="107" t="n">
        <v>17.5</v>
      </c>
      <c r="E40" s="107" t="s">
        <v>151</v>
      </c>
      <c r="F40" s="107" t="s">
        <v>151</v>
      </c>
      <c r="G40" s="108" t="n">
        <v>18.42</v>
      </c>
      <c r="H40" s="108" t="n">
        <v>8.37</v>
      </c>
      <c r="I40" s="108" t="n">
        <v>8.36</v>
      </c>
    </row>
    <row r="41" customFormat="false" ht="14.25" hidden="false" customHeight="true" outlineLevel="0" collapsed="false">
      <c r="A41" s="106" t="n">
        <v>1980</v>
      </c>
      <c r="B41" s="106" t="s">
        <v>59</v>
      </c>
      <c r="C41" s="107" t="n">
        <v>25.98</v>
      </c>
      <c r="D41" s="107" t="n">
        <v>26.39</v>
      </c>
      <c r="E41" s="107" t="s">
        <v>151</v>
      </c>
      <c r="F41" s="107" t="s">
        <v>151</v>
      </c>
      <c r="G41" s="108" t="n">
        <v>27.8</v>
      </c>
      <c r="H41" s="108" t="n">
        <v>13.07</v>
      </c>
      <c r="I41" s="108" t="n">
        <v>13.03</v>
      </c>
    </row>
    <row r="42" customFormat="false" ht="14.25" hidden="false" customHeight="true" outlineLevel="0" collapsed="false">
      <c r="A42" s="106" t="n">
        <v>1981</v>
      </c>
      <c r="B42" s="106" t="s">
        <v>59</v>
      </c>
      <c r="C42" s="107" t="n">
        <v>28.64</v>
      </c>
      <c r="D42" s="107" t="n">
        <v>29.05</v>
      </c>
      <c r="E42" s="107" t="s">
        <v>151</v>
      </c>
      <c r="F42" s="107" t="s">
        <v>151</v>
      </c>
      <c r="G42" s="108" t="n">
        <v>30.7</v>
      </c>
      <c r="H42" s="108" t="n">
        <v>15.9</v>
      </c>
      <c r="I42" s="108" t="n">
        <v>15.8</v>
      </c>
    </row>
    <row r="43" customFormat="false" ht="14.25" hidden="false" customHeight="true" outlineLevel="0" collapsed="false">
      <c r="A43" s="106" t="n">
        <v>1982</v>
      </c>
      <c r="B43" s="106" t="s">
        <v>59</v>
      </c>
      <c r="C43" s="107" t="n">
        <v>34.28</v>
      </c>
      <c r="D43" s="107" t="n">
        <v>35.02</v>
      </c>
      <c r="E43" s="107" t="s">
        <v>151</v>
      </c>
      <c r="F43" s="107" t="s">
        <v>151</v>
      </c>
      <c r="G43" s="108" t="n">
        <v>34.89</v>
      </c>
      <c r="H43" s="108" t="n">
        <v>20.33</v>
      </c>
      <c r="I43" s="108" t="n">
        <v>19.68</v>
      </c>
    </row>
    <row r="44" customFormat="false" ht="14.25" hidden="false" customHeight="true" outlineLevel="0" collapsed="false">
      <c r="A44" s="106" t="n">
        <v>1983</v>
      </c>
      <c r="B44" s="106" t="s">
        <v>59</v>
      </c>
      <c r="C44" s="107" t="n">
        <v>35.85</v>
      </c>
      <c r="D44" s="107" t="n">
        <v>36.7</v>
      </c>
      <c r="E44" s="107" t="s">
        <v>151</v>
      </c>
      <c r="F44" s="107" t="s">
        <v>151</v>
      </c>
      <c r="G44" s="108" t="n">
        <v>37.64</v>
      </c>
      <c r="H44" s="108" t="n">
        <v>22.71</v>
      </c>
      <c r="I44" s="108" t="n">
        <v>22.52</v>
      </c>
    </row>
    <row r="45" customFormat="false" ht="14.25" hidden="false" customHeight="true" outlineLevel="0" collapsed="false">
      <c r="A45" s="106" t="n">
        <v>1984</v>
      </c>
      <c r="B45" s="106" t="s">
        <v>59</v>
      </c>
      <c r="C45" s="107" t="n">
        <v>39.44</v>
      </c>
      <c r="D45" s="107" t="n">
        <v>40.35</v>
      </c>
      <c r="E45" s="107" t="s">
        <v>151</v>
      </c>
      <c r="F45" s="107" t="s">
        <v>151</v>
      </c>
      <c r="G45" s="108" t="n">
        <v>36.78</v>
      </c>
      <c r="H45" s="108" t="n">
        <v>19.84</v>
      </c>
      <c r="I45" s="108" t="n">
        <v>20.31</v>
      </c>
    </row>
    <row r="46" customFormat="false" ht="14.25" hidden="false" customHeight="true" outlineLevel="0" collapsed="false">
      <c r="A46" s="106" t="n">
        <v>1985</v>
      </c>
      <c r="B46" s="106" t="s">
        <v>59</v>
      </c>
      <c r="C46" s="107" t="n">
        <v>40.71</v>
      </c>
      <c r="D46" s="107" t="n">
        <v>41.54</v>
      </c>
      <c r="E46" s="107" t="s">
        <v>151</v>
      </c>
      <c r="F46" s="107" t="s">
        <v>151</v>
      </c>
      <c r="G46" s="108" t="n">
        <v>40.59</v>
      </c>
      <c r="H46" s="108" t="n">
        <v>21.6</v>
      </c>
      <c r="I46" s="108" t="n">
        <v>22.62</v>
      </c>
    </row>
    <row r="47" customFormat="false" ht="14.25" hidden="false" customHeight="true" outlineLevel="0" collapsed="false">
      <c r="A47" s="106" t="n">
        <v>1986</v>
      </c>
      <c r="B47" s="106" t="s">
        <v>59</v>
      </c>
      <c r="C47" s="107" t="n">
        <v>40.81</v>
      </c>
      <c r="D47" s="107" t="n">
        <v>41.63</v>
      </c>
      <c r="E47" s="107" t="s">
        <v>151</v>
      </c>
      <c r="F47" s="107" t="s">
        <v>151</v>
      </c>
      <c r="G47" s="108" t="n">
        <v>41.13</v>
      </c>
      <c r="H47" s="108" t="n">
        <v>19.48</v>
      </c>
      <c r="I47" s="108" t="n">
        <v>19.47</v>
      </c>
    </row>
    <row r="48" customFormat="false" ht="14.25" hidden="false" customHeight="true" outlineLevel="0" collapsed="false">
      <c r="A48" s="106" t="n">
        <v>1987</v>
      </c>
      <c r="B48" s="106" t="s">
        <v>59</v>
      </c>
      <c r="C48" s="107" t="n">
        <v>37.57</v>
      </c>
      <c r="D48" s="107" t="n">
        <v>38.42</v>
      </c>
      <c r="E48" s="107" t="s">
        <v>151</v>
      </c>
      <c r="F48" s="107" t="s">
        <v>151</v>
      </c>
      <c r="G48" s="108" t="n">
        <v>35</v>
      </c>
      <c r="H48" s="108" t="n">
        <v>13.52</v>
      </c>
      <c r="I48" s="108" t="n">
        <v>14.7</v>
      </c>
    </row>
    <row r="49" customFormat="false" ht="14.25" hidden="false" customHeight="true" outlineLevel="0" collapsed="false">
      <c r="A49" s="106" t="n">
        <v>1988</v>
      </c>
      <c r="B49" s="106" t="s">
        <v>59</v>
      </c>
      <c r="C49" s="107" t="n">
        <v>35.98</v>
      </c>
      <c r="D49" s="107" t="n">
        <v>36.79</v>
      </c>
      <c r="E49" s="107" t="s">
        <v>151</v>
      </c>
      <c r="F49" s="107" t="s">
        <v>151</v>
      </c>
      <c r="G49" s="108" t="n">
        <v>33.94</v>
      </c>
      <c r="H49" s="108" t="n">
        <v>11.97</v>
      </c>
      <c r="I49" s="108" t="n">
        <v>12.29</v>
      </c>
    </row>
    <row r="50" customFormat="false" ht="14.25" hidden="false" customHeight="true" outlineLevel="0" collapsed="false">
      <c r="A50" s="106" t="n">
        <v>1989</v>
      </c>
      <c r="B50" s="106" t="s">
        <v>59</v>
      </c>
      <c r="C50" s="107" t="n">
        <v>36.36</v>
      </c>
      <c r="D50" s="107" t="n">
        <v>37.14</v>
      </c>
      <c r="E50" s="107" t="s">
        <v>151</v>
      </c>
      <c r="F50" s="108" t="n">
        <v>36.02</v>
      </c>
      <c r="G50" s="108" t="n">
        <v>34.17</v>
      </c>
      <c r="H50" s="108" t="n">
        <v>11.41</v>
      </c>
      <c r="I50" s="108" t="n">
        <v>11.15</v>
      </c>
    </row>
    <row r="51" customFormat="false" ht="14.25" hidden="false" customHeight="true" outlineLevel="0" collapsed="false">
      <c r="A51" s="106" t="n">
        <v>1990</v>
      </c>
      <c r="B51" s="106" t="s">
        <v>59</v>
      </c>
      <c r="C51" s="107" t="s">
        <v>151</v>
      </c>
      <c r="D51" s="107" t="n">
        <v>40.92</v>
      </c>
      <c r="E51" s="107" t="s">
        <v>151</v>
      </c>
      <c r="F51" s="108" t="n">
        <v>38.37</v>
      </c>
      <c r="G51" s="108" t="n">
        <v>39.21</v>
      </c>
      <c r="H51" s="108" t="n">
        <v>15.45</v>
      </c>
      <c r="I51" s="108" t="n">
        <v>15.46</v>
      </c>
    </row>
    <row r="52" customFormat="false" ht="14.25" hidden="false" customHeight="true" outlineLevel="0" collapsed="false">
      <c r="A52" s="106" t="n">
        <v>1991</v>
      </c>
      <c r="B52" s="106" t="s">
        <v>59</v>
      </c>
      <c r="C52" s="107" t="s">
        <v>151</v>
      </c>
      <c r="D52" s="107" t="n">
        <v>45.13</v>
      </c>
      <c r="E52" s="108" t="n">
        <v>44.38</v>
      </c>
      <c r="F52" s="108" t="n">
        <v>42.14</v>
      </c>
      <c r="G52" s="108" t="n">
        <v>43.31</v>
      </c>
      <c r="H52" s="108" t="n">
        <v>17.52</v>
      </c>
      <c r="I52" s="108" t="n">
        <v>17.13</v>
      </c>
    </row>
    <row r="53" customFormat="false" ht="14.25" hidden="false" customHeight="true" outlineLevel="0" collapsed="false">
      <c r="A53" s="106" t="n">
        <v>1992</v>
      </c>
      <c r="B53" s="106" t="s">
        <v>59</v>
      </c>
      <c r="C53" s="107" t="s">
        <v>151</v>
      </c>
      <c r="D53" s="107" t="n">
        <v>46.93</v>
      </c>
      <c r="E53" s="108" t="n">
        <v>45.57</v>
      </c>
      <c r="F53" s="108" t="n">
        <v>43.43</v>
      </c>
      <c r="G53" s="108" t="n">
        <v>43.19</v>
      </c>
      <c r="H53" s="108" t="n">
        <v>12.47</v>
      </c>
      <c r="I53" s="108" t="n">
        <v>12.02</v>
      </c>
    </row>
    <row r="54" customFormat="false" ht="14.25" hidden="false" customHeight="true" outlineLevel="0" collapsed="false">
      <c r="A54" s="106" t="n">
        <v>1993</v>
      </c>
      <c r="B54" s="106" t="s">
        <v>59</v>
      </c>
      <c r="C54" s="107" t="s">
        <v>151</v>
      </c>
      <c r="D54" s="107" t="n">
        <v>51.27</v>
      </c>
      <c r="E54" s="108" t="n">
        <v>49.76</v>
      </c>
      <c r="F54" s="108" t="n">
        <v>47.13</v>
      </c>
      <c r="G54" s="108" t="n">
        <v>47.05</v>
      </c>
      <c r="H54" s="108" t="n">
        <v>14.1</v>
      </c>
      <c r="I54" s="108" t="n">
        <v>13.52</v>
      </c>
    </row>
    <row r="55" customFormat="false" ht="14.25" hidden="false" customHeight="true" outlineLevel="0" collapsed="false">
      <c r="A55" s="106" t="n">
        <v>1994</v>
      </c>
      <c r="B55" s="106" t="s">
        <v>59</v>
      </c>
      <c r="C55" s="107" t="s">
        <v>151</v>
      </c>
      <c r="D55" s="107" t="n">
        <v>55.5</v>
      </c>
      <c r="E55" s="108" t="n">
        <v>54.48</v>
      </c>
      <c r="F55" s="108" t="n">
        <v>50.83</v>
      </c>
      <c r="G55" s="108" t="n">
        <v>51.72</v>
      </c>
      <c r="H55" s="108" t="n">
        <v>12.94</v>
      </c>
      <c r="I55" s="108" t="n">
        <v>12.72</v>
      </c>
    </row>
    <row r="56" customFormat="false" ht="14.25" hidden="false" customHeight="true" outlineLevel="0" collapsed="false">
      <c r="A56" s="106" t="n">
        <v>1995</v>
      </c>
      <c r="B56" s="106" t="s">
        <v>59</v>
      </c>
      <c r="C56" s="107" t="s">
        <v>151</v>
      </c>
      <c r="D56" s="107" t="n">
        <v>59.11</v>
      </c>
      <c r="E56" s="108" t="n">
        <v>58</v>
      </c>
      <c r="F56" s="108" t="n">
        <v>53.44</v>
      </c>
      <c r="G56" s="108" t="n">
        <v>54.13</v>
      </c>
      <c r="H56" s="108" t="n">
        <v>13.32</v>
      </c>
      <c r="I56" s="108" t="n">
        <v>13.93</v>
      </c>
    </row>
    <row r="57" customFormat="false" ht="14.25" hidden="false" customHeight="true" outlineLevel="0" collapsed="false">
      <c r="A57" s="106" t="n">
        <v>1996</v>
      </c>
      <c r="B57" s="106" t="s">
        <v>59</v>
      </c>
      <c r="C57" s="107" t="s">
        <v>151</v>
      </c>
      <c r="D57" s="107" t="n">
        <v>61.97</v>
      </c>
      <c r="E57" s="108" t="n">
        <v>61.26</v>
      </c>
      <c r="F57" s="108" t="n">
        <v>55.93</v>
      </c>
      <c r="G57" s="108" t="n">
        <v>57.43</v>
      </c>
      <c r="H57" s="108" t="n">
        <v>15.38</v>
      </c>
      <c r="I57" s="108" t="n">
        <v>15.86</v>
      </c>
    </row>
    <row r="58" customFormat="false" ht="14.25" hidden="false" customHeight="true" outlineLevel="0" collapsed="false">
      <c r="A58" s="106" t="n">
        <v>1997</v>
      </c>
      <c r="B58" s="106" t="s">
        <v>59</v>
      </c>
      <c r="C58" s="107" t="s">
        <v>151</v>
      </c>
      <c r="D58" s="107" t="n">
        <v>65.46</v>
      </c>
      <c r="E58" s="108" t="n">
        <v>69.24</v>
      </c>
      <c r="F58" s="108" t="n">
        <v>61.09</v>
      </c>
      <c r="G58" s="108" t="n">
        <v>62.02</v>
      </c>
      <c r="H58" s="108" t="n">
        <v>17.13</v>
      </c>
      <c r="I58" s="108" t="n">
        <v>18.14</v>
      </c>
    </row>
    <row r="59" customFormat="false" ht="14.25" hidden="false" customHeight="true" outlineLevel="0" collapsed="false">
      <c r="A59" s="106" t="n">
        <v>1998</v>
      </c>
      <c r="B59" s="106" t="s">
        <v>59</v>
      </c>
      <c r="C59" s="107" t="s">
        <v>151</v>
      </c>
      <c r="D59" s="107" t="n">
        <v>69.03</v>
      </c>
      <c r="E59" s="108" t="n">
        <v>73.96</v>
      </c>
      <c r="F59" s="108" t="n">
        <v>63.13</v>
      </c>
      <c r="G59" s="108" t="n">
        <v>63.34</v>
      </c>
      <c r="H59" s="108" t="n">
        <v>12.92</v>
      </c>
      <c r="I59" s="108" t="n">
        <v>13.67</v>
      </c>
    </row>
    <row r="60" customFormat="false" ht="14.25" hidden="false" customHeight="true" outlineLevel="0" collapsed="false">
      <c r="A60" s="106" t="n">
        <v>1999</v>
      </c>
      <c r="B60" s="106" t="s">
        <v>59</v>
      </c>
      <c r="C60" s="107" t="s">
        <v>151</v>
      </c>
      <c r="D60" s="107" t="n">
        <v>69.61</v>
      </c>
      <c r="E60" s="108" t="n">
        <v>79.23</v>
      </c>
      <c r="F60" s="108" t="n">
        <v>62.87</v>
      </c>
      <c r="G60" s="108" t="n">
        <v>63.95</v>
      </c>
      <c r="H60" s="108" t="n">
        <v>9.89</v>
      </c>
      <c r="I60" s="108" t="n">
        <v>11.36</v>
      </c>
    </row>
    <row r="61" customFormat="false" ht="14.25" hidden="false" customHeight="true" outlineLevel="0" collapsed="false">
      <c r="A61" s="106" t="n">
        <v>2000</v>
      </c>
      <c r="B61" s="106" t="s">
        <v>59</v>
      </c>
      <c r="C61" s="107" t="s">
        <v>151</v>
      </c>
      <c r="D61" s="107" t="n">
        <v>80.84</v>
      </c>
      <c r="E61" s="108" t="n">
        <v>84.15</v>
      </c>
      <c r="F61" s="108" t="n">
        <v>75.38</v>
      </c>
      <c r="G61" s="108" t="n">
        <v>77.75</v>
      </c>
      <c r="H61" s="108" t="n">
        <v>17.84</v>
      </c>
      <c r="I61" s="108" t="n">
        <v>18.15</v>
      </c>
    </row>
    <row r="62" customFormat="false" ht="14.25" hidden="false" customHeight="true" outlineLevel="0" collapsed="false">
      <c r="A62" s="106" t="n">
        <v>2001</v>
      </c>
      <c r="B62" s="106" t="s">
        <v>59</v>
      </c>
      <c r="C62" s="107" t="s">
        <v>151</v>
      </c>
      <c r="D62" s="107" t="n">
        <v>82.19</v>
      </c>
      <c r="E62" s="108" t="n">
        <v>85.06</v>
      </c>
      <c r="F62" s="108" t="n">
        <v>76.85</v>
      </c>
      <c r="G62" s="108" t="n">
        <v>81.63</v>
      </c>
      <c r="H62" s="108" t="n">
        <v>19.86</v>
      </c>
      <c r="I62" s="108" t="n">
        <v>20.46</v>
      </c>
    </row>
    <row r="63" customFormat="false" ht="14.25" hidden="false" customHeight="true" outlineLevel="0" collapsed="false">
      <c r="A63" s="106" t="n">
        <v>2002</v>
      </c>
      <c r="B63" s="106" t="s">
        <v>59</v>
      </c>
      <c r="C63" s="107" t="s">
        <v>151</v>
      </c>
      <c r="D63" s="43" t="n">
        <v>75.94</v>
      </c>
      <c r="E63" s="108" t="n">
        <v>78.48</v>
      </c>
      <c r="F63" s="108" t="n">
        <v>69.9</v>
      </c>
      <c r="G63" s="108" t="n">
        <v>74.65</v>
      </c>
      <c r="H63" s="108" t="n">
        <v>14.61</v>
      </c>
      <c r="I63" s="108" t="n">
        <v>14.71</v>
      </c>
    </row>
    <row r="64" customFormat="false" ht="14.25" hidden="false" customHeight="true" outlineLevel="0" collapsed="false">
      <c r="A64" s="106" t="n">
        <v>2003</v>
      </c>
      <c r="B64" s="106" t="str">
        <f aca="false">B63</f>
        <v>January</v>
      </c>
      <c r="C64" s="107" t="s">
        <v>151</v>
      </c>
      <c r="D64" s="43" t="n">
        <v>78.15</v>
      </c>
      <c r="E64" s="108" t="n">
        <v>80.47</v>
      </c>
      <c r="F64" s="108" t="n">
        <v>74.95</v>
      </c>
      <c r="G64" s="108" t="n">
        <v>76.38</v>
      </c>
      <c r="H64" s="108" t="n">
        <v>17.83</v>
      </c>
      <c r="I64" s="108" t="n">
        <v>18.63</v>
      </c>
    </row>
    <row r="65" customFormat="false" ht="14.25" hidden="false" customHeight="true" outlineLevel="0" collapsed="false">
      <c r="A65" s="106" t="n">
        <v>2004</v>
      </c>
      <c r="B65" s="106" t="str">
        <f aca="false">B64</f>
        <v>January</v>
      </c>
      <c r="C65" s="107" t="s">
        <v>151</v>
      </c>
      <c r="D65" s="43" t="n">
        <v>80.04</v>
      </c>
      <c r="E65" s="108" t="n">
        <v>81.49</v>
      </c>
      <c r="F65" s="108" t="n">
        <v>76.2</v>
      </c>
      <c r="G65" s="108" t="n">
        <v>77.92</v>
      </c>
      <c r="H65" s="108" t="n">
        <v>18.33</v>
      </c>
      <c r="I65" s="108" t="n">
        <v>18.95</v>
      </c>
    </row>
    <row r="66" customFormat="false" ht="14.25" hidden="false" customHeight="true" outlineLevel="0" collapsed="false">
      <c r="A66" s="106" t="n">
        <v>2005</v>
      </c>
      <c r="B66" s="106" t="str">
        <f aca="false">B65</f>
        <v>January</v>
      </c>
      <c r="C66" s="107" t="s">
        <v>151</v>
      </c>
      <c r="D66" s="43" t="n">
        <v>87.16</v>
      </c>
      <c r="E66" s="108" t="n">
        <v>87.43</v>
      </c>
      <c r="F66" s="108" t="n">
        <v>78.99</v>
      </c>
      <c r="G66" s="108" t="n">
        <v>84.15</v>
      </c>
      <c r="H66" s="108" t="n">
        <v>22.16</v>
      </c>
      <c r="I66" s="108" t="n">
        <v>23.99</v>
      </c>
    </row>
    <row r="67" customFormat="false" ht="14.25" hidden="false" customHeight="true" outlineLevel="0" collapsed="false">
      <c r="A67" s="106" t="n">
        <v>2006</v>
      </c>
      <c r="B67" s="106" t="str">
        <f aca="false">B66</f>
        <v>January</v>
      </c>
      <c r="C67" s="107" t="s">
        <v>151</v>
      </c>
      <c r="D67" s="107" t="s">
        <v>151</v>
      </c>
      <c r="E67" s="108" t="n">
        <v>94.73</v>
      </c>
      <c r="F67" s="108" t="n">
        <v>88.84</v>
      </c>
      <c r="G67" s="108" t="n">
        <v>93.07</v>
      </c>
      <c r="H67" s="108" t="n">
        <v>31.58</v>
      </c>
      <c r="I67" s="108" t="n">
        <v>33.6</v>
      </c>
    </row>
    <row r="68" customFormat="false" ht="14.25" hidden="false" customHeight="true" outlineLevel="0" collapsed="false">
      <c r="A68" s="106" t="n">
        <v>2007</v>
      </c>
      <c r="B68" s="106" t="str">
        <f aca="false">B67</f>
        <v>January</v>
      </c>
      <c r="C68" s="107" t="s">
        <v>151</v>
      </c>
      <c r="D68" s="107" t="s">
        <v>151</v>
      </c>
      <c r="E68" s="108" t="n">
        <v>94.8</v>
      </c>
      <c r="F68" s="108" t="n">
        <v>86.91</v>
      </c>
      <c r="G68" s="108" t="n">
        <v>91.44</v>
      </c>
      <c r="H68" s="108" t="n">
        <v>30.88</v>
      </c>
      <c r="I68" s="108" t="n">
        <v>34.03</v>
      </c>
    </row>
    <row r="69" customFormat="false" ht="14.25" hidden="false" customHeight="true" outlineLevel="0" collapsed="false">
      <c r="A69" s="106" t="n">
        <v>2008</v>
      </c>
      <c r="B69" s="106" t="str">
        <f aca="false">B67</f>
        <v>January</v>
      </c>
      <c r="C69" s="107" t="s">
        <v>151</v>
      </c>
      <c r="D69" s="109" t="s">
        <v>151</v>
      </c>
      <c r="E69" s="108" t="n">
        <v>110.59</v>
      </c>
      <c r="F69" s="108" t="n">
        <v>103.71</v>
      </c>
      <c r="G69" s="108" t="n">
        <v>108.7</v>
      </c>
      <c r="H69" s="108" t="n">
        <v>43.9</v>
      </c>
      <c r="I69" s="108" t="n">
        <v>51.01</v>
      </c>
    </row>
    <row r="70" customFormat="false" ht="14.25" hidden="false" customHeight="true" outlineLevel="0" collapsed="false">
      <c r="A70" s="106" t="n">
        <v>2009</v>
      </c>
      <c r="B70" s="106" t="str">
        <f aca="false">B68</f>
        <v>January</v>
      </c>
      <c r="C70" s="107" t="s">
        <v>151</v>
      </c>
      <c r="D70" s="109" t="s">
        <v>151</v>
      </c>
      <c r="E70" s="108" t="n">
        <v>93.3</v>
      </c>
      <c r="F70" s="108" t="n">
        <v>86.33</v>
      </c>
      <c r="G70" s="108" t="n">
        <v>98.74</v>
      </c>
      <c r="H70" s="108" t="n">
        <v>36.01</v>
      </c>
      <c r="I70" s="108" t="n">
        <v>43.83</v>
      </c>
    </row>
    <row r="71" customFormat="false" ht="14.25" hidden="false" customHeight="true" outlineLevel="0" collapsed="false">
      <c r="A71" s="106" t="n">
        <v>2010</v>
      </c>
      <c r="B71" s="106" t="str">
        <f aca="false">B69</f>
        <v>January</v>
      </c>
      <c r="C71" s="107" t="s">
        <v>151</v>
      </c>
      <c r="D71" s="109" t="s">
        <v>151</v>
      </c>
      <c r="E71" s="108" t="n">
        <v>118.529274734791</v>
      </c>
      <c r="F71" s="108" t="n">
        <v>111.488838</v>
      </c>
      <c r="G71" s="108" t="n">
        <v>113.311004454815</v>
      </c>
      <c r="H71" s="108" t="n">
        <v>42.4901958955224</v>
      </c>
      <c r="I71" s="108" t="n">
        <v>50.6394354925922</v>
      </c>
    </row>
    <row r="72" customFormat="false" ht="14.25" hidden="false" customHeight="true" outlineLevel="0" collapsed="false">
      <c r="A72" s="106" t="n">
        <v>2011</v>
      </c>
      <c r="B72" s="106" t="str">
        <f aca="false">B70</f>
        <v>January</v>
      </c>
      <c r="C72" s="107" t="s">
        <v>151</v>
      </c>
      <c r="D72" s="109" t="s">
        <v>151</v>
      </c>
      <c r="E72" s="108" t="n">
        <v>134.832841677943</v>
      </c>
      <c r="F72" s="108" t="n">
        <v>127.525715900303</v>
      </c>
      <c r="G72" s="108" t="n">
        <v>132.077854017832</v>
      </c>
      <c r="H72" s="108" t="n">
        <v>55.1367143674871</v>
      </c>
      <c r="I72" s="108" t="n">
        <v>61.9015475704369</v>
      </c>
    </row>
    <row r="73" customFormat="false" ht="14.25" hidden="false" customHeight="true" outlineLevel="0" collapsed="false">
      <c r="A73" s="106" t="n">
        <v>2012</v>
      </c>
      <c r="B73" s="106" t="s">
        <v>59</v>
      </c>
      <c r="C73" s="107" t="s">
        <v>151</v>
      </c>
      <c r="D73" s="109" t="s">
        <v>151</v>
      </c>
      <c r="E73" s="108" t="n">
        <v>140.395331529093</v>
      </c>
      <c r="F73" s="108" t="n">
        <v>132.887339242163</v>
      </c>
      <c r="G73" s="108" t="n">
        <v>141.344501301434</v>
      </c>
      <c r="H73" s="108" t="n">
        <v>61.0373618998451</v>
      </c>
      <c r="I73" s="108" t="n">
        <v>70.7446324717286</v>
      </c>
    </row>
    <row r="74" customFormat="false" ht="14.25" hidden="false" customHeight="true" outlineLevel="0" collapsed="false">
      <c r="A74" s="106" t="n">
        <v>2013</v>
      </c>
      <c r="B74" s="106" t="s">
        <v>59</v>
      </c>
      <c r="C74" s="107" t="s">
        <v>151</v>
      </c>
      <c r="D74" s="109" t="s">
        <v>151</v>
      </c>
      <c r="E74" s="108" t="n">
        <v>139.351546477699</v>
      </c>
      <c r="F74" s="108" t="n">
        <v>131.709578</v>
      </c>
      <c r="G74" s="108" t="n">
        <v>139.45832245103</v>
      </c>
      <c r="H74" s="108" t="n">
        <v>57.8524905231236</v>
      </c>
      <c r="I74" s="108" t="n">
        <v>68.9862177328844</v>
      </c>
    </row>
    <row r="75" customFormat="false" ht="14.25" hidden="false" customHeight="true" outlineLevel="0" collapsed="false">
      <c r="A75" s="106" t="n">
        <v>2014</v>
      </c>
      <c r="B75" s="106" t="s">
        <v>59</v>
      </c>
      <c r="C75" s="107" t="s">
        <v>151</v>
      </c>
      <c r="D75" s="109" t="s">
        <v>151</v>
      </c>
      <c r="E75" s="108" t="n">
        <v>137.771648329666</v>
      </c>
      <c r="F75" s="108" t="n">
        <v>130.163805</v>
      </c>
      <c r="G75" s="108" t="n">
        <v>138.106687</v>
      </c>
      <c r="H75" s="108" t="n">
        <v>55.6681879713789</v>
      </c>
      <c r="I75" s="108" t="n">
        <v>66.6757023093958</v>
      </c>
    </row>
    <row r="76" customFormat="false" ht="14.25" hidden="false" customHeight="true" outlineLevel="0" collapsed="false">
      <c r="A76" s="106" t="n">
        <v>2015</v>
      </c>
      <c r="B76" s="106" t="s">
        <v>59</v>
      </c>
      <c r="C76" s="107" t="s">
        <v>151</v>
      </c>
      <c r="D76" s="109" t="s">
        <v>151</v>
      </c>
      <c r="E76" s="108" t="n">
        <v>116.224320390777</v>
      </c>
      <c r="F76" s="108" t="n">
        <v>108.445090335613</v>
      </c>
      <c r="G76" s="108" t="n">
        <v>115.845130172067</v>
      </c>
      <c r="H76" s="108" t="n">
        <v>36.432617</v>
      </c>
      <c r="I76" s="108" t="n">
        <v>46.331203</v>
      </c>
    </row>
    <row r="77" customFormat="false" ht="14.25" hidden="false" customHeight="true" outlineLevel="0" collapsed="false">
      <c r="A77" s="106" t="n">
        <v>2016</v>
      </c>
      <c r="B77" s="106" t="s">
        <v>59</v>
      </c>
      <c r="C77" s="107" t="s">
        <v>151</v>
      </c>
      <c r="D77" s="109" t="s">
        <v>151</v>
      </c>
      <c r="E77" s="108" t="n">
        <v>110.243857771554</v>
      </c>
      <c r="F77" s="108" t="n">
        <v>101.742386466289</v>
      </c>
      <c r="G77" s="108" t="n">
        <v>102.522596</v>
      </c>
      <c r="H77" s="108" t="n">
        <v>22.813</v>
      </c>
      <c r="I77" s="108" t="n">
        <v>35.185763</v>
      </c>
    </row>
    <row r="78" customFormat="false" ht="14.25" hidden="false" customHeight="true" outlineLevel="0" collapsed="false">
      <c r="A78" s="106" t="n">
        <v>2017</v>
      </c>
      <c r="B78" s="106" t="s">
        <v>59</v>
      </c>
      <c r="C78" s="107" t="s">
        <v>151</v>
      </c>
      <c r="D78" s="109" t="s">
        <v>151</v>
      </c>
      <c r="E78" s="108" t="n">
        <v>127.854687937588</v>
      </c>
      <c r="F78" s="108" t="n">
        <v>118.694981980431</v>
      </c>
      <c r="G78" s="108" t="n">
        <v>121.991512</v>
      </c>
      <c r="H78" s="108" t="n">
        <v>40.68</v>
      </c>
      <c r="I78" s="108" t="n">
        <v>51.987027</v>
      </c>
    </row>
    <row r="79" customFormat="false" ht="14.25" hidden="false" customHeight="true" outlineLevel="0" collapsed="false">
      <c r="A79" s="106" t="n">
        <v>2018</v>
      </c>
      <c r="B79" s="106" t="s">
        <v>59</v>
      </c>
      <c r="C79" s="107" t="s">
        <v>151</v>
      </c>
      <c r="D79" s="109" t="s">
        <v>151</v>
      </c>
      <c r="E79" s="108" t="n">
        <v>130.512359</v>
      </c>
      <c r="F79" s="108" t="n">
        <v>121.161150175854</v>
      </c>
      <c r="G79" s="108" t="n">
        <v>124.553892</v>
      </c>
      <c r="H79" s="108" t="n">
        <v>45.919</v>
      </c>
      <c r="I79" s="108" t="n">
        <v>55.511189</v>
      </c>
    </row>
    <row r="80" customFormat="false" ht="14.25" hidden="false" customHeight="true" outlineLevel="0" collapsed="false">
      <c r="A80" s="106" t="n">
        <v>2019</v>
      </c>
      <c r="B80" s="106" t="s">
        <v>59</v>
      </c>
      <c r="C80" s="107" t="s">
        <v>151</v>
      </c>
      <c r="D80" s="109" t="s">
        <v>151</v>
      </c>
      <c r="E80" s="108" t="n">
        <v>129.554945</v>
      </c>
      <c r="F80" s="108" t="n">
        <v>119.456544016876</v>
      </c>
      <c r="G80" s="108" t="n">
        <v>129.268337</v>
      </c>
      <c r="H80" s="108" t="n">
        <v>46.587</v>
      </c>
      <c r="I80" s="108" t="n">
        <v>56.722092</v>
      </c>
    </row>
    <row r="81" customFormat="false" ht="14.25" hidden="false" customHeight="true" outlineLevel="0" collapsed="false">
      <c r="A81" s="106" t="n">
        <v>2020</v>
      </c>
      <c r="B81" s="106" t="s">
        <v>59</v>
      </c>
      <c r="C81" s="107" t="s">
        <v>151</v>
      </c>
      <c r="D81" s="109" t="s">
        <v>151</v>
      </c>
      <c r="E81" s="108" t="n">
        <v>139.211631</v>
      </c>
      <c r="F81" s="110" t="n">
        <v>127.140534997831</v>
      </c>
      <c r="G81" s="110" t="n">
        <v>132.634347</v>
      </c>
      <c r="H81" s="108" t="n">
        <v>48.197</v>
      </c>
      <c r="I81" s="108" t="n">
        <v>59.820065</v>
      </c>
    </row>
    <row r="82" customFormat="false" ht="14.25" hidden="false" customHeight="true" outlineLevel="0" collapsed="false">
      <c r="A82" s="106" t="n">
        <v>2021</v>
      </c>
      <c r="B82" s="106" t="s">
        <v>59</v>
      </c>
      <c r="C82" s="109" t="s">
        <v>151</v>
      </c>
      <c r="D82" s="109" t="s">
        <v>151</v>
      </c>
      <c r="E82" s="108" t="n">
        <v>130.174705</v>
      </c>
      <c r="F82" s="111" t="n">
        <v>117.251800974627</v>
      </c>
      <c r="G82" s="111" t="n">
        <v>121.734642</v>
      </c>
      <c r="H82" s="108" t="n">
        <v>34.624</v>
      </c>
      <c r="I82" s="108" t="n">
        <v>49.851804</v>
      </c>
    </row>
    <row r="83" customFormat="false" ht="14.25" hidden="false" customHeight="true" outlineLevel="0" collapsed="false">
      <c r="A83" s="106" t="n">
        <v>2022</v>
      </c>
      <c r="B83" s="106" t="s">
        <v>59</v>
      </c>
      <c r="C83" s="107" t="s">
        <v>151</v>
      </c>
      <c r="D83" s="109" t="s">
        <v>151</v>
      </c>
      <c r="E83" s="108" t="n">
        <v>156.9926</v>
      </c>
      <c r="F83" s="108" t="n">
        <v>144.9245</v>
      </c>
      <c r="G83" s="108" t="n">
        <v>148.7429</v>
      </c>
      <c r="H83" s="108" t="n">
        <v>53.925</v>
      </c>
      <c r="I83" s="108" t="n">
        <v>71.8762</v>
      </c>
    </row>
    <row r="84" customFormat="false" ht="14.25" hidden="false" customHeight="true" outlineLevel="0" collapsed="false">
      <c r="A84" s="106" t="n">
        <v>2023</v>
      </c>
      <c r="B84" s="106" t="s">
        <v>59</v>
      </c>
      <c r="C84" s="107" t="s">
        <v>151</v>
      </c>
      <c r="D84" s="109" t="s">
        <v>151</v>
      </c>
      <c r="E84" s="112" t="n">
        <v>162.023529213638</v>
      </c>
      <c r="F84" s="112" t="n">
        <v>148.450712136216</v>
      </c>
      <c r="G84" s="112" t="n">
        <v>171.270937</v>
      </c>
      <c r="H84" s="112" t="n">
        <v>74.788</v>
      </c>
      <c r="I84" s="112" t="n">
        <v>92.105607</v>
      </c>
    </row>
    <row r="85" customFormat="false" ht="14.25" hidden="false" customHeight="true" outlineLevel="0" collapsed="false">
      <c r="A85" s="106" t="n">
        <v>2024</v>
      </c>
      <c r="B85" s="106" t="s">
        <v>59</v>
      </c>
      <c r="C85" s="107" t="s">
        <v>151</v>
      </c>
      <c r="D85" s="109" t="s">
        <v>151</v>
      </c>
      <c r="E85" s="112" t="n">
        <v>153.156466616611</v>
      </c>
      <c r="F85" s="112" t="n">
        <v>139.36021812596</v>
      </c>
      <c r="G85" s="112" t="n">
        <v>147.831895</v>
      </c>
      <c r="H85" s="112" t="n">
        <v>62.935</v>
      </c>
      <c r="I85" s="112" t="n">
        <v>75.359501</v>
      </c>
    </row>
    <row r="86" customFormat="false" ht="12.75" hidden="false" customHeight="false" outlineLevel="0" collapsed="false">
      <c r="A86" s="106" t="n">
        <v>2025</v>
      </c>
      <c r="B86" s="106" t="s">
        <v>59</v>
      </c>
      <c r="C86" s="107" t="s">
        <v>151</v>
      </c>
      <c r="D86" s="109" t="s">
        <v>151</v>
      </c>
      <c r="E86" s="112" t="n">
        <v>149.326775983773</v>
      </c>
      <c r="F86" s="112" t="n">
        <v>136.75740321166</v>
      </c>
      <c r="G86" s="112" t="n">
        <v>143.416042</v>
      </c>
      <c r="H86" s="112" t="n">
        <v>56.644</v>
      </c>
      <c r="I86" s="112" t="n">
        <v>74.680828</v>
      </c>
    </row>
    <row r="87" customFormat="false" ht="12.75" hidden="false" customHeight="false" outlineLevel="0" collapsed="false">
      <c r="A87" s="106" t="n">
        <v>2026</v>
      </c>
      <c r="B87" s="106" t="s">
        <v>59</v>
      </c>
      <c r="C87" s="35"/>
      <c r="D87" s="113"/>
      <c r="E87" s="112" t="n">
        <v>149.003722561522</v>
      </c>
      <c r="F87" s="112" t="n">
        <v>133.194724347056</v>
      </c>
      <c r="G87" s="112" t="n">
        <v>142.411282</v>
      </c>
      <c r="H87" s="112" t="n">
        <v>51.843</v>
      </c>
      <c r="I87" s="112" t="n">
        <v>64.43028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true"/>
  </sheetPr>
  <dimension ref="A1:AD46"/>
  <sheetViews>
    <sheetView showFormulas="false" showGridLines="false" showRowColHeaders="true" showZeros="true" rightToLeft="false" tabSelected="false" showOutlineSymbols="true" defaultGridColor="true" view="normal" topLeftCell="J1" colorId="64" zoomScale="100" zoomScaleNormal="100" zoomScalePageLayoutView="100" workbookViewId="0">
      <selection pane="topLeft" activeCell="H16" activeCellId="0" sqref="H16"/>
    </sheetView>
  </sheetViews>
  <sheetFormatPr defaultColWidth="8.71484375" defaultRowHeight="12.75" customHeight="true" zeroHeight="false" outlineLevelRow="0" outlineLevelCol="0"/>
  <sheetData>
    <row r="1" customFormat="false" ht="18" hidden="false" customHeight="true" outlineLevel="0" collapsed="false">
      <c r="A1" s="114" t="s">
        <v>152</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row>
    <row r="2" customFormat="false" ht="18" hidden="false" customHeight="true" outlineLevel="0" collapsed="false">
      <c r="A2" s="115"/>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row>
    <row r="3" customFormat="false" ht="18" hidden="false" customHeight="true" outlineLevel="0" collapsed="false">
      <c r="A3" s="115"/>
      <c r="B3" s="115"/>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row>
    <row r="4" customFormat="false" ht="12.75" hidden="false" customHeight="false" outlineLevel="0" collapsed="false">
      <c r="A4" s="116" t="s">
        <v>153</v>
      </c>
      <c r="B4" s="115"/>
      <c r="C4" s="115"/>
      <c r="D4" s="115"/>
      <c r="E4" s="115"/>
      <c r="F4" s="115"/>
      <c r="G4" s="115"/>
      <c r="H4" s="115"/>
      <c r="I4" s="115"/>
      <c r="J4" s="115"/>
      <c r="K4" s="116" t="s">
        <v>154</v>
      </c>
      <c r="L4" s="115"/>
      <c r="M4" s="115"/>
      <c r="N4" s="115"/>
      <c r="O4" s="115"/>
      <c r="P4" s="115"/>
      <c r="Q4" s="115"/>
      <c r="R4" s="115"/>
      <c r="S4" s="115"/>
      <c r="T4" s="115"/>
      <c r="U4" s="116" t="s">
        <v>155</v>
      </c>
      <c r="V4" s="115"/>
      <c r="W4" s="115"/>
      <c r="X4" s="115"/>
      <c r="Y4" s="115"/>
      <c r="Z4" s="115"/>
      <c r="AA4" s="115"/>
      <c r="AB4" s="115"/>
      <c r="AC4" s="115"/>
      <c r="AD4" s="115"/>
    </row>
    <row r="5" customFormat="false" ht="12.75" hidden="false" customHeight="false" outlineLevel="0" collapsed="false">
      <c r="A5" s="115"/>
      <c r="B5" s="115"/>
      <c r="C5" s="115"/>
      <c r="D5" s="115"/>
      <c r="E5" s="115"/>
      <c r="F5" s="115"/>
      <c r="G5" s="115"/>
      <c r="H5" s="115"/>
      <c r="I5" s="115"/>
      <c r="J5" s="115"/>
      <c r="K5" s="115"/>
      <c r="L5" s="115"/>
      <c r="M5" s="115"/>
      <c r="N5" s="115"/>
      <c r="O5" s="115"/>
      <c r="P5" s="115"/>
      <c r="Q5" s="115"/>
      <c r="R5" s="115"/>
      <c r="S5" s="115"/>
      <c r="T5" s="115"/>
      <c r="U5" s="115"/>
      <c r="V5" s="115"/>
      <c r="W5" s="115"/>
      <c r="X5" s="115"/>
      <c r="Y5" s="115"/>
      <c r="Z5" s="115"/>
      <c r="AA5" s="115"/>
      <c r="AB5" s="115"/>
      <c r="AC5" s="115"/>
      <c r="AD5" s="115"/>
    </row>
    <row r="6" customFormat="false" ht="12.75" hidden="false" customHeight="false" outlineLevel="0" collapsed="false">
      <c r="A6" s="115"/>
      <c r="B6" s="115"/>
      <c r="C6" s="115"/>
      <c r="D6" s="115"/>
      <c r="E6" s="115"/>
      <c r="F6" s="115"/>
      <c r="G6" s="115"/>
      <c r="H6" s="115"/>
      <c r="I6" s="115"/>
      <c r="J6" s="115"/>
      <c r="K6" s="115"/>
      <c r="L6" s="115"/>
      <c r="M6" s="115"/>
      <c r="N6" s="115"/>
      <c r="O6" s="115"/>
      <c r="P6" s="115"/>
      <c r="Q6" s="115"/>
      <c r="R6" s="115"/>
      <c r="S6" s="115"/>
      <c r="T6" s="115"/>
      <c r="U6" s="115"/>
      <c r="V6" s="115"/>
      <c r="W6" s="115"/>
      <c r="X6" s="115"/>
      <c r="Y6" s="115"/>
      <c r="Z6" s="115"/>
      <c r="AA6" s="115"/>
      <c r="AB6" s="115"/>
      <c r="AC6" s="115"/>
      <c r="AD6" s="115"/>
    </row>
    <row r="7" customFormat="false" ht="12.75" hidden="false" customHeight="false" outlineLevel="0" collapsed="false">
      <c r="A7" s="115"/>
      <c r="B7" s="115"/>
      <c r="C7" s="115"/>
      <c r="D7" s="115"/>
      <c r="E7" s="115"/>
      <c r="F7" s="115"/>
      <c r="G7" s="115"/>
      <c r="H7" s="115"/>
      <c r="I7" s="115"/>
      <c r="J7" s="115"/>
      <c r="K7" s="115"/>
      <c r="L7" s="115"/>
      <c r="M7" s="115"/>
      <c r="N7" s="115"/>
      <c r="O7" s="115"/>
      <c r="P7" s="115"/>
      <c r="Q7" s="115"/>
      <c r="R7" s="115"/>
      <c r="S7" s="115"/>
      <c r="T7" s="115"/>
      <c r="U7" s="115"/>
      <c r="V7" s="115"/>
      <c r="W7" s="115"/>
      <c r="X7" s="115"/>
      <c r="Y7" s="115"/>
      <c r="Z7" s="115"/>
      <c r="AA7" s="115"/>
      <c r="AB7" s="115"/>
      <c r="AC7" s="115"/>
      <c r="AD7" s="115"/>
    </row>
    <row r="8" customFormat="false" ht="12.75" hidden="false" customHeight="false" outlineLevel="0" collapsed="false">
      <c r="A8" s="115"/>
      <c r="B8" s="115"/>
      <c r="C8" s="115"/>
      <c r="D8" s="115"/>
      <c r="E8" s="115"/>
      <c r="F8" s="115"/>
      <c r="G8" s="115"/>
      <c r="H8" s="115"/>
      <c r="I8" s="115"/>
      <c r="J8" s="115"/>
      <c r="K8" s="115"/>
      <c r="L8" s="115"/>
      <c r="M8" s="115"/>
      <c r="N8" s="115"/>
      <c r="O8" s="115"/>
      <c r="P8" s="115"/>
      <c r="Q8" s="115"/>
      <c r="R8" s="115"/>
      <c r="S8" s="115"/>
      <c r="T8" s="115"/>
      <c r="U8" s="115"/>
      <c r="V8" s="115"/>
      <c r="W8" s="115"/>
      <c r="X8" s="115"/>
      <c r="Y8" s="115"/>
      <c r="Z8" s="115"/>
      <c r="AA8" s="115"/>
      <c r="AB8" s="115"/>
      <c r="AC8" s="115"/>
      <c r="AD8" s="115"/>
    </row>
    <row r="9" customFormat="false" ht="12.75" hidden="false" customHeight="false" outlineLevel="0" collapsed="false">
      <c r="A9" s="115"/>
      <c r="B9" s="115"/>
      <c r="C9" s="115"/>
      <c r="D9" s="115"/>
      <c r="E9" s="115"/>
      <c r="F9" s="115"/>
      <c r="G9" s="115"/>
      <c r="H9" s="115"/>
      <c r="I9" s="115"/>
      <c r="J9" s="115"/>
      <c r="K9" s="115"/>
      <c r="L9" s="115"/>
      <c r="M9" s="115"/>
      <c r="N9" s="115"/>
      <c r="O9" s="115"/>
      <c r="P9" s="115"/>
      <c r="Q9" s="115"/>
      <c r="R9" s="115"/>
      <c r="S9" s="115"/>
      <c r="T9" s="115"/>
      <c r="U9" s="115"/>
      <c r="V9" s="115"/>
      <c r="W9" s="115"/>
      <c r="X9" s="115"/>
      <c r="Y9" s="115"/>
      <c r="Z9" s="115"/>
      <c r="AA9" s="115"/>
      <c r="AB9" s="115"/>
      <c r="AC9" s="115"/>
      <c r="AD9" s="115"/>
    </row>
    <row r="10" customFormat="false" ht="12.75" hidden="false" customHeight="false" outlineLevel="0" collapsed="false">
      <c r="A10" s="115"/>
      <c r="B10" s="115"/>
      <c r="C10" s="115"/>
      <c r="D10" s="115"/>
      <c r="E10" s="115"/>
      <c r="F10" s="115"/>
      <c r="G10" s="115"/>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row>
    <row r="11" customFormat="false" ht="12.75" hidden="false" customHeight="false" outlineLevel="0" collapsed="false">
      <c r="A11" s="115"/>
      <c r="B11" s="115"/>
      <c r="C11" s="115"/>
      <c r="D11" s="115"/>
      <c r="E11" s="115"/>
      <c r="F11" s="115"/>
      <c r="G11" s="115"/>
      <c r="H11" s="115"/>
      <c r="I11" s="115"/>
      <c r="J11" s="115"/>
      <c r="K11" s="115"/>
      <c r="L11" s="115"/>
      <c r="M11" s="115"/>
      <c r="N11" s="115"/>
      <c r="O11" s="115"/>
      <c r="P11" s="115"/>
      <c r="Q11" s="115"/>
      <c r="R11" s="115"/>
      <c r="S11" s="115"/>
      <c r="T11" s="115"/>
      <c r="U11" s="115"/>
      <c r="V11" s="115"/>
      <c r="W11" s="115"/>
      <c r="X11" s="115"/>
      <c r="Y11" s="115"/>
      <c r="Z11" s="115"/>
      <c r="AA11" s="115"/>
      <c r="AB11" s="115"/>
      <c r="AC11" s="115"/>
      <c r="AD11" s="115"/>
    </row>
    <row r="12" customFormat="false" ht="12.75" hidden="false" customHeight="false" outlineLevel="0" collapsed="false">
      <c r="A12" s="115"/>
      <c r="B12" s="115"/>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row>
    <row r="13" customFormat="false" ht="12.75" hidden="false" customHeight="false" outlineLevel="0" collapsed="false">
      <c r="A13" s="115"/>
      <c r="B13" s="115"/>
      <c r="C13" s="115"/>
      <c r="D13" s="115"/>
      <c r="E13" s="115"/>
      <c r="F13" s="115"/>
      <c r="G13" s="115"/>
      <c r="H13" s="115"/>
      <c r="I13" s="115"/>
      <c r="J13" s="115"/>
      <c r="K13" s="115"/>
      <c r="L13" s="115"/>
      <c r="M13" s="115"/>
      <c r="N13" s="115"/>
      <c r="O13" s="115"/>
      <c r="P13" s="115"/>
      <c r="Q13" s="115"/>
      <c r="R13" s="115"/>
      <c r="S13" s="115"/>
      <c r="T13" s="115"/>
      <c r="U13" s="115"/>
      <c r="V13" s="115"/>
      <c r="W13" s="115"/>
      <c r="X13" s="115"/>
      <c r="Y13" s="115"/>
      <c r="Z13" s="115"/>
      <c r="AA13" s="115"/>
      <c r="AB13" s="115"/>
      <c r="AC13" s="115"/>
      <c r="AD13" s="115"/>
    </row>
    <row r="14" customFormat="false" ht="12.75" hidden="false" customHeight="false" outlineLevel="0" collapsed="false">
      <c r="A14" s="115"/>
      <c r="B14" s="115"/>
      <c r="C14" s="115"/>
      <c r="D14" s="115"/>
      <c r="E14" s="115"/>
      <c r="F14" s="115"/>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row>
    <row r="15" customFormat="false" ht="12.75" hidden="false" customHeight="false" outlineLevel="0" collapsed="false">
      <c r="A15" s="115"/>
      <c r="B15" s="115"/>
      <c r="C15" s="115"/>
      <c r="D15" s="115"/>
      <c r="E15" s="115"/>
      <c r="F15" s="115"/>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row>
    <row r="16" customFormat="false" ht="12.75" hidden="false" customHeight="false" outlineLevel="0" collapsed="false">
      <c r="A16" s="115"/>
      <c r="B16" s="115"/>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row>
    <row r="17" customFormat="false" ht="12.75" hidden="false" customHeight="false" outlineLevel="0" collapsed="false">
      <c r="A17" s="115"/>
      <c r="B17" s="115"/>
      <c r="C17" s="115"/>
      <c r="D17" s="115"/>
      <c r="E17" s="115"/>
      <c r="F17" s="115"/>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row>
    <row r="18" customFormat="false" ht="12.75" hidden="false" customHeight="false" outlineLevel="0" collapsed="false">
      <c r="A18" s="115"/>
      <c r="B18" s="115"/>
      <c r="C18" s="115"/>
      <c r="D18" s="115"/>
      <c r="E18" s="115"/>
      <c r="F18" s="115"/>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row>
    <row r="19" customFormat="false" ht="12.75" hidden="false" customHeight="false" outlineLevel="0" collapsed="false">
      <c r="A19" s="115"/>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row>
    <row r="20" customFormat="false" ht="12.75" hidden="false" customHeight="false" outlineLevel="0" collapsed="false">
      <c r="A20" s="115"/>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row>
    <row r="21" customFormat="false" ht="12.75" hidden="false" customHeight="false" outlineLevel="0" collapsed="false">
      <c r="A21" s="115"/>
      <c r="B21" s="115"/>
      <c r="C21" s="115"/>
      <c r="D21" s="115"/>
      <c r="E21" s="115"/>
      <c r="F21" s="115"/>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row>
    <row r="22" customFormat="false" ht="12.75" hidden="false" customHeight="false" outlineLevel="0" collapsed="false">
      <c r="A22" s="115"/>
      <c r="B22" s="115"/>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row>
    <row r="23" customFormat="false" ht="12.75" hidden="false" customHeight="false" outlineLevel="0" collapsed="false">
      <c r="A23" s="115"/>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5"/>
      <c r="AC23" s="115"/>
      <c r="AD23" s="115"/>
    </row>
    <row r="24" customFormat="false" ht="12.75" hidden="false" customHeight="false" outlineLevel="0" collapsed="false">
      <c r="A24" s="115"/>
      <c r="B24" s="115"/>
      <c r="C24" s="115"/>
      <c r="D24" s="115"/>
      <c r="E24" s="115"/>
      <c r="F24" s="115"/>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row>
    <row r="25" customFormat="false" ht="12.75" hidden="false" customHeight="false" outlineLevel="0" collapsed="false">
      <c r="A25" s="116" t="s">
        <v>156</v>
      </c>
      <c r="B25" s="115"/>
      <c r="C25" s="115"/>
      <c r="D25" s="115"/>
      <c r="E25" s="115"/>
      <c r="F25" s="115"/>
      <c r="G25" s="115"/>
      <c r="H25" s="115"/>
      <c r="I25" s="115"/>
      <c r="J25" s="115"/>
      <c r="K25" s="116" t="s">
        <v>157</v>
      </c>
      <c r="L25" s="115"/>
      <c r="M25" s="115"/>
      <c r="N25" s="115"/>
      <c r="O25" s="115"/>
      <c r="P25" s="115"/>
      <c r="Q25" s="115"/>
      <c r="R25" s="115"/>
      <c r="S25" s="115"/>
      <c r="T25" s="115"/>
      <c r="U25" s="115"/>
      <c r="V25" s="115"/>
      <c r="W25" s="115"/>
      <c r="X25" s="115"/>
      <c r="Y25" s="115"/>
      <c r="Z25" s="115"/>
      <c r="AA25" s="115"/>
      <c r="AB25" s="115"/>
      <c r="AC25" s="115"/>
      <c r="AD25" s="115"/>
    </row>
    <row r="26" customFormat="false" ht="12.75" hidden="false" customHeight="false" outlineLevel="0" collapsed="false">
      <c r="A26" s="115"/>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row>
    <row r="27" customFormat="false" ht="12.75" hidden="false" customHeight="false" outlineLevel="0" collapsed="false">
      <c r="A27" s="115"/>
      <c r="B27" s="115"/>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row>
    <row r="28" customFormat="false" ht="12.75" hidden="false" customHeight="false" outlineLevel="0" collapsed="false">
      <c r="A28" s="115"/>
      <c r="B28" s="115"/>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row>
    <row r="29" customFormat="false" ht="12.75" hidden="false" customHeight="false" outlineLevel="0" collapsed="false">
      <c r="A29" s="115"/>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row>
    <row r="30" customFormat="false" ht="12.75" hidden="false" customHeight="false" outlineLevel="0" collapsed="false">
      <c r="A30" s="115"/>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row>
    <row r="31" customFormat="false" ht="12.75" hidden="false" customHeight="false" outlineLevel="0" collapsed="false">
      <c r="A31" s="115"/>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row>
    <row r="32" customFormat="false" ht="12.75" hidden="false" customHeight="false" outlineLevel="0" collapsed="false">
      <c r="A32" s="115"/>
      <c r="B32" s="115"/>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row>
    <row r="33" customFormat="false" ht="12.75" hidden="false" customHeight="false" outlineLevel="0" collapsed="false">
      <c r="A33" s="115"/>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row>
    <row r="34" customFormat="false" ht="12.75" hidden="false" customHeight="false" outlineLevel="0" collapsed="false">
      <c r="A34" s="115"/>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c r="AD34" s="115"/>
    </row>
    <row r="35" customFormat="false" ht="12.75" hidden="false" customHeight="false" outlineLevel="0" collapsed="false">
      <c r="A35" s="115"/>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row>
    <row r="36" customFormat="false" ht="12.75" hidden="false" customHeight="false" outlineLevel="0" collapsed="false">
      <c r="A36" s="115"/>
      <c r="B36" s="115"/>
      <c r="C36" s="115"/>
      <c r="D36" s="115"/>
      <c r="E36" s="115"/>
      <c r="F36" s="115"/>
      <c r="G36" s="115"/>
      <c r="H36" s="115"/>
      <c r="I36" s="115"/>
      <c r="J36" s="115"/>
      <c r="K36" s="115"/>
      <c r="L36" s="115"/>
      <c r="M36" s="115"/>
      <c r="N36" s="115"/>
      <c r="O36" s="115"/>
      <c r="P36" s="115"/>
      <c r="Q36" s="115"/>
      <c r="R36" s="115"/>
      <c r="S36" s="115"/>
      <c r="T36" s="115"/>
      <c r="U36" s="115"/>
      <c r="V36" s="115"/>
      <c r="W36" s="115"/>
      <c r="X36" s="115"/>
      <c r="Y36" s="115"/>
      <c r="Z36" s="115"/>
      <c r="AA36" s="115"/>
      <c r="AB36" s="115"/>
      <c r="AC36" s="115"/>
      <c r="AD36" s="115"/>
    </row>
    <row r="37" customFormat="false" ht="12.75" hidden="false" customHeight="false" outlineLevel="0" collapsed="false">
      <c r="A37" s="115"/>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5"/>
      <c r="AC37" s="115"/>
      <c r="AD37" s="115"/>
    </row>
    <row r="38" customFormat="false" ht="12.75" hidden="false" customHeight="false" outlineLevel="0" collapsed="false">
      <c r="A38" s="115"/>
      <c r="B38" s="115"/>
      <c r="C38" s="115"/>
      <c r="D38" s="115"/>
      <c r="E38" s="115"/>
      <c r="F38" s="115"/>
      <c r="G38" s="115"/>
      <c r="H38" s="115"/>
      <c r="I38" s="115"/>
      <c r="J38" s="115"/>
      <c r="K38" s="115"/>
      <c r="L38" s="115"/>
      <c r="M38" s="115"/>
      <c r="N38" s="115"/>
      <c r="O38" s="115"/>
      <c r="P38" s="115"/>
      <c r="Q38" s="115"/>
      <c r="R38" s="115"/>
      <c r="S38" s="115"/>
      <c r="T38" s="115"/>
      <c r="U38" s="115"/>
      <c r="V38" s="115"/>
      <c r="W38" s="115"/>
      <c r="X38" s="115"/>
      <c r="Y38" s="115"/>
      <c r="Z38" s="115"/>
      <c r="AA38" s="115"/>
      <c r="AB38" s="115"/>
      <c r="AC38" s="115"/>
      <c r="AD38" s="115"/>
    </row>
    <row r="39" customFormat="false" ht="12.75" hidden="false" customHeight="false" outlineLevel="0" collapsed="false">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c r="Z39" s="115"/>
      <c r="AA39" s="115"/>
      <c r="AB39" s="115"/>
      <c r="AC39" s="115"/>
      <c r="AD39" s="115"/>
    </row>
    <row r="40" customFormat="false" ht="12.75" hidden="false" customHeight="false" outlineLevel="0" collapsed="false">
      <c r="A40" s="115"/>
      <c r="B40" s="115"/>
      <c r="C40" s="115"/>
      <c r="D40" s="115"/>
      <c r="E40" s="115"/>
      <c r="F40" s="115"/>
      <c r="G40" s="115"/>
      <c r="H40" s="115"/>
      <c r="I40" s="115"/>
      <c r="J40" s="115"/>
      <c r="K40" s="115"/>
      <c r="L40" s="115"/>
      <c r="M40" s="115"/>
      <c r="N40" s="115"/>
      <c r="O40" s="115"/>
      <c r="P40" s="115"/>
      <c r="Q40" s="115"/>
      <c r="R40" s="115"/>
      <c r="S40" s="115"/>
      <c r="T40" s="115"/>
      <c r="U40" s="115"/>
      <c r="W40" s="115"/>
      <c r="X40" s="115"/>
      <c r="Y40" s="115"/>
      <c r="Z40" s="115"/>
      <c r="AA40" s="115"/>
      <c r="AB40" s="115"/>
      <c r="AC40" s="115"/>
      <c r="AD40" s="115"/>
    </row>
    <row r="41" customFormat="false" ht="12.75" hidden="false" customHeight="false" outlineLevel="0" collapsed="false">
      <c r="A41" s="115"/>
      <c r="B41" s="115"/>
      <c r="C41" s="115"/>
      <c r="D41" s="115"/>
      <c r="E41" s="115"/>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row>
    <row r="42" customFormat="false" ht="12.75" hidden="false" customHeight="false" outlineLevel="0" collapsed="false">
      <c r="A42" s="115"/>
      <c r="B42" s="115"/>
      <c r="C42" s="115"/>
      <c r="D42" s="115"/>
      <c r="E42" s="115"/>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row>
    <row r="43" customFormat="false" ht="12.75" hidden="false" customHeight="false" outlineLevel="0" collapsed="false">
      <c r="A43" s="115"/>
      <c r="B43" s="115"/>
      <c r="C43" s="115"/>
      <c r="D43" s="115"/>
      <c r="E43" s="115"/>
      <c r="F43" s="115"/>
      <c r="G43" s="115"/>
      <c r="H43" s="115"/>
      <c r="I43" s="115"/>
      <c r="J43" s="115"/>
      <c r="K43" s="115"/>
      <c r="L43" s="115"/>
      <c r="M43" s="115"/>
      <c r="N43" s="115"/>
      <c r="O43" s="115"/>
      <c r="P43" s="115"/>
      <c r="Q43" s="115"/>
      <c r="R43" s="115"/>
      <c r="S43" s="115"/>
      <c r="T43" s="115"/>
      <c r="U43" s="115"/>
      <c r="W43" s="115"/>
      <c r="X43" s="115"/>
      <c r="Y43" s="115"/>
      <c r="Z43" s="115"/>
      <c r="AA43" s="115"/>
      <c r="AB43" s="115"/>
      <c r="AC43" s="115"/>
      <c r="AD43" s="115"/>
    </row>
    <row r="44" customFormat="false" ht="12.75" hidden="false" customHeight="false" outlineLevel="0" collapsed="false">
      <c r="A44" s="115"/>
      <c r="B44" s="115"/>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row>
    <row r="45" customFormat="false" ht="13.05" hidden="false" customHeight="false" outlineLevel="0" collapsed="false">
      <c r="A45" s="117" t="s">
        <v>158</v>
      </c>
      <c r="B45" s="115"/>
      <c r="C45" s="115"/>
      <c r="D45" s="115"/>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row>
    <row r="46" customFormat="false" ht="12.75" hidden="false" customHeight="false" outlineLevel="0" collapsed="false">
      <c r="A46" s="115"/>
      <c r="B46" s="115"/>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row>
  </sheetData>
  <hyperlinks>
    <hyperlink ref="A45" location="Contents!A1" display="Return to Contents Page"/>
  </hyperlinks>
  <printOptions headings="false" gridLines="false" gridLinesSet="true" horizontalCentered="false" verticalCentered="false"/>
  <pageMargins left="0.315277777777778" right="0.315277777777778" top="0.354166666666667" bottom="0.354166666666667"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97D"/>
    <pageSetUpPr fitToPage="false"/>
  </sheetPr>
  <dimension ref="A1:V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2890625" defaultRowHeight="12.75" customHeight="true" zeroHeight="false" outlineLevelRow="0" outlineLevelCol="0"/>
  <sheetData>
    <row r="1" customFormat="false" ht="18" hidden="false" customHeight="true" outlineLevel="0" collapsed="false">
      <c r="A1" s="118" t="s">
        <v>159</v>
      </c>
      <c r="B1" s="119"/>
      <c r="C1" s="119"/>
      <c r="D1" s="119"/>
      <c r="E1" s="119"/>
      <c r="F1" s="119"/>
      <c r="G1" s="119"/>
      <c r="H1" s="119"/>
      <c r="I1" s="119"/>
      <c r="J1" s="119"/>
      <c r="K1" s="119"/>
      <c r="L1" s="119"/>
      <c r="M1" s="119"/>
      <c r="N1" s="119"/>
      <c r="O1" s="119"/>
      <c r="P1" s="119"/>
      <c r="Q1" s="119"/>
      <c r="R1" s="119"/>
      <c r="S1" s="119"/>
      <c r="T1" s="119"/>
      <c r="U1" s="119"/>
      <c r="V1" s="119"/>
    </row>
    <row r="2" customFormat="false" ht="18" hidden="false" customHeight="true" outlineLevel="0" collapsed="false">
      <c r="A2" s="120" t="s">
        <v>160</v>
      </c>
      <c r="B2" s="121"/>
      <c r="C2" s="119"/>
      <c r="D2" s="119"/>
      <c r="E2" s="119"/>
      <c r="F2" s="119"/>
      <c r="G2" s="119"/>
      <c r="H2" s="119"/>
      <c r="I2" s="119"/>
      <c r="J2" s="119"/>
      <c r="K2" s="119"/>
      <c r="L2" s="119"/>
      <c r="M2" s="119"/>
      <c r="N2" s="119"/>
      <c r="O2" s="119"/>
      <c r="P2" s="119"/>
      <c r="Q2" s="119"/>
      <c r="R2" s="119"/>
      <c r="S2" s="119"/>
      <c r="T2" s="119"/>
      <c r="U2" s="119"/>
      <c r="V2" s="119"/>
    </row>
    <row r="3" s="4" customFormat="true" ht="18" hidden="false" customHeight="true" outlineLevel="0" collapsed="false">
      <c r="A3" s="122" t="s">
        <v>161</v>
      </c>
      <c r="B3" s="123"/>
      <c r="C3" s="124"/>
      <c r="D3" s="124"/>
      <c r="E3" s="124"/>
      <c r="F3" s="124"/>
      <c r="G3" s="124"/>
      <c r="H3" s="124"/>
      <c r="I3" s="124"/>
      <c r="J3" s="124"/>
      <c r="K3" s="124"/>
      <c r="L3" s="124"/>
      <c r="M3" s="124"/>
      <c r="N3" s="124"/>
      <c r="O3" s="124"/>
      <c r="P3" s="124"/>
      <c r="Q3" s="124"/>
      <c r="R3" s="124"/>
      <c r="S3" s="124"/>
      <c r="T3" s="124"/>
      <c r="U3" s="124"/>
      <c r="V3" s="124"/>
    </row>
    <row r="4" s="4" customFormat="true" ht="15.75" hidden="false" customHeight="true" outlineLevel="0" collapsed="false">
      <c r="A4" s="123" t="s">
        <v>162</v>
      </c>
      <c r="B4" s="124"/>
      <c r="C4" s="124"/>
      <c r="D4" s="124"/>
      <c r="E4" s="124"/>
      <c r="F4" s="124"/>
      <c r="G4" s="124"/>
      <c r="H4" s="124"/>
      <c r="I4" s="124"/>
      <c r="J4" s="124"/>
      <c r="K4" s="124"/>
      <c r="L4" s="124"/>
      <c r="M4" s="124"/>
      <c r="N4" s="124"/>
      <c r="O4" s="124"/>
      <c r="P4" s="124"/>
      <c r="Q4" s="124"/>
      <c r="R4" s="124"/>
      <c r="S4" s="124"/>
      <c r="T4" s="124"/>
      <c r="U4" s="124"/>
      <c r="V4" s="124"/>
    </row>
    <row r="5" s="4" customFormat="true" ht="15.75" hidden="false" customHeight="true" outlineLevel="0" collapsed="false">
      <c r="A5" s="123" t="s">
        <v>163</v>
      </c>
      <c r="B5" s="124"/>
      <c r="C5" s="124"/>
      <c r="D5" s="124"/>
      <c r="E5" s="124"/>
      <c r="F5" s="124"/>
      <c r="G5" s="124"/>
      <c r="H5" s="124"/>
      <c r="I5" s="124"/>
      <c r="J5" s="124"/>
      <c r="K5" s="124"/>
      <c r="L5" s="124"/>
      <c r="M5" s="124"/>
      <c r="N5" s="124"/>
      <c r="O5" s="124"/>
      <c r="P5" s="124"/>
      <c r="Q5" s="124"/>
      <c r="R5" s="124"/>
      <c r="S5" s="124"/>
      <c r="T5" s="124"/>
      <c r="U5" s="124"/>
      <c r="V5" s="124"/>
    </row>
    <row r="6" s="4" customFormat="true" ht="15.75" hidden="false" customHeight="true" outlineLevel="0" collapsed="false">
      <c r="A6" s="123" t="s">
        <v>164</v>
      </c>
      <c r="B6" s="124"/>
      <c r="C6" s="124"/>
      <c r="D6" s="124"/>
      <c r="E6" s="124"/>
      <c r="F6" s="124"/>
      <c r="G6" s="124"/>
      <c r="H6" s="124"/>
      <c r="I6" s="124"/>
      <c r="J6" s="124"/>
      <c r="K6" s="124"/>
      <c r="L6" s="124"/>
      <c r="M6" s="124"/>
      <c r="N6" s="124"/>
      <c r="O6" s="124"/>
      <c r="P6" s="124"/>
      <c r="Q6" s="124"/>
      <c r="R6" s="124"/>
      <c r="S6" s="124"/>
      <c r="T6" s="124"/>
      <c r="U6" s="124"/>
      <c r="V6" s="124"/>
    </row>
    <row r="7" s="4" customFormat="true" ht="15.75" hidden="false" customHeight="true" outlineLevel="0" collapsed="false">
      <c r="A7" s="123" t="s">
        <v>165</v>
      </c>
      <c r="B7" s="124"/>
      <c r="C7" s="124"/>
      <c r="D7" s="124"/>
      <c r="E7" s="124"/>
      <c r="F7" s="124"/>
      <c r="G7" s="124"/>
      <c r="H7" s="124"/>
      <c r="I7" s="124"/>
      <c r="J7" s="124"/>
      <c r="K7" s="124"/>
      <c r="L7" s="124"/>
      <c r="M7" s="124"/>
      <c r="N7" s="124"/>
      <c r="O7" s="124"/>
      <c r="P7" s="124"/>
      <c r="Q7" s="124"/>
      <c r="R7" s="124"/>
      <c r="S7" s="124"/>
      <c r="T7" s="124"/>
      <c r="U7" s="124"/>
      <c r="V7" s="124"/>
    </row>
    <row r="8" s="4" customFormat="true" ht="15.75" hidden="false" customHeight="true" outlineLevel="0" collapsed="false">
      <c r="A8" s="16" t="s">
        <v>166</v>
      </c>
      <c r="B8" s="124"/>
      <c r="C8" s="124"/>
      <c r="D8" s="124"/>
      <c r="E8" s="124"/>
      <c r="F8" s="124"/>
      <c r="G8" s="124"/>
      <c r="H8" s="124"/>
      <c r="I8" s="124"/>
      <c r="J8" s="124"/>
      <c r="K8" s="124"/>
      <c r="L8" s="124"/>
      <c r="M8" s="124"/>
      <c r="N8" s="124"/>
      <c r="O8" s="124"/>
      <c r="P8" s="124"/>
      <c r="Q8" s="124"/>
      <c r="R8" s="124"/>
      <c r="S8" s="124"/>
      <c r="T8" s="124"/>
      <c r="U8" s="124"/>
      <c r="V8" s="124"/>
    </row>
    <row r="9" s="4" customFormat="true" ht="15.75" hidden="false" customHeight="true" outlineLevel="0" collapsed="false">
      <c r="A9" s="123" t="s">
        <v>167</v>
      </c>
      <c r="B9" s="123"/>
      <c r="C9" s="124"/>
      <c r="D9" s="124"/>
      <c r="E9" s="124"/>
      <c r="F9" s="124"/>
      <c r="G9" s="124"/>
      <c r="H9" s="124"/>
      <c r="I9" s="124"/>
      <c r="J9" s="124"/>
      <c r="K9" s="124"/>
      <c r="L9" s="124"/>
      <c r="M9" s="124"/>
      <c r="N9" s="124"/>
      <c r="O9" s="124"/>
      <c r="P9" s="124"/>
      <c r="Q9" s="124"/>
      <c r="R9" s="124"/>
      <c r="S9" s="124"/>
      <c r="T9" s="124"/>
      <c r="U9" s="124"/>
      <c r="V9" s="124"/>
    </row>
    <row r="10" s="4" customFormat="true" ht="15.75" hidden="false" customHeight="true" outlineLevel="0" collapsed="false">
      <c r="A10" s="16" t="s">
        <v>168</v>
      </c>
      <c r="B10" s="123"/>
      <c r="C10" s="124"/>
      <c r="D10" s="124"/>
      <c r="E10" s="124"/>
      <c r="F10" s="124"/>
      <c r="G10" s="124"/>
      <c r="H10" s="124"/>
      <c r="I10" s="124"/>
      <c r="J10" s="124"/>
      <c r="K10" s="124"/>
      <c r="L10" s="124"/>
      <c r="M10" s="124"/>
      <c r="N10" s="124"/>
      <c r="O10" s="124"/>
      <c r="P10" s="124"/>
      <c r="Q10" s="124"/>
      <c r="R10" s="124"/>
      <c r="S10" s="124"/>
      <c r="T10" s="124"/>
      <c r="U10" s="124"/>
      <c r="V10" s="124"/>
    </row>
    <row r="11" s="4" customFormat="true" ht="15.75" hidden="false" customHeight="true" outlineLevel="0" collapsed="false">
      <c r="A11" s="123" t="s">
        <v>169</v>
      </c>
      <c r="B11" s="124"/>
      <c r="C11" s="124"/>
      <c r="D11" s="124"/>
      <c r="E11" s="124"/>
      <c r="F11" s="124"/>
      <c r="G11" s="124"/>
      <c r="H11" s="124"/>
      <c r="I11" s="124"/>
      <c r="J11" s="124"/>
      <c r="K11" s="124"/>
      <c r="L11" s="124"/>
      <c r="M11" s="124"/>
      <c r="N11" s="124"/>
      <c r="O11" s="124"/>
      <c r="P11" s="124"/>
      <c r="Q11" s="124"/>
      <c r="R11" s="124"/>
      <c r="S11" s="124"/>
      <c r="T11" s="124"/>
      <c r="U11" s="124"/>
      <c r="V11" s="124"/>
    </row>
    <row r="12" s="4" customFormat="true" ht="18" hidden="false" customHeight="true" outlineLevel="0" collapsed="false">
      <c r="A12" s="122" t="s">
        <v>170</v>
      </c>
      <c r="B12" s="123"/>
      <c r="C12" s="124"/>
      <c r="D12" s="124"/>
      <c r="E12" s="124"/>
      <c r="F12" s="124"/>
      <c r="G12" s="124"/>
      <c r="H12" s="124"/>
      <c r="I12" s="124"/>
      <c r="J12" s="124"/>
      <c r="K12" s="124"/>
      <c r="L12" s="124"/>
      <c r="M12" s="124"/>
      <c r="N12" s="124"/>
      <c r="O12" s="124"/>
      <c r="P12" s="124"/>
      <c r="Q12" s="124"/>
      <c r="R12" s="124"/>
      <c r="S12" s="124"/>
      <c r="T12" s="124"/>
      <c r="U12" s="124"/>
      <c r="V12" s="124"/>
    </row>
    <row r="13" s="4" customFormat="true" ht="15.75" hidden="false" customHeight="true" outlineLevel="0" collapsed="false">
      <c r="A13" s="123" t="s">
        <v>171</v>
      </c>
      <c r="B13" s="123"/>
      <c r="C13" s="124"/>
      <c r="D13" s="124"/>
      <c r="E13" s="124"/>
      <c r="F13" s="124"/>
      <c r="G13" s="124"/>
      <c r="H13" s="124"/>
      <c r="I13" s="124"/>
      <c r="J13" s="124"/>
      <c r="K13" s="124"/>
      <c r="L13" s="124"/>
      <c r="M13" s="124"/>
      <c r="N13" s="124"/>
      <c r="O13" s="124"/>
      <c r="P13" s="124"/>
      <c r="Q13" s="124"/>
      <c r="R13" s="124"/>
      <c r="S13" s="124"/>
      <c r="T13" s="124"/>
      <c r="U13" s="124"/>
      <c r="V13" s="124"/>
    </row>
    <row r="14" s="4" customFormat="true" ht="15.75" hidden="false" customHeight="true" outlineLevel="0" collapsed="false">
      <c r="A14" s="123" t="s">
        <v>172</v>
      </c>
      <c r="B14" s="123"/>
      <c r="C14" s="124"/>
      <c r="D14" s="124"/>
      <c r="E14" s="124"/>
      <c r="F14" s="124"/>
      <c r="G14" s="124"/>
      <c r="H14" s="124"/>
      <c r="I14" s="124"/>
      <c r="J14" s="124"/>
      <c r="K14" s="124"/>
      <c r="L14" s="124"/>
      <c r="M14" s="124"/>
      <c r="N14" s="124"/>
      <c r="O14" s="124"/>
      <c r="P14" s="124"/>
      <c r="Q14" s="124"/>
      <c r="R14" s="124"/>
      <c r="S14" s="124"/>
      <c r="T14" s="124"/>
      <c r="U14" s="124"/>
      <c r="V14" s="124"/>
    </row>
    <row r="15" s="4" customFormat="true" ht="15.75" hidden="false" customHeight="true" outlineLevel="0" collapsed="false">
      <c r="A15" s="125" t="s">
        <v>158</v>
      </c>
    </row>
    <row r="16" customFormat="false" ht="12.75" hidden="false" customHeight="false" outlineLevel="0" collapsed="false">
      <c r="A16" s="119"/>
      <c r="B16" s="119"/>
      <c r="C16" s="119"/>
      <c r="D16" s="119"/>
      <c r="E16" s="119"/>
      <c r="F16" s="119"/>
      <c r="G16" s="119"/>
      <c r="H16" s="119"/>
      <c r="I16" s="119"/>
      <c r="J16" s="119"/>
      <c r="K16" s="119"/>
      <c r="L16" s="119"/>
      <c r="M16" s="119"/>
      <c r="N16" s="119"/>
      <c r="O16" s="119"/>
      <c r="P16" s="119"/>
      <c r="Q16" s="119"/>
      <c r="R16" s="119"/>
      <c r="S16" s="119"/>
      <c r="T16" s="119"/>
      <c r="U16" s="119"/>
      <c r="V16" s="119"/>
    </row>
    <row r="17" customFormat="false" ht="12.75" hidden="false" customHeight="false" outlineLevel="0" collapsed="false">
      <c r="A17" s="119"/>
      <c r="B17" s="119"/>
      <c r="C17" s="119"/>
      <c r="D17" s="119"/>
      <c r="E17" s="119"/>
      <c r="F17" s="119"/>
      <c r="G17" s="119"/>
      <c r="H17" s="119"/>
      <c r="I17" s="119"/>
      <c r="J17" s="119"/>
      <c r="K17" s="119"/>
      <c r="L17" s="119"/>
      <c r="M17" s="119"/>
      <c r="N17" s="119"/>
      <c r="O17" s="119"/>
      <c r="P17" s="119"/>
      <c r="Q17" s="119"/>
      <c r="R17" s="119"/>
      <c r="S17" s="119"/>
      <c r="T17" s="119"/>
      <c r="U17" s="119"/>
      <c r="V17" s="119"/>
    </row>
  </sheetData>
  <hyperlinks>
    <hyperlink ref="A8" r:id="rId1" display="Link to Producer Prices Index"/>
    <hyperlink ref="A10" r:id="rId2" location="trade-outputs-published-on-different-bases" display="Link to Asymmetries in Trade Data - A UK Perspective report"/>
    <hyperlink ref="A15" location="Contents!A1" display="Return to Contents Pag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BZ1025"/>
  <sheetViews>
    <sheetView showFormulas="false" showGridLines="false" showRowColHeaders="true" showZeros="true" rightToLeft="false" tabSelected="false" showOutlineSymbols="true" defaultGridColor="true" view="normal" topLeftCell="A283" colorId="64" zoomScale="100" zoomScaleNormal="100" zoomScalePageLayoutView="100" workbookViewId="0">
      <pane xSplit="112" ySplit="0" topLeftCell="DK283" activePane="topRight" state="frozen"/>
      <selection pane="topLeft" activeCell="A283" activeCellId="0" sqref="A283"/>
      <selection pane="topRight" activeCell="L413" activeCellId="0" sqref="L413"/>
    </sheetView>
  </sheetViews>
  <sheetFormatPr defaultColWidth="9.2890625" defaultRowHeight="12.75" customHeight="true" zeroHeight="false" outlineLevelRow="0" outlineLevelCol="0"/>
  <cols>
    <col collapsed="false" customWidth="true" hidden="false" outlineLevel="0" max="1" min="1" style="25" width="7.42"/>
    <col collapsed="false" customWidth="true" hidden="false" outlineLevel="0" max="2" min="2" style="0" width="5"/>
    <col collapsed="false" customWidth="true" hidden="false" outlineLevel="0" max="3" min="3" style="0" width="10.71"/>
    <col collapsed="false" customWidth="true" hidden="false" outlineLevel="0" max="4" min="4" style="88" width="6.29"/>
    <col collapsed="false" customWidth="true" hidden="false" outlineLevel="0" max="5" min="5" style="0" width="8.29"/>
    <col collapsed="false" customWidth="true" hidden="false" outlineLevel="0" max="6" min="6" style="0" width="8"/>
    <col collapsed="false" customWidth="true" hidden="false" outlineLevel="0" max="7" min="7" style="0" width="8.42"/>
    <col collapsed="false" customWidth="true" hidden="false" outlineLevel="0" max="8" min="8" style="0" width="8.29"/>
    <col collapsed="false" customWidth="true" hidden="false" outlineLevel="0" max="9" min="9" style="0" width="7.71"/>
    <col collapsed="false" customWidth="true" hidden="false" outlineLevel="0" max="10" min="10" style="0" width="3.71"/>
    <col collapsed="false" customWidth="true" hidden="false" outlineLevel="0" max="11" min="11" style="0" width="8.29"/>
    <col collapsed="false" customWidth="true" hidden="false" outlineLevel="0" max="12" min="12" style="0" width="15.71"/>
    <col collapsed="false" customWidth="true" hidden="false" outlineLevel="0" max="13" min="13" style="0" width="12.71"/>
    <col collapsed="false" customWidth="true" hidden="false" outlineLevel="0" max="14" min="14" style="0" width="3.71"/>
    <col collapsed="false" customWidth="true" hidden="false" outlineLevel="0" max="17" min="15" style="0" width="12.71"/>
    <col collapsed="false" customWidth="true" hidden="false" outlineLevel="0" max="18" min="18" style="0" width="3.71"/>
    <col collapsed="false" customWidth="true" hidden="false" outlineLevel="0" max="19" min="19" style="0" width="11.71"/>
    <col collapsed="false" customWidth="true" hidden="false" outlineLevel="0" max="22" min="20" style="0" width="12.71"/>
    <col collapsed="false" customWidth="true" hidden="false" outlineLevel="0" max="23" min="23" style="0" width="19.71"/>
    <col collapsed="false" customWidth="true" hidden="false" outlineLevel="0" max="24" min="24" style="0" width="11.71"/>
    <col collapsed="false" customWidth="true" hidden="false" outlineLevel="0" max="27" min="26" style="0" width="12.71"/>
    <col collapsed="false" customWidth="true" hidden="false" outlineLevel="0" max="28" min="28" style="0" width="3.71"/>
    <col collapsed="false" customWidth="true" hidden="false" outlineLevel="0" max="32" min="29" style="0" width="12.71"/>
    <col collapsed="false" customWidth="true" hidden="false" outlineLevel="0" max="33" min="33" style="0" width="20.42"/>
    <col collapsed="false" customWidth="true" hidden="false" outlineLevel="0" max="36" min="34" style="0" width="12.71"/>
    <col collapsed="false" customWidth="true" hidden="false" outlineLevel="0" max="38" min="38" style="0" width="3.71"/>
    <col collapsed="false" customWidth="true" hidden="false" outlineLevel="0" max="39" min="39" style="0" width="11.43"/>
    <col collapsed="false" customWidth="true" hidden="false" outlineLevel="0" max="40" min="40" style="0" width="13.29"/>
    <col collapsed="false" customWidth="true" hidden="false" outlineLevel="0" max="43" min="43" style="0" width="14.71"/>
    <col collapsed="false" customWidth="true" hidden="false" outlineLevel="0" max="44" min="44" style="0" width="20.71"/>
    <col collapsed="false" customWidth="true" hidden="false" outlineLevel="0" max="49" min="49" style="0" width="3.71"/>
    <col collapsed="false" customWidth="true" hidden="false" outlineLevel="0" max="54" min="54" style="0" width="20.42"/>
    <col collapsed="false" customWidth="true" hidden="false" outlineLevel="0" max="59" min="59" style="0" width="3.71"/>
    <col collapsed="false" customWidth="true" hidden="false" outlineLevel="0" max="64" min="64" style="0" width="20.42"/>
    <col collapsed="false" customWidth="true" hidden="false" outlineLevel="0" max="69" min="69" style="0" width="3.71"/>
    <col collapsed="false" customWidth="true" hidden="false" outlineLevel="0" max="73" min="73" style="0" width="30.29"/>
    <col collapsed="false" customWidth="true" hidden="false" outlineLevel="0" max="75" min="75" style="0" width="10.29"/>
  </cols>
  <sheetData>
    <row r="1" customFormat="false" ht="18" hidden="false" customHeight="true" outlineLevel="0" collapsed="false">
      <c r="A1" s="66" t="s">
        <v>36</v>
      </c>
      <c r="C1" s="66"/>
      <c r="D1" s="66"/>
      <c r="E1" s="66"/>
      <c r="F1" s="66"/>
      <c r="G1" s="66"/>
      <c r="H1" s="66"/>
      <c r="I1" s="66"/>
      <c r="J1" s="66"/>
      <c r="K1" s="66"/>
      <c r="L1" s="67"/>
      <c r="M1" s="126"/>
      <c r="N1" s="67"/>
      <c r="O1" s="68"/>
      <c r="P1" s="68"/>
      <c r="Q1" s="68"/>
      <c r="R1" s="127"/>
      <c r="S1" s="128" t="s">
        <v>173</v>
      </c>
      <c r="T1" s="128" t="s">
        <v>174</v>
      </c>
      <c r="U1" s="128" t="s">
        <v>173</v>
      </c>
      <c r="V1" s="128" t="s">
        <v>174</v>
      </c>
      <c r="W1" s="128"/>
      <c r="X1" s="128" t="s">
        <v>173</v>
      </c>
      <c r="Y1" s="128" t="s">
        <v>174</v>
      </c>
      <c r="Z1" s="128" t="s">
        <v>173</v>
      </c>
      <c r="AA1" s="128" t="s">
        <v>174</v>
      </c>
      <c r="AB1" s="127"/>
      <c r="AC1" s="128" t="s">
        <v>173</v>
      </c>
      <c r="AD1" s="128" t="s">
        <v>174</v>
      </c>
      <c r="AE1" s="128" t="s">
        <v>173</v>
      </c>
      <c r="AF1" s="128" t="s">
        <v>174</v>
      </c>
      <c r="AG1" s="128"/>
      <c r="AH1" s="128" t="s">
        <v>173</v>
      </c>
      <c r="AI1" s="128" t="s">
        <v>174</v>
      </c>
      <c r="AJ1" s="128" t="s">
        <v>173</v>
      </c>
      <c r="AK1" s="128" t="s">
        <v>174</v>
      </c>
      <c r="AL1" s="127"/>
      <c r="AM1" s="25"/>
      <c r="AN1" s="128" t="s">
        <v>173</v>
      </c>
      <c r="AO1" s="128" t="s">
        <v>174</v>
      </c>
      <c r="AP1" s="128" t="s">
        <v>173</v>
      </c>
      <c r="AQ1" s="128" t="s">
        <v>174</v>
      </c>
      <c r="AR1" s="128"/>
      <c r="AS1" s="128" t="s">
        <v>173</v>
      </c>
      <c r="AT1" s="128" t="s">
        <v>174</v>
      </c>
      <c r="AU1" s="128" t="s">
        <v>173</v>
      </c>
      <c r="AV1" s="128" t="s">
        <v>174</v>
      </c>
      <c r="AW1" s="127"/>
      <c r="AX1" s="128" t="s">
        <v>173</v>
      </c>
      <c r="AY1" s="128" t="s">
        <v>174</v>
      </c>
      <c r="AZ1" s="128" t="s">
        <v>173</v>
      </c>
      <c r="BA1" s="128" t="s">
        <v>174</v>
      </c>
      <c r="BB1" s="128"/>
      <c r="BC1" s="128" t="s">
        <v>173</v>
      </c>
      <c r="BD1" s="128" t="s">
        <v>174</v>
      </c>
      <c r="BE1" s="128" t="s">
        <v>173</v>
      </c>
      <c r="BF1" s="128" t="s">
        <v>174</v>
      </c>
      <c r="BG1" s="127"/>
      <c r="BH1" s="128" t="s">
        <v>173</v>
      </c>
      <c r="BI1" s="128" t="s">
        <v>174</v>
      </c>
      <c r="BJ1" s="128" t="s">
        <v>173</v>
      </c>
      <c r="BK1" s="128" t="s">
        <v>174</v>
      </c>
      <c r="BL1" s="128"/>
      <c r="BM1" s="128" t="s">
        <v>173</v>
      </c>
      <c r="BN1" s="128" t="s">
        <v>174</v>
      </c>
      <c r="BO1" s="128" t="s">
        <v>173</v>
      </c>
      <c r="BP1" s="128" t="s">
        <v>174</v>
      </c>
      <c r="BQ1" s="127"/>
    </row>
    <row r="2" customFormat="false" ht="18" hidden="false" customHeight="true" outlineLevel="0" collapsed="false">
      <c r="B2" s="25"/>
      <c r="C2" s="129"/>
      <c r="D2" s="130" t="s">
        <v>175</v>
      </c>
      <c r="E2" s="131"/>
      <c r="F2" s="132"/>
      <c r="G2" s="133" t="s">
        <v>176</v>
      </c>
      <c r="H2" s="134" t="s">
        <v>177</v>
      </c>
      <c r="I2" s="133" t="s">
        <v>178</v>
      </c>
      <c r="J2" s="135"/>
      <c r="K2" s="136" t="s">
        <v>179</v>
      </c>
      <c r="L2" s="136"/>
      <c r="M2" s="137"/>
      <c r="N2" s="136"/>
      <c r="Q2" s="136" t="s">
        <v>179</v>
      </c>
      <c r="R2" s="127"/>
      <c r="S2" s="25" t="s">
        <v>180</v>
      </c>
      <c r="T2" s="25" t="s">
        <v>180</v>
      </c>
      <c r="U2" s="128" t="s">
        <v>181</v>
      </c>
      <c r="V2" s="128" t="s">
        <v>181</v>
      </c>
      <c r="X2" s="25" t="s">
        <v>180</v>
      </c>
      <c r="Y2" s="25" t="s">
        <v>180</v>
      </c>
      <c r="Z2" s="25" t="s">
        <v>181</v>
      </c>
      <c r="AA2" s="25" t="s">
        <v>181</v>
      </c>
      <c r="AB2" s="127"/>
      <c r="AC2" s="25" t="s">
        <v>180</v>
      </c>
      <c r="AD2" s="25" t="s">
        <v>180</v>
      </c>
      <c r="AE2" s="138" t="s">
        <v>181</v>
      </c>
      <c r="AF2" s="138" t="s">
        <v>181</v>
      </c>
      <c r="AH2" s="25" t="s">
        <v>180</v>
      </c>
      <c r="AI2" s="25" t="s">
        <v>180</v>
      </c>
      <c r="AJ2" s="25" t="s">
        <v>181</v>
      </c>
      <c r="AK2" s="25" t="s">
        <v>180</v>
      </c>
      <c r="AL2" s="127"/>
      <c r="AM2" s="25"/>
      <c r="AN2" s="25" t="s">
        <v>180</v>
      </c>
      <c r="AO2" s="25" t="s">
        <v>180</v>
      </c>
      <c r="AP2" s="128" t="s">
        <v>181</v>
      </c>
      <c r="AQ2" s="128" t="s">
        <v>181</v>
      </c>
      <c r="AS2" s="25" t="s">
        <v>180</v>
      </c>
      <c r="AT2" s="25" t="s">
        <v>180</v>
      </c>
      <c r="AU2" s="25" t="s">
        <v>181</v>
      </c>
      <c r="AV2" s="25" t="s">
        <v>181</v>
      </c>
      <c r="AW2" s="127"/>
      <c r="AX2" s="25" t="s">
        <v>180</v>
      </c>
      <c r="AY2" s="25" t="s">
        <v>180</v>
      </c>
      <c r="AZ2" s="128" t="s">
        <v>181</v>
      </c>
      <c r="BA2" s="128" t="s">
        <v>181</v>
      </c>
      <c r="BC2" s="25" t="s">
        <v>180</v>
      </c>
      <c r="BD2" s="25" t="s">
        <v>180</v>
      </c>
      <c r="BE2" s="25" t="s">
        <v>181</v>
      </c>
      <c r="BF2" s="25" t="s">
        <v>181</v>
      </c>
      <c r="BG2" s="127"/>
      <c r="BH2" s="25" t="s">
        <v>180</v>
      </c>
      <c r="BI2" s="25" t="s">
        <v>180</v>
      </c>
      <c r="BJ2" s="128" t="s">
        <v>181</v>
      </c>
      <c r="BK2" s="128" t="s">
        <v>181</v>
      </c>
      <c r="BM2" s="25" t="s">
        <v>180</v>
      </c>
      <c r="BN2" s="25" t="s">
        <v>180</v>
      </c>
      <c r="BO2" s="25" t="s">
        <v>181</v>
      </c>
      <c r="BP2" s="25" t="s">
        <v>181</v>
      </c>
      <c r="BQ2" s="127"/>
    </row>
    <row r="3" customFormat="false" ht="18" hidden="false" customHeight="true" outlineLevel="0" collapsed="false">
      <c r="B3" s="68"/>
      <c r="C3" s="129"/>
      <c r="D3" s="133" t="s">
        <v>182</v>
      </c>
      <c r="E3" s="133" t="s">
        <v>183</v>
      </c>
      <c r="F3" s="133" t="s">
        <v>184</v>
      </c>
      <c r="G3" s="139"/>
      <c r="H3" s="140" t="s">
        <v>185</v>
      </c>
      <c r="I3" s="139"/>
      <c r="J3" s="135"/>
      <c r="K3" s="141" t="s">
        <v>186</v>
      </c>
      <c r="L3" s="136"/>
      <c r="M3" s="142" t="s">
        <v>187</v>
      </c>
      <c r="N3" s="136"/>
      <c r="Q3" s="141" t="s">
        <v>186</v>
      </c>
      <c r="R3" s="127"/>
      <c r="S3" s="133" t="s">
        <v>184</v>
      </c>
      <c r="T3" s="133" t="s">
        <v>184</v>
      </c>
      <c r="U3" s="133" t="s">
        <v>184</v>
      </c>
      <c r="V3" s="133" t="s">
        <v>184</v>
      </c>
      <c r="W3" s="133" t="s">
        <v>184</v>
      </c>
      <c r="X3" s="133" t="s">
        <v>184</v>
      </c>
      <c r="Y3" s="133" t="s">
        <v>184</v>
      </c>
      <c r="Z3" s="133" t="s">
        <v>184</v>
      </c>
      <c r="AA3" s="133" t="s">
        <v>184</v>
      </c>
      <c r="AB3" s="127"/>
      <c r="AC3" s="136"/>
      <c r="AD3" s="136"/>
      <c r="AE3" s="136"/>
      <c r="AF3" s="136"/>
      <c r="AG3" s="136"/>
      <c r="AH3" s="136"/>
      <c r="AI3" s="136"/>
      <c r="AJ3" s="136"/>
      <c r="AK3" s="136"/>
      <c r="AL3" s="127"/>
      <c r="AM3" s="25"/>
      <c r="AN3" s="133" t="s">
        <v>188</v>
      </c>
      <c r="AO3" s="133" t="s">
        <v>188</v>
      </c>
      <c r="AP3" s="133" t="s">
        <v>188</v>
      </c>
      <c r="AQ3" s="133" t="s">
        <v>188</v>
      </c>
      <c r="AR3" s="133" t="s">
        <v>188</v>
      </c>
      <c r="AS3" s="133" t="s">
        <v>188</v>
      </c>
      <c r="AT3" s="133" t="s">
        <v>188</v>
      </c>
      <c r="AU3" s="133" t="s">
        <v>188</v>
      </c>
      <c r="AV3" s="133" t="s">
        <v>188</v>
      </c>
      <c r="AW3" s="127"/>
      <c r="AX3" s="133" t="s">
        <v>189</v>
      </c>
      <c r="AY3" s="133" t="s">
        <v>189</v>
      </c>
      <c r="AZ3" s="133" t="s">
        <v>189</v>
      </c>
      <c r="BA3" s="133" t="s">
        <v>189</v>
      </c>
      <c r="BB3" s="133" t="s">
        <v>189</v>
      </c>
      <c r="BC3" s="133" t="s">
        <v>189</v>
      </c>
      <c r="BD3" s="133" t="s">
        <v>189</v>
      </c>
      <c r="BE3" s="133" t="s">
        <v>189</v>
      </c>
      <c r="BF3" s="133" t="s">
        <v>189</v>
      </c>
      <c r="BG3" s="127"/>
      <c r="BH3" s="133" t="s">
        <v>190</v>
      </c>
      <c r="BI3" s="133" t="s">
        <v>190</v>
      </c>
      <c r="BJ3" s="133" t="s">
        <v>190</v>
      </c>
      <c r="BK3" s="133" t="s">
        <v>190</v>
      </c>
      <c r="BL3" s="133" t="s">
        <v>190</v>
      </c>
      <c r="BM3" s="133" t="s">
        <v>190</v>
      </c>
      <c r="BN3" s="133" t="s">
        <v>190</v>
      </c>
      <c r="BO3" s="133" t="s">
        <v>190</v>
      </c>
      <c r="BP3" s="133" t="s">
        <v>190</v>
      </c>
      <c r="BQ3" s="127"/>
    </row>
    <row r="4" customFormat="false" ht="12.75" hidden="false" customHeight="true" outlineLevel="0" collapsed="false">
      <c r="B4" s="68"/>
      <c r="C4" s="129"/>
      <c r="D4" s="130"/>
      <c r="E4" s="143" t="s">
        <v>191</v>
      </c>
      <c r="F4" s="143" t="s">
        <v>191</v>
      </c>
      <c r="G4" s="131"/>
      <c r="H4" s="131"/>
      <c r="I4" s="131"/>
      <c r="J4" s="144"/>
      <c r="K4" s="145"/>
      <c r="L4" s="136"/>
      <c r="M4" s="146" t="s">
        <v>192</v>
      </c>
      <c r="N4" s="136"/>
      <c r="Q4" s="147" t="s">
        <v>193</v>
      </c>
      <c r="R4" s="127"/>
      <c r="S4" s="143" t="s">
        <v>191</v>
      </c>
      <c r="T4" s="143" t="s">
        <v>191</v>
      </c>
      <c r="U4" s="143" t="s">
        <v>191</v>
      </c>
      <c r="V4" s="143" t="s">
        <v>191</v>
      </c>
      <c r="W4" s="143" t="s">
        <v>191</v>
      </c>
      <c r="X4" s="143" t="s">
        <v>191</v>
      </c>
      <c r="Y4" s="143" t="s">
        <v>191</v>
      </c>
      <c r="Z4" s="143" t="s">
        <v>191</v>
      </c>
      <c r="AA4" s="143" t="s">
        <v>191</v>
      </c>
      <c r="AB4" s="127"/>
      <c r="AC4" s="148" t="s">
        <v>176</v>
      </c>
      <c r="AD4" s="148" t="s">
        <v>176</v>
      </c>
      <c r="AE4" s="148" t="s">
        <v>194</v>
      </c>
      <c r="AF4" s="148" t="s">
        <v>176</v>
      </c>
      <c r="AG4" s="148" t="s">
        <v>176</v>
      </c>
      <c r="AH4" s="148" t="s">
        <v>176</v>
      </c>
      <c r="AI4" s="148" t="s">
        <v>176</v>
      </c>
      <c r="AJ4" s="148" t="s">
        <v>176</v>
      </c>
      <c r="AK4" s="148" t="s">
        <v>176</v>
      </c>
      <c r="AL4" s="127"/>
      <c r="AM4" s="25"/>
      <c r="AN4" s="143" t="s">
        <v>191</v>
      </c>
      <c r="AO4" s="143" t="s">
        <v>191</v>
      </c>
      <c r="AP4" s="143" t="s">
        <v>191</v>
      </c>
      <c r="AQ4" s="143" t="s">
        <v>191</v>
      </c>
      <c r="AR4" s="143" t="s">
        <v>191</v>
      </c>
      <c r="AS4" s="143" t="s">
        <v>191</v>
      </c>
      <c r="AT4" s="143" t="s">
        <v>191</v>
      </c>
      <c r="AU4" s="143" t="s">
        <v>191</v>
      </c>
      <c r="AV4" s="143" t="s">
        <v>191</v>
      </c>
      <c r="AW4" s="127"/>
      <c r="AX4" s="143"/>
      <c r="AY4" s="143"/>
      <c r="AZ4" s="143"/>
      <c r="BA4" s="143"/>
      <c r="BB4" s="143"/>
      <c r="BC4" s="143"/>
      <c r="BD4" s="143"/>
      <c r="BE4" s="143"/>
      <c r="BF4" s="143"/>
      <c r="BG4" s="127"/>
      <c r="BH4" s="143"/>
      <c r="BI4" s="143"/>
      <c r="BJ4" s="143"/>
      <c r="BK4" s="143"/>
      <c r="BL4" s="143"/>
      <c r="BM4" s="143"/>
      <c r="BN4" s="143"/>
      <c r="BO4" s="143"/>
      <c r="BP4" s="143"/>
      <c r="BQ4" s="127"/>
      <c r="BU4" s="149"/>
      <c r="BV4" s="149" t="s">
        <v>195</v>
      </c>
      <c r="BW4" s="149" t="s">
        <v>180</v>
      </c>
      <c r="BX4" s="149" t="s">
        <v>180</v>
      </c>
      <c r="BY4" s="150" t="s">
        <v>181</v>
      </c>
      <c r="BZ4" s="150" t="s">
        <v>181</v>
      </c>
    </row>
    <row r="5" customFormat="false" ht="12.75" hidden="false" customHeight="false" outlineLevel="0" collapsed="false">
      <c r="B5" s="68"/>
      <c r="C5" s="129"/>
      <c r="D5" s="151" t="s">
        <v>196</v>
      </c>
      <c r="E5" s="131"/>
      <c r="F5" s="132"/>
      <c r="G5" s="132"/>
      <c r="H5" s="131"/>
      <c r="I5" s="131"/>
      <c r="J5" s="135"/>
      <c r="K5" s="147" t="s">
        <v>197</v>
      </c>
      <c r="L5" s="152"/>
      <c r="M5" s="153"/>
      <c r="N5" s="152"/>
      <c r="O5" s="154" t="s">
        <v>198</v>
      </c>
      <c r="P5" s="154" t="s">
        <v>199</v>
      </c>
      <c r="Q5" s="154" t="s">
        <v>200</v>
      </c>
      <c r="R5" s="127"/>
      <c r="S5" s="68"/>
      <c r="T5" s="152"/>
      <c r="U5" s="152"/>
      <c r="V5" s="152"/>
      <c r="W5" s="128" t="s">
        <v>201</v>
      </c>
      <c r="X5" s="128" t="s">
        <v>201</v>
      </c>
      <c r="Y5" s="128" t="s">
        <v>201</v>
      </c>
      <c r="Z5" s="128" t="s">
        <v>201</v>
      </c>
      <c r="AA5" s="128" t="s">
        <v>201</v>
      </c>
      <c r="AB5" s="127"/>
      <c r="AC5" s="152"/>
      <c r="AD5" s="152"/>
      <c r="AE5" s="152"/>
      <c r="AF5" s="152"/>
      <c r="AG5" s="128" t="s">
        <v>201</v>
      </c>
      <c r="AH5" s="128" t="s">
        <v>201</v>
      </c>
      <c r="AI5" s="128" t="s">
        <v>201</v>
      </c>
      <c r="AJ5" s="128" t="s">
        <v>201</v>
      </c>
      <c r="AK5" s="128" t="s">
        <v>201</v>
      </c>
      <c r="AL5" s="127"/>
      <c r="AM5" s="25"/>
      <c r="AN5" s="68"/>
      <c r="AO5" s="152"/>
      <c r="AP5" s="152"/>
      <c r="AQ5" s="152"/>
      <c r="AR5" s="128" t="s">
        <v>201</v>
      </c>
      <c r="AS5" s="128" t="s">
        <v>201</v>
      </c>
      <c r="AT5" s="128" t="s">
        <v>201</v>
      </c>
      <c r="AU5" s="128" t="s">
        <v>201</v>
      </c>
      <c r="AV5" s="128" t="s">
        <v>201</v>
      </c>
      <c r="AW5" s="127"/>
      <c r="AX5" s="68"/>
      <c r="AY5" s="152"/>
      <c r="AZ5" s="152"/>
      <c r="BA5" s="152"/>
      <c r="BB5" s="128" t="s">
        <v>201</v>
      </c>
      <c r="BC5" s="128" t="s">
        <v>201</v>
      </c>
      <c r="BD5" s="128" t="s">
        <v>201</v>
      </c>
      <c r="BE5" s="128" t="s">
        <v>201</v>
      </c>
      <c r="BF5" s="128" t="s">
        <v>201</v>
      </c>
      <c r="BG5" s="127"/>
      <c r="BH5" s="68"/>
      <c r="BI5" s="152"/>
      <c r="BJ5" s="152"/>
      <c r="BK5" s="152"/>
      <c r="BL5" s="128" t="s">
        <v>201</v>
      </c>
      <c r="BM5" s="128" t="s">
        <v>201</v>
      </c>
      <c r="BN5" s="128" t="s">
        <v>201</v>
      </c>
      <c r="BO5" s="128" t="s">
        <v>201</v>
      </c>
      <c r="BP5" s="128" t="s">
        <v>201</v>
      </c>
      <c r="BQ5" s="127"/>
      <c r="BT5" s="155"/>
      <c r="BU5" s="149"/>
      <c r="BV5" s="149" t="s">
        <v>202</v>
      </c>
      <c r="BW5" s="149" t="s">
        <v>202</v>
      </c>
      <c r="BX5" s="149" t="s">
        <v>203</v>
      </c>
      <c r="BY5" s="149" t="s">
        <v>202</v>
      </c>
      <c r="BZ5" s="149" t="s">
        <v>203</v>
      </c>
    </row>
    <row r="6" customFormat="false" ht="12.75" hidden="false" customHeight="true" outlineLevel="0" collapsed="false">
      <c r="A6" s="156" t="n">
        <v>32509</v>
      </c>
      <c r="B6" s="73" t="n">
        <v>1989</v>
      </c>
      <c r="C6" s="157" t="s">
        <v>59</v>
      </c>
      <c r="D6" s="158" t="n">
        <v>37.14</v>
      </c>
      <c r="E6" s="159" t="s">
        <v>104</v>
      </c>
      <c r="F6" s="159" t="n">
        <v>36.02</v>
      </c>
      <c r="G6" s="159" t="n">
        <v>34.17</v>
      </c>
      <c r="H6" s="159" t="n">
        <v>11.41</v>
      </c>
      <c r="I6" s="159" t="n">
        <v>11.15</v>
      </c>
      <c r="J6" s="159"/>
      <c r="K6" s="159"/>
      <c r="L6" s="159"/>
      <c r="M6" s="160"/>
      <c r="N6" s="74"/>
      <c r="O6" s="76"/>
      <c r="P6" s="161"/>
      <c r="Q6" s="161"/>
      <c r="R6" s="162"/>
      <c r="S6" s="163"/>
      <c r="T6" s="164"/>
      <c r="U6" s="165"/>
      <c r="V6" s="155"/>
      <c r="W6" s="155"/>
      <c r="X6" s="155"/>
      <c r="Y6" s="155"/>
      <c r="Z6" s="155"/>
      <c r="AA6" s="155"/>
      <c r="AB6" s="162"/>
      <c r="AC6" s="163"/>
      <c r="AD6" s="164"/>
      <c r="AE6" s="163"/>
      <c r="AF6" s="155"/>
      <c r="AG6" s="155"/>
      <c r="AH6" s="155"/>
      <c r="AI6" s="155"/>
      <c r="AL6" s="162"/>
      <c r="AM6" s="37"/>
      <c r="AW6" s="162"/>
      <c r="BG6" s="162"/>
      <c r="BQ6" s="162"/>
      <c r="BT6" s="155"/>
      <c r="BU6" s="166" t="s">
        <v>204</v>
      </c>
      <c r="BV6" s="167" t="n">
        <f aca="false">INDEX(chart_data!F:F,MATCH(MAX(chart_data!$A:$A),chart_data!$A:$A,0))</f>
        <v>161.857640837614</v>
      </c>
      <c r="BW6" s="168" t="n">
        <f aca="false">INDEX(chart_data!S:S,MATCH(MAX(chart_data!$A:$A),chart_data!$A:$A,0))</f>
        <v>14.8530302836665</v>
      </c>
      <c r="BX6" s="169" t="n">
        <f aca="false">INDEX(chart_data!T:T,MATCH(MAX(chart_data!$A:$A),chart_data!$A:$A,0))</f>
        <v>0.134462980925901</v>
      </c>
      <c r="BY6" s="168" t="n">
        <f aca="false">INDEX(chart_data!U:U,MATCH(MAX(chart_data!$A:$A),chart_data!$A:$A,0))</f>
        <v>37.815013738707</v>
      </c>
      <c r="BZ6" s="169" t="n">
        <f aca="false">INDEX(chart_data!V:V,MATCH(MAX(chart_data!$A:$A),chart_data!$A:$A,0))</f>
        <v>0.304854989152678</v>
      </c>
    </row>
    <row r="7" customFormat="false" ht="12.75" hidden="false" customHeight="true" outlineLevel="0" collapsed="false">
      <c r="A7" s="156" t="n">
        <v>32540</v>
      </c>
      <c r="B7" s="73" t="n">
        <v>1989</v>
      </c>
      <c r="C7" s="157" t="s">
        <v>60</v>
      </c>
      <c r="D7" s="74" t="n">
        <v>38.3</v>
      </c>
      <c r="E7" s="159" t="s">
        <v>104</v>
      </c>
      <c r="F7" s="159" t="n">
        <v>36.88</v>
      </c>
      <c r="G7" s="159" t="n">
        <v>35.03</v>
      </c>
      <c r="H7" s="159" t="n">
        <v>10.83</v>
      </c>
      <c r="I7" s="159" t="n">
        <v>10.49</v>
      </c>
      <c r="J7" s="159"/>
      <c r="K7" s="159"/>
      <c r="L7" s="159"/>
      <c r="M7" s="160"/>
      <c r="N7" s="74"/>
      <c r="O7" s="76"/>
      <c r="P7" s="170"/>
      <c r="Q7" s="170"/>
      <c r="R7" s="162"/>
      <c r="S7" s="163"/>
      <c r="T7" s="164"/>
      <c r="U7" s="165"/>
      <c r="V7" s="155"/>
      <c r="W7" s="155"/>
      <c r="X7" s="155"/>
      <c r="Y7" s="155"/>
      <c r="Z7" s="155"/>
      <c r="AA7" s="155"/>
      <c r="AB7" s="162"/>
      <c r="AC7" s="163"/>
      <c r="AD7" s="164"/>
      <c r="AE7" s="163"/>
      <c r="AF7" s="155"/>
      <c r="AG7" s="155"/>
      <c r="AH7" s="155"/>
      <c r="AI7" s="155"/>
      <c r="AL7" s="162"/>
      <c r="AM7" s="37"/>
      <c r="AW7" s="162"/>
      <c r="BG7" s="162"/>
      <c r="BQ7" s="162"/>
      <c r="BT7" s="155"/>
      <c r="BU7" s="166" t="s">
        <v>205</v>
      </c>
      <c r="BV7" s="167" t="n">
        <f aca="false">INDEX(chart_data!W:W,MATCH(MAX(chart_data!$A:$A),chart_data!$A:$A,0))</f>
        <v>76.9313673646783</v>
      </c>
      <c r="BW7" s="168" t="n">
        <f aca="false">INDEX(chart_data!X:X,MATCH(MAX(chart_data!$A:$A),chart_data!$A:$A,0))</f>
        <v>12.3775252363887</v>
      </c>
      <c r="BX7" s="169" t="n">
        <f aca="false">INDEX(chart_data!Y:Y,MATCH(MAX(chart_data!$A:$A),chart_data!$A:$A,0))</f>
        <v>0.191739559231665</v>
      </c>
      <c r="BY7" s="167" t="n">
        <f aca="false">INDEX(chart_data!Z:Z,MATCH(MAX(chart_data!$A:$A),chart_data!$A:$A,0))</f>
        <v>31.5125114489225</v>
      </c>
      <c r="BZ7" s="171" t="n">
        <f aca="false">INDEX(chart_data!AA:AA,MATCH(MAX(chart_data!$A:$A),chart_data!$A:$A,0))</f>
        <v>0.693820018438437</v>
      </c>
    </row>
    <row r="8" customFormat="false" ht="12.75" hidden="false" customHeight="true" outlineLevel="0" collapsed="false">
      <c r="A8" s="156" t="n">
        <v>32568</v>
      </c>
      <c r="B8" s="73" t="n">
        <v>1989</v>
      </c>
      <c r="C8" s="157" t="s">
        <v>61</v>
      </c>
      <c r="D8" s="74" t="n">
        <v>38.85</v>
      </c>
      <c r="E8" s="159" t="s">
        <v>104</v>
      </c>
      <c r="F8" s="159" t="n">
        <v>37.3</v>
      </c>
      <c r="G8" s="159" t="n">
        <v>35.09</v>
      </c>
      <c r="H8" s="159" t="n">
        <v>11.4</v>
      </c>
      <c r="I8" s="159" t="n">
        <v>10.9</v>
      </c>
      <c r="J8" s="159"/>
      <c r="K8" s="159"/>
      <c r="L8" s="159"/>
      <c r="M8" s="160"/>
      <c r="N8" s="74"/>
      <c r="O8" s="76"/>
      <c r="P8" s="74"/>
      <c r="Q8" s="74"/>
      <c r="R8" s="162"/>
      <c r="S8" s="163"/>
      <c r="T8" s="164"/>
      <c r="U8" s="165"/>
      <c r="V8" s="155"/>
      <c r="W8" s="155"/>
      <c r="X8" s="155"/>
      <c r="Y8" s="155"/>
      <c r="Z8" s="155"/>
      <c r="AA8" s="155"/>
      <c r="AB8" s="162"/>
      <c r="AC8" s="163"/>
      <c r="AD8" s="164"/>
      <c r="AE8" s="163"/>
      <c r="AF8" s="155"/>
      <c r="AG8" s="155"/>
      <c r="AH8" s="155"/>
      <c r="AI8" s="155"/>
      <c r="AL8" s="162"/>
      <c r="AM8" s="37"/>
      <c r="AW8" s="162"/>
      <c r="BG8" s="162"/>
      <c r="BQ8" s="162"/>
      <c r="BT8" s="155"/>
      <c r="BU8" s="166"/>
      <c r="BV8" s="162"/>
      <c r="BW8" s="162"/>
      <c r="BX8" s="162"/>
      <c r="BY8" s="162"/>
      <c r="BZ8" s="162"/>
    </row>
    <row r="9" customFormat="false" ht="12.75" hidden="false" customHeight="true" outlineLevel="0" collapsed="false">
      <c r="A9" s="156" t="n">
        <v>32599</v>
      </c>
      <c r="B9" s="73" t="n">
        <v>1989</v>
      </c>
      <c r="C9" s="157" t="s">
        <v>62</v>
      </c>
      <c r="D9" s="74" t="n">
        <v>41.14</v>
      </c>
      <c r="E9" s="159" t="s">
        <v>104</v>
      </c>
      <c r="F9" s="159" t="n">
        <v>39.09</v>
      </c>
      <c r="G9" s="159" t="n">
        <v>36.08</v>
      </c>
      <c r="H9" s="159" t="n">
        <v>11.45</v>
      </c>
      <c r="I9" s="159" t="n">
        <v>10.83</v>
      </c>
      <c r="J9" s="159"/>
      <c r="K9" s="159"/>
      <c r="L9" s="159"/>
      <c r="M9" s="160"/>
      <c r="N9" s="74"/>
      <c r="O9" s="76"/>
      <c r="P9" s="74"/>
      <c r="Q9" s="74"/>
      <c r="R9" s="162"/>
      <c r="S9" s="163"/>
      <c r="T9" s="164"/>
      <c r="U9" s="165"/>
      <c r="V9" s="155"/>
      <c r="W9" s="155"/>
      <c r="X9" s="155"/>
      <c r="Y9" s="155"/>
      <c r="Z9" s="155"/>
      <c r="AA9" s="155"/>
      <c r="AB9" s="162"/>
      <c r="AC9" s="163"/>
      <c r="AD9" s="164"/>
      <c r="AE9" s="163"/>
      <c r="AF9" s="155"/>
      <c r="AG9" s="155"/>
      <c r="AH9" s="155"/>
      <c r="AI9" s="155"/>
      <c r="AL9" s="162"/>
      <c r="AM9" s="37"/>
      <c r="AW9" s="162"/>
      <c r="BG9" s="162"/>
      <c r="BQ9" s="162"/>
      <c r="BT9" s="155"/>
      <c r="BU9" s="166" t="s">
        <v>206</v>
      </c>
      <c r="BV9" s="167" t="n">
        <f aca="false">INDEX(chart_data!G:G,MATCH(MAX(chart_data!$A:$A),chart_data!$A:$A,0))</f>
        <v>171.390692</v>
      </c>
      <c r="BW9" s="168" t="n">
        <f aca="false">INDEX(chart_data!AC:AC,MATCH(MAX(chart_data!$A:$A),chart_data!$A:$A,0))</f>
        <v>20.314196</v>
      </c>
      <c r="BX9" s="169" t="n">
        <f aca="false">INDEX(chart_data!AD:AD,MATCH(MAX(chart_data!$A:$A),chart_data!$A:$A,0))</f>
        <v>0.134462980925901</v>
      </c>
      <c r="BY9" s="168" t="n">
        <f aca="false">INDEX(chart_data!AE:AE,MATCH(MAX(chart_data!$A:$A),chart_data!$A:$A,0))</f>
        <v>43.282151</v>
      </c>
      <c r="BZ9" s="169" t="n">
        <f aca="false">INDEX(chart_data!AF:AF,MATCH(MAX(chart_data!$A:$A),chart_data!$A:$A,0))</f>
        <v>0.337855311302</v>
      </c>
    </row>
    <row r="10" customFormat="false" ht="12.75" hidden="false" customHeight="true" outlineLevel="0" collapsed="false">
      <c r="A10" s="156" t="n">
        <v>32629</v>
      </c>
      <c r="B10" s="73" t="n">
        <v>1989</v>
      </c>
      <c r="C10" s="157" t="s">
        <v>63</v>
      </c>
      <c r="D10" s="74" t="n">
        <v>42.83</v>
      </c>
      <c r="E10" s="159" t="s">
        <v>104</v>
      </c>
      <c r="F10" s="159" t="n">
        <v>40.81</v>
      </c>
      <c r="G10" s="159" t="n">
        <v>36.06</v>
      </c>
      <c r="H10" s="159" t="n">
        <v>11.41</v>
      </c>
      <c r="I10" s="159" t="n">
        <v>10.81</v>
      </c>
      <c r="J10" s="159"/>
      <c r="K10" s="159"/>
      <c r="L10" s="159"/>
      <c r="M10" s="160"/>
      <c r="N10" s="74"/>
      <c r="O10" s="76"/>
      <c r="P10" s="74"/>
      <c r="Q10" s="74"/>
      <c r="R10" s="162"/>
      <c r="S10" s="163"/>
      <c r="T10" s="164"/>
      <c r="U10" s="165"/>
      <c r="V10" s="155"/>
      <c r="W10" s="155"/>
      <c r="X10" s="155"/>
      <c r="Y10" s="155"/>
      <c r="Z10" s="155"/>
      <c r="AA10" s="155"/>
      <c r="AB10" s="162"/>
      <c r="AC10" s="163"/>
      <c r="AD10" s="164"/>
      <c r="AE10" s="163"/>
      <c r="AF10" s="155"/>
      <c r="AG10" s="155"/>
      <c r="AH10" s="155"/>
      <c r="AI10" s="155"/>
      <c r="AL10" s="162"/>
      <c r="AM10" s="37"/>
      <c r="AW10" s="162"/>
      <c r="BG10" s="162"/>
      <c r="BQ10" s="162"/>
      <c r="BT10" s="155"/>
      <c r="BU10" s="166" t="s">
        <v>205</v>
      </c>
      <c r="BV10" s="167" t="n">
        <f aca="false">INDEX(chart_data!AG:AG,MATCH(MAX(chart_data!$A:$A),chart_data!$A:$A,0))</f>
        <v>84.8755766666667</v>
      </c>
      <c r="BW10" s="168" t="n">
        <f aca="false">INDEX(chart_data!AH:AH,MATCH(MAX(chart_data!$A:$A),chart_data!$A:$A,0))</f>
        <v>16.9284966666667</v>
      </c>
      <c r="BX10" s="169" t="n">
        <f aca="false">INDEX(chart_data!AI:AI,MATCH(MAX(chart_data!$A:$A),chart_data!$A:$A,0))</f>
        <v>0.249142371779135</v>
      </c>
      <c r="BY10" s="167" t="n">
        <f aca="false">INDEX(chart_data!AJ:AJ,MATCH(MAX(chart_data!$A:$A),chart_data!$A:$A,0))</f>
        <v>36.0684591666667</v>
      </c>
      <c r="BZ10" s="171" t="n">
        <f aca="false">INDEX(chart_data!AK:AK,MATCH(MAX(chart_data!$A:$A),chart_data!$A:$A,0))</f>
        <v>0.738999986357865</v>
      </c>
    </row>
    <row r="11" customFormat="false" ht="12.75" hidden="false" customHeight="true" outlineLevel="0" collapsed="false">
      <c r="A11" s="156" t="n">
        <v>32660</v>
      </c>
      <c r="B11" s="73" t="n">
        <v>1989</v>
      </c>
      <c r="C11" s="157" t="s">
        <v>64</v>
      </c>
      <c r="D11" s="74" t="n">
        <v>42.7</v>
      </c>
      <c r="E11" s="159" t="s">
        <v>104</v>
      </c>
      <c r="F11" s="159" t="n">
        <v>40.74</v>
      </c>
      <c r="G11" s="159" t="n">
        <v>35.93</v>
      </c>
      <c r="H11" s="159" t="n">
        <v>11.48</v>
      </c>
      <c r="I11" s="159" t="n">
        <v>11.26</v>
      </c>
      <c r="J11" s="159"/>
      <c r="K11" s="159"/>
      <c r="L11" s="159"/>
      <c r="M11" s="160"/>
      <c r="N11" s="74"/>
      <c r="O11" s="76"/>
      <c r="P11" s="74"/>
      <c r="Q11" s="74"/>
      <c r="R11" s="162"/>
      <c r="S11" s="163"/>
      <c r="T11" s="164"/>
      <c r="U11" s="165"/>
      <c r="V11" s="155"/>
      <c r="W11" s="155"/>
      <c r="X11" s="155"/>
      <c r="Y11" s="155"/>
      <c r="Z11" s="155"/>
      <c r="AA11" s="155"/>
      <c r="AB11" s="162"/>
      <c r="AC11" s="163"/>
      <c r="AD11" s="164"/>
      <c r="AE11" s="163"/>
      <c r="AF11" s="155"/>
      <c r="AG11" s="155"/>
      <c r="AH11" s="155"/>
      <c r="AI11" s="155"/>
      <c r="AL11" s="162"/>
      <c r="AM11" s="37"/>
      <c r="AW11" s="162"/>
      <c r="BG11" s="162"/>
      <c r="BQ11" s="162"/>
      <c r="BU11" s="166"/>
      <c r="BV11" s="162"/>
      <c r="BW11" s="162"/>
      <c r="BX11" s="162"/>
      <c r="BY11" s="162"/>
      <c r="BZ11" s="162"/>
    </row>
    <row r="12" customFormat="false" ht="12.75" hidden="false" customHeight="true" outlineLevel="0" collapsed="false">
      <c r="A12" s="156" t="n">
        <v>32690</v>
      </c>
      <c r="B12" s="73" t="n">
        <v>1989</v>
      </c>
      <c r="C12" s="157" t="s">
        <v>65</v>
      </c>
      <c r="D12" s="74" t="n">
        <v>41.49</v>
      </c>
      <c r="E12" s="159" t="s">
        <v>104</v>
      </c>
      <c r="F12" s="159" t="n">
        <v>39.26</v>
      </c>
      <c r="G12" s="159" t="n">
        <v>35.87</v>
      </c>
      <c r="H12" s="159" t="n">
        <v>11</v>
      </c>
      <c r="I12" s="159" t="n">
        <v>10.91</v>
      </c>
      <c r="J12" s="159"/>
      <c r="K12" s="159"/>
      <c r="L12" s="159"/>
      <c r="M12" s="160"/>
      <c r="N12" s="74"/>
      <c r="O12" s="76"/>
      <c r="P12" s="74"/>
      <c r="Q12" s="74"/>
      <c r="R12" s="162"/>
      <c r="S12" s="163"/>
      <c r="T12" s="164"/>
      <c r="U12" s="165"/>
      <c r="V12" s="155"/>
      <c r="W12" s="155"/>
      <c r="X12" s="155"/>
      <c r="Y12" s="155"/>
      <c r="Z12" s="155"/>
      <c r="AA12" s="155"/>
      <c r="AB12" s="162"/>
      <c r="AC12" s="163"/>
      <c r="AD12" s="164"/>
      <c r="AE12" s="163"/>
      <c r="AF12" s="155"/>
      <c r="AG12" s="155"/>
      <c r="AH12" s="155"/>
      <c r="AI12" s="155"/>
      <c r="AL12" s="162"/>
      <c r="AM12" s="37"/>
      <c r="AW12" s="162"/>
      <c r="BG12" s="162"/>
      <c r="BQ12" s="162"/>
      <c r="BU12" s="166" t="s">
        <v>207</v>
      </c>
      <c r="BV12" s="167" t="n">
        <f aca="false">INDEX(chart_data!E:E,MATCH(MAX(chart_data!$AM:$AM),chart_data!$AM:$AM,0))</f>
        <v>173.887328</v>
      </c>
      <c r="BW12" s="167" t="n">
        <f aca="false">INDEX(chart_data!AN:AN,MATCH(MAX(chart_data!$AM:$AM),chart_data!$AM:$AM,0))</f>
        <v>14.830537</v>
      </c>
      <c r="BX12" s="169" t="n">
        <f aca="false">INDEX(chart_data!AO:AO,MATCH(MAX(chart_data!$AM:$AM),chart_data!$AM:$AM,0))</f>
        <v>0.0932405143267352</v>
      </c>
      <c r="BY12" s="168" t="n">
        <f aca="false">INDEX(chart_data!AP:AP,MATCH(MAX(chart_data!$AM:$AM),chart_data!$AM:$AM,0))</f>
        <v>36.791918</v>
      </c>
      <c r="BZ12" s="169" t="n">
        <f aca="false">INDEX(chart_data!AQ:AQ,MATCH(MAX(chart_data!$AM:$AM),chart_data!$AM:$AM,0))</f>
        <v>0.26836724876493</v>
      </c>
    </row>
    <row r="13" customFormat="false" ht="12.75" hidden="false" customHeight="true" outlineLevel="0" collapsed="false">
      <c r="A13" s="156" t="n">
        <v>32721</v>
      </c>
      <c r="B13" s="73" t="n">
        <v>1989</v>
      </c>
      <c r="C13" s="157" t="s">
        <v>66</v>
      </c>
      <c r="D13" s="74" t="n">
        <v>39.92</v>
      </c>
      <c r="E13" s="159" t="s">
        <v>104</v>
      </c>
      <c r="F13" s="159" t="n">
        <v>37.4</v>
      </c>
      <c r="G13" s="159" t="n">
        <v>35.7</v>
      </c>
      <c r="H13" s="159" t="n">
        <v>11.48</v>
      </c>
      <c r="I13" s="159" t="n">
        <v>11.19</v>
      </c>
      <c r="J13" s="159"/>
      <c r="K13" s="159"/>
      <c r="L13" s="159"/>
      <c r="M13" s="160"/>
      <c r="N13" s="74"/>
      <c r="O13" s="76"/>
      <c r="P13" s="74"/>
      <c r="Q13" s="74"/>
      <c r="R13" s="162"/>
      <c r="S13" s="163"/>
      <c r="T13" s="164"/>
      <c r="U13" s="165"/>
      <c r="V13" s="155"/>
      <c r="W13" s="155"/>
      <c r="X13" s="155"/>
      <c r="Y13" s="155"/>
      <c r="Z13" s="155"/>
      <c r="AA13" s="155"/>
      <c r="AB13" s="162"/>
      <c r="AC13" s="163"/>
      <c r="AD13" s="164"/>
      <c r="AE13" s="163"/>
      <c r="AF13" s="155"/>
      <c r="AG13" s="155"/>
      <c r="AH13" s="155"/>
      <c r="AI13" s="155"/>
      <c r="AL13" s="162"/>
      <c r="AM13" s="37"/>
      <c r="AW13" s="162"/>
      <c r="BG13" s="162"/>
      <c r="BQ13" s="162"/>
      <c r="BU13" s="166" t="s">
        <v>205</v>
      </c>
      <c r="BV13" s="167" t="n">
        <f aca="false">INDEX(chart_data!AR:AR,MATCH(MAX(chart_data!$AM:$AM),chart_data!$AM:$AM,0))</f>
        <v>86.9561066666667</v>
      </c>
      <c r="BW13" s="167" t="n">
        <f aca="false">INDEX(chart_data!AS:AS,MATCH(MAX(chart_data!$AM:$AM),chart_data!$AM:$AM,0))</f>
        <v>12.3587808333334</v>
      </c>
      <c r="BX13" s="167" t="n">
        <f aca="false">INDEX(chart_data!AT:AT,MATCH(MAX(chart_data!$AM:$AM),chart_data!$AM:$AM,0))</f>
        <v>0.165673242241224</v>
      </c>
      <c r="BY13" s="168" t="n">
        <f aca="false">INDEX(chart_data!AU:AU,MATCH(MAX(chart_data!$AM:$AM),chart_data!$AM:$AM,0))</f>
        <v>30.6599316666667</v>
      </c>
      <c r="BZ13" s="169" t="n">
        <f aca="false">INDEX(chart_data!AV:AV,MATCH(MAX(chart_data!$AM:$AM),chart_data!$AM:$AM,0))</f>
        <v>0.544618380674471</v>
      </c>
    </row>
    <row r="14" customFormat="false" ht="12.75" hidden="false" customHeight="true" outlineLevel="0" collapsed="false">
      <c r="A14" s="156" t="n">
        <v>32752</v>
      </c>
      <c r="B14" s="73" t="n">
        <v>1989</v>
      </c>
      <c r="C14" s="157" t="s">
        <v>67</v>
      </c>
      <c r="D14" s="74" t="n">
        <v>40.79</v>
      </c>
      <c r="E14" s="159" t="s">
        <v>104</v>
      </c>
      <c r="F14" s="159" t="n">
        <v>38.19</v>
      </c>
      <c r="G14" s="159" t="n">
        <v>36</v>
      </c>
      <c r="H14" s="159" t="n">
        <v>12.33</v>
      </c>
      <c r="I14" s="159" t="n">
        <v>11.89</v>
      </c>
      <c r="J14" s="159"/>
      <c r="K14" s="159"/>
      <c r="L14" s="159"/>
      <c r="M14" s="160"/>
      <c r="N14" s="74"/>
      <c r="O14" s="76"/>
      <c r="P14" s="74"/>
      <c r="Q14" s="74"/>
      <c r="R14" s="162"/>
      <c r="S14" s="163"/>
      <c r="T14" s="164"/>
      <c r="U14" s="165"/>
      <c r="V14" s="155"/>
      <c r="W14" s="155"/>
      <c r="X14" s="155"/>
      <c r="Y14" s="155"/>
      <c r="Z14" s="155"/>
      <c r="AA14" s="155"/>
      <c r="AB14" s="162"/>
      <c r="AC14" s="163"/>
      <c r="AD14" s="164"/>
      <c r="AE14" s="163"/>
      <c r="AF14" s="155"/>
      <c r="AG14" s="155"/>
      <c r="AH14" s="155"/>
      <c r="AI14" s="155"/>
      <c r="AL14" s="162"/>
      <c r="AM14" s="37"/>
      <c r="AW14" s="162"/>
      <c r="BG14" s="162"/>
      <c r="BQ14" s="162"/>
      <c r="BU14" s="166"/>
      <c r="BV14" s="162"/>
      <c r="BW14" s="162"/>
      <c r="BX14" s="162"/>
      <c r="BY14" s="162"/>
      <c r="BZ14" s="162"/>
    </row>
    <row r="15" customFormat="false" ht="12.75" hidden="false" customHeight="true" outlineLevel="0" collapsed="false">
      <c r="A15" s="156" t="n">
        <v>32782</v>
      </c>
      <c r="B15" s="73" t="n">
        <v>1989</v>
      </c>
      <c r="C15" s="157" t="s">
        <v>68</v>
      </c>
      <c r="D15" s="74" t="n">
        <v>40.89</v>
      </c>
      <c r="E15" s="159" t="s">
        <v>104</v>
      </c>
      <c r="F15" s="159" t="n">
        <v>38.3</v>
      </c>
      <c r="G15" s="159" t="n">
        <v>37.33</v>
      </c>
      <c r="H15" s="159" t="n">
        <v>13.13</v>
      </c>
      <c r="I15" s="159" t="n">
        <v>12.5</v>
      </c>
      <c r="J15" s="159"/>
      <c r="K15" s="159"/>
      <c r="L15" s="159"/>
      <c r="M15" s="160"/>
      <c r="N15" s="74"/>
      <c r="O15" s="76"/>
      <c r="P15" s="74"/>
      <c r="Q15" s="74"/>
      <c r="R15" s="162"/>
      <c r="S15" s="163"/>
      <c r="T15" s="164"/>
      <c r="U15" s="165"/>
      <c r="V15" s="155"/>
      <c r="W15" s="155"/>
      <c r="X15" s="155"/>
      <c r="Y15" s="155"/>
      <c r="Z15" s="155"/>
      <c r="AA15" s="155"/>
      <c r="AB15" s="162"/>
      <c r="AC15" s="163"/>
      <c r="AD15" s="164"/>
      <c r="AE15" s="163"/>
      <c r="AF15" s="155"/>
      <c r="AG15" s="155"/>
      <c r="AH15" s="155"/>
      <c r="AI15" s="155"/>
      <c r="AL15" s="162"/>
      <c r="AM15" s="37"/>
      <c r="AW15" s="162"/>
      <c r="BG15" s="162"/>
      <c r="BQ15" s="162"/>
      <c r="BU15" s="166" t="s">
        <v>208</v>
      </c>
      <c r="BV15" s="167" t="n">
        <f aca="false">INDEX(chart_data!H:H,MATCH(MAX(chart_data!$AM:$AM),chart_data!$AM:$AM,0))</f>
        <v>84.861</v>
      </c>
      <c r="BW15" s="168" t="n">
        <f aca="false">INDEX(chart_data!AX:AX,MATCH(MAX(chart_data!$AM:$AM),chart_data!$AM:$AM,0))</f>
        <v>25.746</v>
      </c>
      <c r="BX15" s="169" t="n">
        <f aca="false">INDEX(chart_data!AY:AY,MATCH(MAX(chart_data!$AM:$AM),chart_data!$AM:$AM,0))</f>
        <v>0.435523978685613</v>
      </c>
      <c r="BY15" s="168" t="n">
        <f aca="false">INDEX(chart_data!AZ:AZ,MATCH(MAX(chart_data!$AM:$AM),chart_data!$AM:$AM,0))</f>
        <v>45.855</v>
      </c>
      <c r="BZ15" s="169" t="n">
        <f aca="false">INDEX(chart_data!BA:BA,MATCH(MAX(chart_data!$AM:$AM),chart_data!$AM:$AM,0))</f>
        <v>1.17558837101984</v>
      </c>
    </row>
    <row r="16" customFormat="false" ht="12.75" hidden="false" customHeight="true" outlineLevel="0" collapsed="false">
      <c r="A16" s="156" t="n">
        <v>32813</v>
      </c>
      <c r="B16" s="73" t="n">
        <v>1989</v>
      </c>
      <c r="C16" s="157" t="s">
        <v>69</v>
      </c>
      <c r="D16" s="74" t="n">
        <v>40.68</v>
      </c>
      <c r="E16" s="159" t="s">
        <v>104</v>
      </c>
      <c r="F16" s="159" t="n">
        <v>38.08</v>
      </c>
      <c r="G16" s="159" t="n">
        <v>37.76</v>
      </c>
      <c r="H16" s="159" t="n">
        <v>13.79</v>
      </c>
      <c r="I16" s="159" t="n">
        <v>13.28</v>
      </c>
      <c r="J16" s="159"/>
      <c r="K16" s="159"/>
      <c r="L16" s="159"/>
      <c r="M16" s="160"/>
      <c r="N16" s="74"/>
      <c r="O16" s="76"/>
      <c r="P16" s="74"/>
      <c r="Q16" s="74"/>
      <c r="R16" s="162"/>
      <c r="S16" s="163"/>
      <c r="T16" s="164"/>
      <c r="U16" s="165"/>
      <c r="V16" s="155"/>
      <c r="W16" s="155"/>
      <c r="X16" s="155"/>
      <c r="Y16" s="155"/>
      <c r="Z16" s="155"/>
      <c r="AA16" s="155"/>
      <c r="AB16" s="162"/>
      <c r="AC16" s="163"/>
      <c r="AD16" s="164"/>
      <c r="AE16" s="163"/>
      <c r="AF16" s="155"/>
      <c r="AG16" s="155"/>
      <c r="AH16" s="155"/>
      <c r="AI16" s="155"/>
      <c r="AL16" s="162"/>
      <c r="AM16" s="37"/>
      <c r="AW16" s="162"/>
      <c r="BG16" s="162"/>
      <c r="BQ16" s="162"/>
      <c r="BU16" s="166" t="s">
        <v>205</v>
      </c>
      <c r="BV16" s="167" t="n">
        <f aca="false">INDEX(chart_data!BB:BB,MATCH(MAX(chart_data!$AM:$AM),chart_data!$AM:$AM,0))</f>
        <v>80.82</v>
      </c>
      <c r="BW16" s="167" t="n">
        <f aca="false">INDEX(chart_data!BC:BC,MATCH(MAX(chart_data!$AM:$AM),chart_data!$AM:$AM,0))</f>
        <v>24.52</v>
      </c>
      <c r="BX16" s="167" t="n">
        <f aca="false">INDEX(chart_data!BD:BD,MATCH(MAX(chart_data!$AM:$AM),chart_data!$AM:$AM,0))</f>
        <v>0.435523978685613</v>
      </c>
      <c r="BY16" s="168" t="n">
        <f aca="false">INDEX(chart_data!BE:BE,MATCH(MAX(chart_data!$AM:$AM),chart_data!$AM:$AM,0))</f>
        <v>43.6714285714286</v>
      </c>
      <c r="BZ16" s="169" t="n">
        <f aca="false">INDEX(chart_data!BF:BF,MATCH(MAX(chart_data!$AM:$AM),chart_data!$AM:$AM,0))</f>
        <v>1.17558837101984</v>
      </c>
    </row>
    <row r="17" customFormat="false" ht="12.75" hidden="false" customHeight="true" outlineLevel="0" collapsed="false">
      <c r="A17" s="156" t="n">
        <v>32843</v>
      </c>
      <c r="B17" s="73" t="n">
        <v>1989</v>
      </c>
      <c r="C17" s="157" t="s">
        <v>70</v>
      </c>
      <c r="D17" s="74" t="n">
        <v>39.97</v>
      </c>
      <c r="E17" s="159" t="s">
        <v>104</v>
      </c>
      <c r="F17" s="159" t="n">
        <v>37.38</v>
      </c>
      <c r="G17" s="159" t="n">
        <v>39.16</v>
      </c>
      <c r="H17" s="159" t="n">
        <v>14.71</v>
      </c>
      <c r="I17" s="159" t="n">
        <v>14.44</v>
      </c>
      <c r="J17" s="159"/>
      <c r="K17" s="159"/>
      <c r="L17" s="159"/>
      <c r="M17" s="160"/>
      <c r="N17" s="74"/>
      <c r="O17" s="76"/>
      <c r="P17" s="74"/>
      <c r="Q17" s="74"/>
      <c r="R17" s="162"/>
      <c r="S17" s="163"/>
      <c r="T17" s="164"/>
      <c r="U17" s="165"/>
      <c r="V17" s="155"/>
      <c r="W17" s="155"/>
      <c r="X17" s="155"/>
      <c r="Y17" s="155"/>
      <c r="Z17" s="155"/>
      <c r="AA17" s="155"/>
      <c r="AB17" s="162"/>
      <c r="AC17" s="163"/>
      <c r="AD17" s="164"/>
      <c r="AE17" s="163"/>
      <c r="AF17" s="155"/>
      <c r="AG17" s="155"/>
      <c r="AH17" s="155"/>
      <c r="AI17" s="155"/>
      <c r="AL17" s="162"/>
      <c r="AM17" s="37"/>
      <c r="AW17" s="162"/>
      <c r="BG17" s="162"/>
      <c r="BQ17" s="162"/>
      <c r="BU17" s="166"/>
      <c r="BV17" s="162"/>
      <c r="BW17" s="162"/>
      <c r="BX17" s="162"/>
      <c r="BY17" s="162"/>
      <c r="BZ17" s="162"/>
    </row>
    <row r="18" customFormat="false" ht="12.75" hidden="false" customHeight="true" outlineLevel="0" collapsed="false">
      <c r="A18" s="156" t="n">
        <v>32874</v>
      </c>
      <c r="B18" s="73" t="n">
        <v>1990</v>
      </c>
      <c r="C18" s="157" t="s">
        <v>59</v>
      </c>
      <c r="D18" s="74" t="n">
        <v>40.92</v>
      </c>
      <c r="E18" s="159" t="s">
        <v>104</v>
      </c>
      <c r="F18" s="159" t="n">
        <v>38.37</v>
      </c>
      <c r="G18" s="159" t="n">
        <v>39.21</v>
      </c>
      <c r="H18" s="159" t="n">
        <v>15.45</v>
      </c>
      <c r="I18" s="159" t="n">
        <v>15.46</v>
      </c>
      <c r="J18" s="159"/>
      <c r="K18" s="159"/>
      <c r="L18" s="159"/>
      <c r="M18" s="160"/>
      <c r="N18" s="74"/>
      <c r="O18" s="76"/>
      <c r="P18" s="74"/>
      <c r="Q18" s="74"/>
      <c r="R18" s="162"/>
      <c r="S18" s="163"/>
      <c r="T18" s="164"/>
      <c r="U18" s="165"/>
      <c r="V18" s="155"/>
      <c r="W18" s="163"/>
      <c r="X18" s="163"/>
      <c r="Y18" s="172"/>
      <c r="Z18" s="155"/>
      <c r="AA18" s="155"/>
      <c r="AB18" s="162"/>
      <c r="AC18" s="163"/>
      <c r="AD18" s="164"/>
      <c r="AE18" s="163"/>
      <c r="AF18" s="155"/>
      <c r="AG18" s="163"/>
      <c r="AH18" s="155"/>
      <c r="AI18" s="155"/>
      <c r="AL18" s="162"/>
      <c r="AM18" s="37"/>
      <c r="AW18" s="162"/>
      <c r="BG18" s="162"/>
      <c r="BQ18" s="162"/>
      <c r="BU18" s="166" t="s">
        <v>209</v>
      </c>
      <c r="BV18" s="167" t="n">
        <f aca="false">INDEX(chart_data!I:I,MATCH(MAX(chart_data!$AM:$AM),chart_data!$AM:$AM,0))</f>
        <v>121.690985</v>
      </c>
      <c r="BW18" s="168" t="n">
        <f aca="false">INDEX(chart_data!BH:BH,MATCH(MAX(chart_data!$AM:$AM),chart_data!$AM:$AM,0))</f>
        <v>44.386963</v>
      </c>
      <c r="BX18" s="169" t="n">
        <f aca="false">INDEX(chart_data!BI:BI,MATCH(MAX(chart_data!$AM:$AM),chart_data!$AM:$AM,0))</f>
        <v>0.574186980853338</v>
      </c>
      <c r="BY18" s="168" t="n">
        <f aca="false">INDEX(chart_data!BJ:BJ,MATCH(MAX(chart_data!$AM:$AM),chart_data!$AM:$AM,0))</f>
        <v>65.95178</v>
      </c>
      <c r="BZ18" s="169" t="n">
        <f aca="false">INDEX(chart_data!BK:BK,MATCH(MAX(chart_data!$AM:$AM),chart_data!$AM:$AM,0))</f>
        <v>1.18322067923287</v>
      </c>
    </row>
    <row r="19" customFormat="false" ht="12.75" hidden="false" customHeight="true" outlineLevel="0" collapsed="false">
      <c r="A19" s="156" t="n">
        <v>32905</v>
      </c>
      <c r="B19" s="73" t="n">
        <v>1990</v>
      </c>
      <c r="C19" s="157" t="s">
        <v>60</v>
      </c>
      <c r="D19" s="74" t="n">
        <v>40.85</v>
      </c>
      <c r="E19" s="159" t="s">
        <v>104</v>
      </c>
      <c r="F19" s="159" t="n">
        <v>38.26</v>
      </c>
      <c r="G19" s="159" t="n">
        <v>37.62</v>
      </c>
      <c r="H19" s="159" t="n">
        <v>13.64</v>
      </c>
      <c r="I19" s="159" t="n">
        <v>12.96</v>
      </c>
      <c r="J19" s="159"/>
      <c r="K19" s="159"/>
      <c r="L19" s="159"/>
      <c r="M19" s="160"/>
      <c r="N19" s="74"/>
      <c r="O19" s="76"/>
      <c r="P19" s="74"/>
      <c r="Q19" s="74"/>
      <c r="R19" s="162"/>
      <c r="S19" s="163"/>
      <c r="T19" s="164"/>
      <c r="U19" s="165"/>
      <c r="V19" s="155"/>
      <c r="W19" s="163"/>
      <c r="X19" s="163"/>
      <c r="Y19" s="172"/>
      <c r="Z19" s="155"/>
      <c r="AA19" s="155"/>
      <c r="AB19" s="162"/>
      <c r="AC19" s="163"/>
      <c r="AD19" s="164"/>
      <c r="AE19" s="163"/>
      <c r="AF19" s="155"/>
      <c r="AG19" s="163"/>
      <c r="AH19" s="155"/>
      <c r="AI19" s="155"/>
      <c r="AL19" s="162"/>
      <c r="AM19" s="37"/>
      <c r="AW19" s="162"/>
      <c r="BG19" s="162"/>
      <c r="BQ19" s="162"/>
      <c r="BU19" s="166" t="s">
        <v>205</v>
      </c>
      <c r="BV19" s="167" t="n">
        <f aca="false">INDEX(chart_data!BL:BL,MATCH(MAX(chart_data!$AM:$AM),chart_data!$AM:$AM,0))</f>
        <v>104.756176190476</v>
      </c>
      <c r="BW19" s="167" t="n">
        <f aca="false">INDEX(chart_data!BM:BM,MATCH(MAX(chart_data!$AM:$AM),chart_data!$AM:$AM,0))</f>
        <v>42.2732980952381</v>
      </c>
      <c r="BX19" s="167" t="n">
        <f aca="false">INDEX(chart_data!BN:BN,MATCH(MAX(chart_data!$AM:$AM),chart_data!$AM:$AM,0))</f>
        <v>0.676558112941021</v>
      </c>
      <c r="BY19" s="168" t="n">
        <f aca="false">INDEX(chart_data!BO:BO,MATCH(MAX(chart_data!$AM:$AM),chart_data!$AM:$AM,0))</f>
        <v>62.811219047619</v>
      </c>
      <c r="BZ19" s="169" t="n">
        <f aca="false">INDEX(chart_data!BP:BP,MATCH(MAX(chart_data!$AM:$AM),chart_data!$AM:$AM,0))</f>
        <v>1.49746771307204</v>
      </c>
    </row>
    <row r="20" customFormat="false" ht="12.75" hidden="false" customHeight="true" outlineLevel="0" collapsed="false">
      <c r="A20" s="156" t="n">
        <v>32933</v>
      </c>
      <c r="B20" s="73" t="n">
        <v>1990</v>
      </c>
      <c r="C20" s="157" t="s">
        <v>61</v>
      </c>
      <c r="D20" s="74" t="n">
        <v>40.9</v>
      </c>
      <c r="E20" s="159" t="s">
        <v>104</v>
      </c>
      <c r="F20" s="159" t="n">
        <v>38.28</v>
      </c>
      <c r="G20" s="159" t="n">
        <v>37.37</v>
      </c>
      <c r="H20" s="159" t="n">
        <v>13.04</v>
      </c>
      <c r="I20" s="159" t="n">
        <v>12.56</v>
      </c>
      <c r="J20" s="159"/>
      <c r="K20" s="159"/>
      <c r="L20" s="159"/>
      <c r="M20" s="160"/>
      <c r="N20" s="74"/>
      <c r="O20" s="76"/>
      <c r="P20" s="74"/>
      <c r="Q20" s="74"/>
      <c r="R20" s="162"/>
      <c r="S20" s="163"/>
      <c r="T20" s="164"/>
      <c r="U20" s="165"/>
      <c r="V20" s="155"/>
      <c r="W20" s="163"/>
      <c r="X20" s="163"/>
      <c r="Y20" s="172"/>
      <c r="Z20" s="155"/>
      <c r="AA20" s="155"/>
      <c r="AB20" s="162"/>
      <c r="AC20" s="163"/>
      <c r="AD20" s="164"/>
      <c r="AE20" s="163"/>
      <c r="AF20" s="155"/>
      <c r="AG20" s="163"/>
      <c r="AH20" s="155"/>
      <c r="AI20" s="155"/>
      <c r="AL20" s="162"/>
      <c r="AM20" s="37"/>
      <c r="AW20" s="162"/>
      <c r="BG20" s="162"/>
      <c r="BQ20" s="162"/>
      <c r="BU20" s="166"/>
      <c r="BV20" s="162"/>
      <c r="BW20" s="162"/>
      <c r="BX20" s="162"/>
      <c r="BY20" s="162"/>
      <c r="BZ20" s="162"/>
    </row>
    <row r="21" customFormat="false" ht="12.75" hidden="false" customHeight="true" outlineLevel="0" collapsed="false">
      <c r="A21" s="156" t="n">
        <v>32964</v>
      </c>
      <c r="B21" s="73" t="n">
        <v>1990</v>
      </c>
      <c r="C21" s="157" t="s">
        <v>62</v>
      </c>
      <c r="D21" s="74" t="n">
        <v>44.27</v>
      </c>
      <c r="E21" s="159" t="s">
        <v>104</v>
      </c>
      <c r="F21" s="159" t="n">
        <v>41.37</v>
      </c>
      <c r="G21" s="159" t="n">
        <v>39.19</v>
      </c>
      <c r="H21" s="159" t="n">
        <v>12.47</v>
      </c>
      <c r="I21" s="159" t="n">
        <v>12.37</v>
      </c>
      <c r="J21" s="159"/>
      <c r="K21" s="159"/>
      <c r="L21" s="159"/>
      <c r="M21" s="160"/>
      <c r="N21" s="74"/>
      <c r="O21" s="76"/>
      <c r="P21" s="74"/>
      <c r="Q21" s="74"/>
      <c r="R21" s="162"/>
      <c r="S21" s="163"/>
      <c r="T21" s="164"/>
      <c r="U21" s="165"/>
      <c r="V21" s="155"/>
      <c r="W21" s="163"/>
      <c r="X21" s="163"/>
      <c r="Y21" s="172"/>
      <c r="Z21" s="155"/>
      <c r="AA21" s="155"/>
      <c r="AB21" s="162"/>
      <c r="AC21" s="163"/>
      <c r="AD21" s="164"/>
      <c r="AE21" s="163"/>
      <c r="AF21" s="155"/>
      <c r="AG21" s="163"/>
      <c r="AH21" s="155"/>
      <c r="AI21" s="155"/>
      <c r="AJ21" s="155"/>
      <c r="AK21" s="173"/>
      <c r="AL21" s="162"/>
      <c r="AM21" s="37"/>
      <c r="AN21" s="173"/>
      <c r="AW21" s="162"/>
      <c r="BG21" s="162"/>
      <c r="BQ21" s="162"/>
      <c r="BU21" s="174"/>
      <c r="BV21" s="175"/>
      <c r="BW21" s="175"/>
      <c r="BX21" s="175"/>
      <c r="BY21" s="175"/>
      <c r="BZ21" s="175"/>
    </row>
    <row r="22" customFormat="false" ht="12.75" hidden="false" customHeight="true" outlineLevel="0" collapsed="false">
      <c r="A22" s="156" t="n">
        <v>32994</v>
      </c>
      <c r="B22" s="73" t="n">
        <v>1990</v>
      </c>
      <c r="C22" s="157" t="s">
        <v>63</v>
      </c>
      <c r="D22" s="74" t="n">
        <v>43.84</v>
      </c>
      <c r="E22" s="159" t="s">
        <v>104</v>
      </c>
      <c r="F22" s="159" t="n">
        <v>40.98</v>
      </c>
      <c r="G22" s="159" t="n">
        <v>39.68</v>
      </c>
      <c r="H22" s="159" t="n">
        <v>12.19</v>
      </c>
      <c r="I22" s="159" t="n">
        <v>11.92</v>
      </c>
      <c r="J22" s="159"/>
      <c r="K22" s="159"/>
      <c r="L22" s="159"/>
      <c r="M22" s="160"/>
      <c r="N22" s="74"/>
      <c r="O22" s="76"/>
      <c r="P22" s="74"/>
      <c r="Q22" s="74"/>
      <c r="R22" s="162"/>
      <c r="S22" s="163"/>
      <c r="T22" s="164"/>
      <c r="U22" s="165"/>
      <c r="V22" s="155"/>
      <c r="W22" s="163"/>
      <c r="X22" s="163"/>
      <c r="Y22" s="172"/>
      <c r="Z22" s="155"/>
      <c r="AA22" s="155"/>
      <c r="AB22" s="162"/>
      <c r="AC22" s="163"/>
      <c r="AD22" s="164"/>
      <c r="AE22" s="163"/>
      <c r="AF22" s="155"/>
      <c r="AG22" s="163"/>
      <c r="AH22" s="155"/>
      <c r="AI22" s="155"/>
      <c r="AJ22" s="155"/>
      <c r="AK22" s="173"/>
      <c r="AL22" s="162"/>
      <c r="AM22" s="37"/>
      <c r="AN22" s="173"/>
      <c r="AW22" s="162"/>
      <c r="BG22" s="162"/>
      <c r="BQ22" s="162"/>
    </row>
    <row r="23" customFormat="false" ht="12.75" hidden="false" customHeight="true" outlineLevel="0" collapsed="false">
      <c r="A23" s="156" t="n">
        <v>33025</v>
      </c>
      <c r="B23" s="73" t="n">
        <v>1990</v>
      </c>
      <c r="C23" s="157" t="s">
        <v>64</v>
      </c>
      <c r="D23" s="74" t="n">
        <v>43.73</v>
      </c>
      <c r="E23" s="159" t="s">
        <v>104</v>
      </c>
      <c r="F23" s="159" t="n">
        <v>40.83</v>
      </c>
      <c r="G23" s="159" t="n">
        <v>38.13</v>
      </c>
      <c r="H23" s="159" t="n">
        <v>11.84</v>
      </c>
      <c r="I23" s="159" t="n">
        <v>11.51</v>
      </c>
      <c r="J23" s="159"/>
      <c r="K23" s="159"/>
      <c r="L23" s="159"/>
      <c r="M23" s="160"/>
      <c r="N23" s="74"/>
      <c r="O23" s="76"/>
      <c r="P23" s="74"/>
      <c r="Q23" s="74"/>
      <c r="R23" s="162"/>
      <c r="S23" s="163"/>
      <c r="T23" s="164"/>
      <c r="U23" s="165"/>
      <c r="V23" s="155"/>
      <c r="W23" s="163"/>
      <c r="X23" s="163"/>
      <c r="Y23" s="172"/>
      <c r="Z23" s="155"/>
      <c r="AA23" s="155"/>
      <c r="AB23" s="162"/>
      <c r="AC23" s="163"/>
      <c r="AD23" s="164"/>
      <c r="AE23" s="163"/>
      <c r="AF23" s="155"/>
      <c r="AG23" s="163"/>
      <c r="AH23" s="155"/>
      <c r="AI23" s="155"/>
      <c r="AJ23" s="155"/>
      <c r="AK23" s="173"/>
      <c r="AL23" s="162"/>
      <c r="AM23" s="37"/>
      <c r="AN23" s="173"/>
      <c r="AW23" s="162"/>
      <c r="BG23" s="162"/>
      <c r="BQ23" s="162"/>
    </row>
    <row r="24" customFormat="false" ht="12.75" hidden="false" customHeight="true" outlineLevel="0" collapsed="false">
      <c r="A24" s="156" t="n">
        <v>33055</v>
      </c>
      <c r="B24" s="73" t="n">
        <v>1990</v>
      </c>
      <c r="C24" s="157" t="s">
        <v>65</v>
      </c>
      <c r="D24" s="74" t="n">
        <v>43.26</v>
      </c>
      <c r="E24" s="159" t="s">
        <v>104</v>
      </c>
      <c r="F24" s="159" t="n">
        <v>40.33</v>
      </c>
      <c r="G24" s="159" t="n">
        <v>37.58</v>
      </c>
      <c r="H24" s="159" t="n">
        <v>12.17</v>
      </c>
      <c r="I24" s="159" t="n">
        <v>11.9</v>
      </c>
      <c r="J24" s="159"/>
      <c r="K24" s="159"/>
      <c r="L24" s="159"/>
      <c r="M24" s="160"/>
      <c r="N24" s="74"/>
      <c r="O24" s="76"/>
      <c r="P24" s="74"/>
      <c r="Q24" s="74"/>
      <c r="R24" s="162"/>
      <c r="S24" s="163"/>
      <c r="T24" s="164"/>
      <c r="U24" s="165"/>
      <c r="V24" s="155"/>
      <c r="W24" s="163"/>
      <c r="X24" s="163"/>
      <c r="Y24" s="172"/>
      <c r="Z24" s="155"/>
      <c r="AA24" s="155"/>
      <c r="AB24" s="162"/>
      <c r="AC24" s="163"/>
      <c r="AD24" s="164"/>
      <c r="AE24" s="163"/>
      <c r="AF24" s="155"/>
      <c r="AG24" s="163"/>
      <c r="AH24" s="155"/>
      <c r="AI24" s="155"/>
      <c r="AJ24" s="155"/>
      <c r="AK24" s="173"/>
      <c r="AL24" s="162"/>
      <c r="AM24" s="37"/>
      <c r="AN24" s="173"/>
      <c r="AW24" s="162"/>
      <c r="BG24" s="162"/>
      <c r="BQ24" s="162"/>
    </row>
    <row r="25" customFormat="false" ht="12.75" hidden="false" customHeight="true" outlineLevel="0" collapsed="false">
      <c r="A25" s="156" t="n">
        <v>33086</v>
      </c>
      <c r="B25" s="73" t="n">
        <v>1990</v>
      </c>
      <c r="C25" s="157" t="s">
        <v>66</v>
      </c>
      <c r="D25" s="74" t="n">
        <v>46.82</v>
      </c>
      <c r="E25" s="159" t="s">
        <v>104</v>
      </c>
      <c r="F25" s="159" t="n">
        <v>43.89</v>
      </c>
      <c r="G25" s="159" t="n">
        <v>40.26</v>
      </c>
      <c r="H25" s="159" t="n">
        <v>15.39</v>
      </c>
      <c r="I25" s="159" t="n">
        <v>14.93</v>
      </c>
      <c r="J25" s="159"/>
      <c r="K25" s="159"/>
      <c r="L25" s="159"/>
      <c r="M25" s="160"/>
      <c r="N25" s="74"/>
      <c r="O25" s="76"/>
      <c r="P25" s="74"/>
      <c r="Q25" s="74"/>
      <c r="R25" s="162"/>
      <c r="S25" s="163"/>
      <c r="T25" s="164"/>
      <c r="U25" s="165"/>
      <c r="V25" s="155"/>
      <c r="W25" s="163"/>
      <c r="X25" s="163"/>
      <c r="Y25" s="172"/>
      <c r="Z25" s="155"/>
      <c r="AA25" s="155"/>
      <c r="AB25" s="162"/>
      <c r="AC25" s="163"/>
      <c r="AD25" s="164"/>
      <c r="AE25" s="163"/>
      <c r="AF25" s="155"/>
      <c r="AG25" s="163"/>
      <c r="AH25" s="155"/>
      <c r="AI25" s="155"/>
      <c r="AJ25" s="155"/>
      <c r="AK25" s="173"/>
      <c r="AL25" s="162"/>
      <c r="AM25" s="37"/>
      <c r="AN25" s="173"/>
      <c r="AW25" s="162"/>
      <c r="BG25" s="162"/>
      <c r="BQ25" s="162"/>
    </row>
    <row r="26" customFormat="false" ht="12.75" hidden="false" customHeight="true" outlineLevel="0" collapsed="false">
      <c r="A26" s="156" t="n">
        <v>33117</v>
      </c>
      <c r="B26" s="73" t="n">
        <v>1990</v>
      </c>
      <c r="C26" s="157" t="s">
        <v>67</v>
      </c>
      <c r="D26" s="74" t="n">
        <v>50.64</v>
      </c>
      <c r="E26" s="159" t="s">
        <v>104</v>
      </c>
      <c r="F26" s="159" t="n">
        <v>47.71</v>
      </c>
      <c r="G26" s="159" t="n">
        <v>42.67</v>
      </c>
      <c r="H26" s="159" t="n">
        <v>18.31</v>
      </c>
      <c r="I26" s="159" t="n">
        <v>16.94</v>
      </c>
      <c r="J26" s="159"/>
      <c r="K26" s="159"/>
      <c r="L26" s="159"/>
      <c r="M26" s="160"/>
      <c r="N26" s="74"/>
      <c r="O26" s="76"/>
      <c r="P26" s="74"/>
      <c r="Q26" s="74"/>
      <c r="R26" s="162"/>
      <c r="S26" s="163"/>
      <c r="T26" s="164"/>
      <c r="U26" s="165"/>
      <c r="V26" s="155"/>
      <c r="W26" s="163"/>
      <c r="X26" s="163"/>
      <c r="Y26" s="172"/>
      <c r="Z26" s="155"/>
      <c r="AA26" s="155"/>
      <c r="AB26" s="162"/>
      <c r="AC26" s="163"/>
      <c r="AD26" s="164"/>
      <c r="AE26" s="163"/>
      <c r="AF26" s="155"/>
      <c r="AG26" s="163"/>
      <c r="AH26" s="155"/>
      <c r="AI26" s="155"/>
      <c r="AJ26" s="155"/>
      <c r="AK26" s="173"/>
      <c r="AL26" s="162"/>
      <c r="AM26" s="37"/>
      <c r="AN26" s="173"/>
      <c r="AW26" s="162"/>
      <c r="BG26" s="162"/>
      <c r="BQ26" s="162"/>
    </row>
    <row r="27" customFormat="false" ht="12.75" hidden="false" customHeight="true" outlineLevel="0" collapsed="false">
      <c r="A27" s="156" t="n">
        <v>33147</v>
      </c>
      <c r="B27" s="73" t="n">
        <v>1990</v>
      </c>
      <c r="C27" s="157" t="s">
        <v>68</v>
      </c>
      <c r="D27" s="74" t="n">
        <v>51.45</v>
      </c>
      <c r="E27" s="159" t="s">
        <v>104</v>
      </c>
      <c r="F27" s="159" t="n">
        <v>48.52</v>
      </c>
      <c r="G27" s="159" t="n">
        <v>45.85</v>
      </c>
      <c r="H27" s="159" t="n">
        <v>23.91</v>
      </c>
      <c r="I27" s="159" t="n">
        <v>19.66</v>
      </c>
      <c r="J27" s="159"/>
      <c r="K27" s="159"/>
      <c r="L27" s="159"/>
      <c r="M27" s="160"/>
      <c r="N27" s="74"/>
      <c r="O27" s="76"/>
      <c r="P27" s="74"/>
      <c r="Q27" s="74"/>
      <c r="R27" s="162"/>
      <c r="S27" s="163"/>
      <c r="T27" s="164"/>
      <c r="U27" s="165"/>
      <c r="V27" s="155"/>
      <c r="W27" s="163"/>
      <c r="X27" s="163"/>
      <c r="Y27" s="172"/>
      <c r="Z27" s="155"/>
      <c r="AA27" s="155"/>
      <c r="AB27" s="162"/>
      <c r="AC27" s="163"/>
      <c r="AD27" s="164"/>
      <c r="AE27" s="163"/>
      <c r="AF27" s="155"/>
      <c r="AG27" s="163"/>
      <c r="AH27" s="155"/>
      <c r="AI27" s="155"/>
      <c r="AJ27" s="155"/>
      <c r="AK27" s="173"/>
      <c r="AL27" s="162"/>
      <c r="AM27" s="37"/>
      <c r="AN27" s="173"/>
      <c r="AW27" s="162"/>
      <c r="BG27" s="162"/>
      <c r="BQ27" s="162"/>
    </row>
    <row r="28" customFormat="false" ht="12.75" hidden="false" customHeight="true" outlineLevel="0" collapsed="false">
      <c r="A28" s="156" t="n">
        <v>33178</v>
      </c>
      <c r="B28" s="73" t="n">
        <v>1990</v>
      </c>
      <c r="C28" s="157" t="s">
        <v>69</v>
      </c>
      <c r="D28" s="74" t="n">
        <v>47.53</v>
      </c>
      <c r="E28" s="159" t="s">
        <v>104</v>
      </c>
      <c r="F28" s="159" t="n">
        <v>44.55</v>
      </c>
      <c r="G28" s="159" t="n">
        <v>44.52</v>
      </c>
      <c r="H28" s="159" t="n">
        <v>20.64</v>
      </c>
      <c r="I28" s="159" t="n">
        <v>18.11</v>
      </c>
      <c r="J28" s="159"/>
      <c r="K28" s="159"/>
      <c r="L28" s="159"/>
      <c r="M28" s="160"/>
      <c r="N28" s="74"/>
      <c r="O28" s="76"/>
      <c r="P28" s="74"/>
      <c r="Q28" s="74"/>
      <c r="R28" s="162"/>
      <c r="S28" s="163"/>
      <c r="T28" s="164"/>
      <c r="U28" s="165"/>
      <c r="V28" s="155"/>
      <c r="W28" s="163"/>
      <c r="X28" s="163"/>
      <c r="Y28" s="172"/>
      <c r="Z28" s="155"/>
      <c r="AA28" s="155"/>
      <c r="AB28" s="162"/>
      <c r="AC28" s="163"/>
      <c r="AD28" s="164"/>
      <c r="AE28" s="163"/>
      <c r="AF28" s="155"/>
      <c r="AG28" s="163"/>
      <c r="AH28" s="155"/>
      <c r="AI28" s="155"/>
      <c r="AJ28" s="155"/>
      <c r="AK28" s="173"/>
      <c r="AL28" s="162"/>
      <c r="AM28" s="37"/>
      <c r="AN28" s="173"/>
      <c r="AW28" s="162"/>
      <c r="BG28" s="162"/>
      <c r="BQ28" s="162"/>
    </row>
    <row r="29" customFormat="false" ht="12.75" hidden="false" customHeight="true" outlineLevel="0" collapsed="false">
      <c r="A29" s="156" t="n">
        <v>33208</v>
      </c>
      <c r="B29" s="73" t="n">
        <v>1990</v>
      </c>
      <c r="C29" s="157" t="s">
        <v>70</v>
      </c>
      <c r="D29" s="74" t="n">
        <v>44.28</v>
      </c>
      <c r="E29" s="159" t="s">
        <v>104</v>
      </c>
      <c r="F29" s="159" t="n">
        <v>41.29</v>
      </c>
      <c r="G29" s="159" t="n">
        <v>43.7</v>
      </c>
      <c r="H29" s="159" t="n">
        <v>17.67</v>
      </c>
      <c r="I29" s="159" t="n">
        <v>17.35</v>
      </c>
      <c r="J29" s="159"/>
      <c r="K29" s="159"/>
      <c r="L29" s="159"/>
      <c r="M29" s="160"/>
      <c r="N29" s="74"/>
      <c r="O29" s="76"/>
      <c r="P29" s="74"/>
      <c r="Q29" s="74"/>
      <c r="R29" s="162"/>
      <c r="S29" s="163"/>
      <c r="T29" s="164"/>
      <c r="U29" s="165"/>
      <c r="V29" s="155"/>
      <c r="W29" s="163"/>
      <c r="X29" s="163"/>
      <c r="Y29" s="172"/>
      <c r="Z29" s="155"/>
      <c r="AA29" s="155"/>
      <c r="AB29" s="162"/>
      <c r="AC29" s="163"/>
      <c r="AD29" s="164"/>
      <c r="AE29" s="163"/>
      <c r="AF29" s="155"/>
      <c r="AG29" s="163"/>
      <c r="AH29" s="155"/>
      <c r="AI29" s="155"/>
      <c r="AJ29" s="155"/>
      <c r="AK29" s="173"/>
      <c r="AL29" s="162"/>
      <c r="AM29" s="37"/>
      <c r="AN29" s="173"/>
      <c r="AW29" s="162"/>
      <c r="BG29" s="162"/>
      <c r="BQ29" s="162"/>
    </row>
    <row r="30" customFormat="false" ht="12.75" hidden="false" customHeight="true" outlineLevel="0" collapsed="false">
      <c r="A30" s="156" t="n">
        <v>33239</v>
      </c>
      <c r="B30" s="73" t="n">
        <v>1991</v>
      </c>
      <c r="C30" s="157" t="s">
        <v>59</v>
      </c>
      <c r="D30" s="74" t="n">
        <v>45.13</v>
      </c>
      <c r="E30" s="159" t="n">
        <v>44.38</v>
      </c>
      <c r="F30" s="159" t="n">
        <v>42.14</v>
      </c>
      <c r="G30" s="159" t="n">
        <v>43.31</v>
      </c>
      <c r="H30" s="159" t="n">
        <v>17.52</v>
      </c>
      <c r="I30" s="159" t="n">
        <v>17.13</v>
      </c>
      <c r="J30" s="159"/>
      <c r="K30" s="159"/>
      <c r="L30" s="159"/>
      <c r="M30" s="160" t="n">
        <f aca="false">G30-F30</f>
        <v>1.17</v>
      </c>
      <c r="N30" s="77"/>
      <c r="O30" s="77" t="n">
        <v>44.8162543361009</v>
      </c>
      <c r="P30" s="77" t="n">
        <v>70.2793711134804</v>
      </c>
      <c r="Q30" s="77" t="n">
        <v>121.4</v>
      </c>
      <c r="R30" s="162"/>
      <c r="S30" s="163"/>
      <c r="T30" s="164"/>
      <c r="U30" s="165"/>
      <c r="V30" s="155"/>
      <c r="W30" s="163"/>
      <c r="X30" s="163"/>
      <c r="Y30" s="172"/>
      <c r="Z30" s="163"/>
      <c r="AA30" s="155"/>
      <c r="AB30" s="162"/>
      <c r="AC30" s="163"/>
      <c r="AD30" s="164"/>
      <c r="AE30" s="163"/>
      <c r="AF30" s="155"/>
      <c r="AG30" s="163"/>
      <c r="AH30" s="155"/>
      <c r="AI30" s="155"/>
      <c r="AJ30" s="155"/>
      <c r="AK30" s="173"/>
      <c r="AL30" s="162"/>
      <c r="AM30" s="37"/>
      <c r="AN30" s="173"/>
      <c r="AW30" s="162"/>
      <c r="BG30" s="162"/>
      <c r="BQ30" s="162"/>
    </row>
    <row r="31" customFormat="false" ht="12.75" hidden="false" customHeight="true" outlineLevel="0" collapsed="false">
      <c r="A31" s="156" t="n">
        <v>33270</v>
      </c>
      <c r="B31" s="73" t="n">
        <v>1991</v>
      </c>
      <c r="C31" s="157" t="s">
        <v>60</v>
      </c>
      <c r="D31" s="74" t="n">
        <v>43.62</v>
      </c>
      <c r="E31" s="159" t="n">
        <v>42.91</v>
      </c>
      <c r="F31" s="159" t="n">
        <v>40.61</v>
      </c>
      <c r="G31" s="159" t="n">
        <v>43.19</v>
      </c>
      <c r="H31" s="159" t="n">
        <v>16.68</v>
      </c>
      <c r="I31" s="159" t="n">
        <v>15.39</v>
      </c>
      <c r="J31" s="159"/>
      <c r="K31" s="159"/>
      <c r="L31" s="159"/>
      <c r="M31" s="160" t="n">
        <f aca="false">G31-F31</f>
        <v>2.58</v>
      </c>
      <c r="N31" s="77"/>
      <c r="O31" s="77" t="n">
        <v>35.7127219478946</v>
      </c>
      <c r="P31" s="77" t="n">
        <v>56.003512038864</v>
      </c>
      <c r="Q31" s="77" t="n">
        <v>96.74</v>
      </c>
      <c r="R31" s="162"/>
      <c r="S31" s="163"/>
      <c r="T31" s="164"/>
      <c r="U31" s="165"/>
      <c r="V31" s="155"/>
      <c r="W31" s="163"/>
      <c r="X31" s="163"/>
      <c r="Y31" s="172"/>
      <c r="Z31" s="163"/>
      <c r="AA31" s="155"/>
      <c r="AB31" s="162"/>
      <c r="AC31" s="163"/>
      <c r="AD31" s="164"/>
      <c r="AE31" s="163"/>
      <c r="AF31" s="155"/>
      <c r="AG31" s="163"/>
      <c r="AH31" s="155"/>
      <c r="AI31" s="155"/>
      <c r="AJ31" s="155"/>
      <c r="AK31" s="173"/>
      <c r="AL31" s="162"/>
      <c r="AM31" s="37"/>
      <c r="AN31" s="173"/>
      <c r="AW31" s="162"/>
      <c r="BG31" s="162"/>
      <c r="BQ31" s="162"/>
    </row>
    <row r="32" customFormat="false" ht="12.75" hidden="false" customHeight="true" outlineLevel="0" collapsed="false">
      <c r="A32" s="156" t="n">
        <v>33298</v>
      </c>
      <c r="B32" s="73" t="n">
        <v>1991</v>
      </c>
      <c r="C32" s="157" t="s">
        <v>61</v>
      </c>
      <c r="D32" s="74" t="n">
        <v>44.74</v>
      </c>
      <c r="E32" s="159" t="n">
        <v>43.8</v>
      </c>
      <c r="F32" s="159" t="n">
        <v>41.66</v>
      </c>
      <c r="G32" s="159" t="n">
        <v>40.31</v>
      </c>
      <c r="H32" s="159" t="n">
        <v>13.54</v>
      </c>
      <c r="I32" s="159" t="n">
        <v>13.4</v>
      </c>
      <c r="J32" s="159"/>
      <c r="K32" s="159"/>
      <c r="L32" s="159"/>
      <c r="M32" s="160" t="n">
        <f aca="false">G32-F32</f>
        <v>-1.34999999999999</v>
      </c>
      <c r="N32" s="77"/>
      <c r="O32" s="77" t="n">
        <v>35.4653834766822</v>
      </c>
      <c r="P32" s="77" t="n">
        <v>55.6156440104782</v>
      </c>
      <c r="Q32" s="77" t="n">
        <v>96.07</v>
      </c>
      <c r="R32" s="162"/>
      <c r="S32" s="163"/>
      <c r="T32" s="164"/>
      <c r="U32" s="165"/>
      <c r="V32" s="155"/>
      <c r="W32" s="163"/>
      <c r="X32" s="163"/>
      <c r="Y32" s="172"/>
      <c r="Z32" s="163"/>
      <c r="AA32" s="155"/>
      <c r="AB32" s="162"/>
      <c r="AC32" s="163"/>
      <c r="AD32" s="164"/>
      <c r="AE32" s="163"/>
      <c r="AF32" s="155"/>
      <c r="AG32" s="163"/>
      <c r="AH32" s="155"/>
      <c r="AI32" s="155"/>
      <c r="AJ32" s="155"/>
      <c r="AK32" s="173"/>
      <c r="AL32" s="162"/>
      <c r="AM32" s="37"/>
      <c r="AN32" s="173"/>
      <c r="AW32" s="162"/>
      <c r="BG32" s="162"/>
      <c r="BQ32" s="162"/>
    </row>
    <row r="33" customFormat="false" ht="12.75" hidden="false" customHeight="true" outlineLevel="0" collapsed="false">
      <c r="A33" s="156" t="n">
        <v>33329</v>
      </c>
      <c r="B33" s="73" t="n">
        <v>1991</v>
      </c>
      <c r="C33" s="157" t="s">
        <v>62</v>
      </c>
      <c r="D33" s="74" t="n">
        <v>49.03</v>
      </c>
      <c r="E33" s="159" t="n">
        <v>47.52</v>
      </c>
      <c r="F33" s="159" t="n">
        <v>45.41</v>
      </c>
      <c r="G33" s="159" t="n">
        <v>43.41</v>
      </c>
      <c r="H33" s="159" t="n">
        <v>12.49</v>
      </c>
      <c r="I33" s="159" t="n">
        <v>12.16</v>
      </c>
      <c r="J33" s="159"/>
      <c r="K33" s="159"/>
      <c r="L33" s="159"/>
      <c r="M33" s="160" t="n">
        <f aca="false">G33-F33</f>
        <v>-2</v>
      </c>
      <c r="N33" s="77"/>
      <c r="O33" s="77" t="n">
        <v>36.9937137316365</v>
      </c>
      <c r="P33" s="77" t="n">
        <v>58.0123210813992</v>
      </c>
      <c r="Q33" s="77" t="n">
        <v>100.21</v>
      </c>
      <c r="R33" s="162"/>
      <c r="S33" s="163"/>
      <c r="T33" s="164"/>
      <c r="U33" s="165"/>
      <c r="V33" s="155"/>
      <c r="W33" s="163"/>
      <c r="X33" s="163"/>
      <c r="Y33" s="172"/>
      <c r="Z33" s="163"/>
      <c r="AA33" s="155"/>
      <c r="AB33" s="162"/>
      <c r="AC33" s="163"/>
      <c r="AD33" s="164"/>
      <c r="AE33" s="163"/>
      <c r="AF33" s="155"/>
      <c r="AG33" s="163"/>
      <c r="AH33" s="155"/>
      <c r="AI33" s="155"/>
      <c r="AJ33" s="155"/>
      <c r="AK33" s="173"/>
      <c r="AL33" s="162"/>
      <c r="AM33" s="37"/>
      <c r="AN33" s="173"/>
      <c r="AW33" s="162"/>
      <c r="BG33" s="162"/>
      <c r="BQ33" s="162"/>
    </row>
    <row r="34" customFormat="false" ht="12.75" hidden="false" customHeight="true" outlineLevel="0" collapsed="false">
      <c r="A34" s="156" t="n">
        <v>33359</v>
      </c>
      <c r="B34" s="73" t="n">
        <v>1991</v>
      </c>
      <c r="C34" s="157" t="s">
        <v>63</v>
      </c>
      <c r="D34" s="74" t="n">
        <v>50.16</v>
      </c>
      <c r="E34" s="159" t="n">
        <v>48.94</v>
      </c>
      <c r="F34" s="159" t="n">
        <v>46.64</v>
      </c>
      <c r="G34" s="159" t="n">
        <v>43.64</v>
      </c>
      <c r="H34" s="159" t="n">
        <v>13.15</v>
      </c>
      <c r="I34" s="159" t="n">
        <v>12.91</v>
      </c>
      <c r="J34" s="159"/>
      <c r="K34" s="159"/>
      <c r="L34" s="159"/>
      <c r="M34" s="160" t="n">
        <f aca="false">G34-F34</f>
        <v>-3</v>
      </c>
      <c r="N34" s="77"/>
      <c r="O34" s="77" t="n">
        <v>37.4440912463815</v>
      </c>
      <c r="P34" s="77" t="n">
        <v>58.7185882375644</v>
      </c>
      <c r="Q34" s="77" t="n">
        <v>101.43</v>
      </c>
      <c r="R34" s="162"/>
      <c r="S34" s="163"/>
      <c r="T34" s="164"/>
      <c r="U34" s="165"/>
      <c r="V34" s="155"/>
      <c r="W34" s="163"/>
      <c r="X34" s="163"/>
      <c r="Y34" s="172"/>
      <c r="Z34" s="163"/>
      <c r="AA34" s="155"/>
      <c r="AB34" s="162"/>
      <c r="AC34" s="163"/>
      <c r="AD34" s="164"/>
      <c r="AE34" s="163"/>
      <c r="AF34" s="155"/>
      <c r="AG34" s="163"/>
      <c r="AH34" s="155"/>
      <c r="AI34" s="155"/>
      <c r="AJ34" s="155"/>
      <c r="AK34" s="173"/>
      <c r="AL34" s="162"/>
      <c r="AM34" s="37"/>
      <c r="AN34" s="173"/>
      <c r="AW34" s="162"/>
      <c r="BG34" s="162"/>
      <c r="BQ34" s="162"/>
    </row>
    <row r="35" customFormat="false" ht="12.75" hidden="false" customHeight="true" outlineLevel="0" collapsed="false">
      <c r="A35" s="156" t="n">
        <v>33390</v>
      </c>
      <c r="B35" s="73" t="n">
        <v>1991</v>
      </c>
      <c r="C35" s="157" t="s">
        <v>64</v>
      </c>
      <c r="D35" s="74" t="n">
        <v>50.04</v>
      </c>
      <c r="E35" s="159" t="n">
        <v>48.76</v>
      </c>
      <c r="F35" s="159" t="n">
        <v>46.53</v>
      </c>
      <c r="G35" s="159" t="n">
        <v>43.64</v>
      </c>
      <c r="H35" s="159" t="n">
        <v>13.38</v>
      </c>
      <c r="I35" s="159" t="n">
        <v>13.05</v>
      </c>
      <c r="J35" s="159"/>
      <c r="K35" s="159"/>
      <c r="L35" s="159"/>
      <c r="M35" s="160" t="n">
        <f aca="false">G35-F35</f>
        <v>-2.89</v>
      </c>
      <c r="N35" s="77"/>
      <c r="O35" s="77" t="n">
        <v>37.4219415325416</v>
      </c>
      <c r="P35" s="77" t="n">
        <v>58.6838537872612</v>
      </c>
      <c r="Q35" s="77" t="n">
        <v>101.37</v>
      </c>
      <c r="R35" s="162"/>
      <c r="S35" s="163"/>
      <c r="T35" s="164"/>
      <c r="U35" s="165"/>
      <c r="V35" s="155"/>
      <c r="W35" s="163"/>
      <c r="X35" s="163"/>
      <c r="Y35" s="172"/>
      <c r="Z35" s="163"/>
      <c r="AA35" s="155"/>
      <c r="AB35" s="162"/>
      <c r="AC35" s="163"/>
      <c r="AD35" s="164"/>
      <c r="AE35" s="163"/>
      <c r="AF35" s="155"/>
      <c r="AG35" s="163"/>
      <c r="AH35" s="155"/>
      <c r="AI35" s="155"/>
      <c r="AJ35" s="155"/>
      <c r="AK35" s="173"/>
      <c r="AL35" s="162"/>
      <c r="AM35" s="37"/>
      <c r="AN35" s="173"/>
      <c r="AW35" s="162"/>
      <c r="BG35" s="162"/>
      <c r="BQ35" s="162"/>
    </row>
    <row r="36" customFormat="false" ht="12.75" hidden="false" customHeight="true" outlineLevel="0" collapsed="false">
      <c r="A36" s="156" t="n">
        <v>33420</v>
      </c>
      <c r="B36" s="73" t="n">
        <v>1991</v>
      </c>
      <c r="C36" s="157" t="s">
        <v>65</v>
      </c>
      <c r="D36" s="74" t="n">
        <v>50.65</v>
      </c>
      <c r="E36" s="159" t="n">
        <v>49.35</v>
      </c>
      <c r="F36" s="159" t="n">
        <v>47.08</v>
      </c>
      <c r="G36" s="159" t="n">
        <v>44.26</v>
      </c>
      <c r="H36" s="159" t="n">
        <v>13.67</v>
      </c>
      <c r="I36" s="159" t="n">
        <v>12.97</v>
      </c>
      <c r="J36" s="159"/>
      <c r="K36" s="159"/>
      <c r="L36" s="159"/>
      <c r="M36" s="160" t="n">
        <f aca="false">G36-F36</f>
        <v>-2.82</v>
      </c>
      <c r="N36" s="77"/>
      <c r="O36" s="77" t="n">
        <v>38.7767656957499</v>
      </c>
      <c r="P36" s="77" t="n">
        <v>60.8084443308071</v>
      </c>
      <c r="Q36" s="77" t="n">
        <v>105.04</v>
      </c>
      <c r="R36" s="162"/>
      <c r="S36" s="163"/>
      <c r="T36" s="164"/>
      <c r="U36" s="165"/>
      <c r="V36" s="155"/>
      <c r="W36" s="163"/>
      <c r="X36" s="163"/>
      <c r="Y36" s="172"/>
      <c r="Z36" s="163"/>
      <c r="AA36" s="155"/>
      <c r="AB36" s="162"/>
      <c r="AC36" s="163"/>
      <c r="AD36" s="164"/>
      <c r="AE36" s="163"/>
      <c r="AF36" s="155"/>
      <c r="AG36" s="163"/>
      <c r="AH36" s="155"/>
      <c r="AI36" s="155"/>
      <c r="AJ36" s="155"/>
      <c r="AK36" s="173"/>
      <c r="AL36" s="162"/>
      <c r="AM36" s="37"/>
      <c r="AN36" s="173"/>
      <c r="AW36" s="162"/>
      <c r="BG36" s="162"/>
      <c r="BQ36" s="162"/>
    </row>
    <row r="37" customFormat="false" ht="12.75" hidden="false" customHeight="true" outlineLevel="0" collapsed="false">
      <c r="A37" s="156" t="n">
        <v>33451</v>
      </c>
      <c r="B37" s="73" t="n">
        <v>1991</v>
      </c>
      <c r="C37" s="157" t="s">
        <v>66</v>
      </c>
      <c r="D37" s="74" t="n">
        <v>50.23</v>
      </c>
      <c r="E37" s="159" t="n">
        <v>48.9</v>
      </c>
      <c r="F37" s="159" t="n">
        <v>46.71</v>
      </c>
      <c r="G37" s="159" t="n">
        <v>44.17</v>
      </c>
      <c r="H37" s="159" t="n">
        <v>13.33</v>
      </c>
      <c r="I37" s="159" t="n">
        <v>12.71</v>
      </c>
      <c r="J37" s="159"/>
      <c r="K37" s="159"/>
      <c r="L37" s="159"/>
      <c r="M37" s="160" t="n">
        <f aca="false">G37-F37</f>
        <v>-2.54</v>
      </c>
      <c r="N37" s="77"/>
      <c r="O37" s="77" t="n">
        <v>39.4154157781342</v>
      </c>
      <c r="P37" s="77" t="n">
        <v>61.8099543145494</v>
      </c>
      <c r="Q37" s="77" t="n">
        <v>106.77</v>
      </c>
      <c r="R37" s="162"/>
      <c r="S37" s="163"/>
      <c r="T37" s="164"/>
      <c r="U37" s="165"/>
      <c r="V37" s="155"/>
      <c r="W37" s="163"/>
      <c r="X37" s="163"/>
      <c r="Y37" s="172"/>
      <c r="Z37" s="163"/>
      <c r="AA37" s="155"/>
      <c r="AB37" s="162"/>
      <c r="AC37" s="163"/>
      <c r="AD37" s="164"/>
      <c r="AE37" s="163"/>
      <c r="AF37" s="155"/>
      <c r="AG37" s="163"/>
      <c r="AH37" s="155"/>
      <c r="AI37" s="155"/>
      <c r="AJ37" s="155"/>
      <c r="AK37" s="173"/>
      <c r="AL37" s="162"/>
      <c r="AM37" s="37"/>
      <c r="AN37" s="173"/>
      <c r="AW37" s="162"/>
      <c r="BG37" s="162"/>
      <c r="BQ37" s="162"/>
    </row>
    <row r="38" customFormat="false" ht="12.75" hidden="false" customHeight="true" outlineLevel="0" collapsed="false">
      <c r="A38" s="156" t="n">
        <v>33482</v>
      </c>
      <c r="B38" s="73" t="n">
        <v>1991</v>
      </c>
      <c r="C38" s="157" t="s">
        <v>67</v>
      </c>
      <c r="D38" s="74" t="n">
        <v>50.11</v>
      </c>
      <c r="E38" s="159" t="n">
        <v>48.85</v>
      </c>
      <c r="F38" s="159" t="n">
        <v>46.58</v>
      </c>
      <c r="G38" s="159" t="n">
        <v>44.24</v>
      </c>
      <c r="H38" s="159" t="n">
        <v>13.64</v>
      </c>
      <c r="I38" s="159" t="n">
        <v>13.01</v>
      </c>
      <c r="J38" s="159"/>
      <c r="K38" s="159"/>
      <c r="L38" s="159"/>
      <c r="M38" s="160" t="n">
        <f aca="false">G38-F38</f>
        <v>-2.34</v>
      </c>
      <c r="N38" s="77"/>
      <c r="O38" s="77" t="n">
        <v>40.0392993846252</v>
      </c>
      <c r="P38" s="77" t="n">
        <v>62.7883079980896</v>
      </c>
      <c r="Q38" s="77" t="n">
        <v>108.46</v>
      </c>
      <c r="R38" s="162"/>
      <c r="S38" s="163"/>
      <c r="T38" s="164"/>
      <c r="U38" s="165"/>
      <c r="V38" s="155"/>
      <c r="W38" s="163"/>
      <c r="X38" s="163"/>
      <c r="Y38" s="172"/>
      <c r="Z38" s="163"/>
      <c r="AA38" s="155"/>
      <c r="AB38" s="162"/>
      <c r="AC38" s="163"/>
      <c r="AD38" s="164"/>
      <c r="AE38" s="163"/>
      <c r="AF38" s="155"/>
      <c r="AG38" s="163"/>
      <c r="AH38" s="155"/>
      <c r="AI38" s="155"/>
      <c r="AJ38" s="155"/>
      <c r="AK38" s="173"/>
      <c r="AL38" s="162"/>
      <c r="AM38" s="37"/>
      <c r="AN38" s="173"/>
      <c r="AW38" s="162"/>
      <c r="BG38" s="162"/>
      <c r="BQ38" s="162"/>
    </row>
    <row r="39" customFormat="false" ht="12.75" hidden="false" customHeight="true" outlineLevel="0" collapsed="false">
      <c r="A39" s="156" t="n">
        <v>33512</v>
      </c>
      <c r="B39" s="73" t="n">
        <v>1991</v>
      </c>
      <c r="C39" s="157" t="s">
        <v>68</v>
      </c>
      <c r="D39" s="74" t="n">
        <v>49.99</v>
      </c>
      <c r="E39" s="159" t="n">
        <v>48.7</v>
      </c>
      <c r="F39" s="159" t="n">
        <v>46.48</v>
      </c>
      <c r="G39" s="159" t="n">
        <v>45.1</v>
      </c>
      <c r="H39" s="159" t="n">
        <v>14.18</v>
      </c>
      <c r="I39" s="159" t="n">
        <v>13.66</v>
      </c>
      <c r="J39" s="159"/>
      <c r="K39" s="159"/>
      <c r="L39" s="159"/>
      <c r="M39" s="160" t="n">
        <f aca="false">G39-F39</f>
        <v>-1.38</v>
      </c>
      <c r="N39" s="77"/>
      <c r="O39" s="77" t="n">
        <v>42.0290820112446</v>
      </c>
      <c r="P39" s="77" t="n">
        <v>65.9086194503273</v>
      </c>
      <c r="Q39" s="77" t="n">
        <v>113.85</v>
      </c>
      <c r="R39" s="162"/>
      <c r="S39" s="163"/>
      <c r="T39" s="164"/>
      <c r="U39" s="165"/>
      <c r="V39" s="155"/>
      <c r="W39" s="163"/>
      <c r="X39" s="163"/>
      <c r="Y39" s="172"/>
      <c r="Z39" s="163"/>
      <c r="AA39" s="155"/>
      <c r="AB39" s="162"/>
      <c r="AC39" s="163"/>
      <c r="AD39" s="164"/>
      <c r="AE39" s="163"/>
      <c r="AF39" s="155"/>
      <c r="AG39" s="163"/>
      <c r="AH39" s="155"/>
      <c r="AI39" s="155"/>
      <c r="AJ39" s="155"/>
      <c r="AK39" s="173"/>
      <c r="AL39" s="162"/>
      <c r="AM39" s="37"/>
      <c r="AN39" s="173"/>
      <c r="AW39" s="162"/>
      <c r="BG39" s="162"/>
      <c r="BQ39" s="162"/>
    </row>
    <row r="40" customFormat="false" ht="12.75" hidden="false" customHeight="true" outlineLevel="0" collapsed="false">
      <c r="A40" s="156" t="n">
        <v>33543</v>
      </c>
      <c r="B40" s="73" t="n">
        <v>1991</v>
      </c>
      <c r="C40" s="157" t="s">
        <v>69</v>
      </c>
      <c r="D40" s="74" t="n">
        <v>49.69</v>
      </c>
      <c r="E40" s="159" t="n">
        <v>48.44</v>
      </c>
      <c r="F40" s="159" t="n">
        <v>46.18</v>
      </c>
      <c r="G40" s="159" t="n">
        <v>46.05</v>
      </c>
      <c r="H40" s="159" t="n">
        <v>14.33</v>
      </c>
      <c r="I40" s="159" t="n">
        <v>14.25</v>
      </c>
      <c r="J40" s="159"/>
      <c r="K40" s="159"/>
      <c r="L40" s="159"/>
      <c r="M40" s="160" t="n">
        <f aca="false">G40-F40</f>
        <v>-0.130000000000003</v>
      </c>
      <c r="N40" s="77"/>
      <c r="O40" s="77" t="n">
        <v>42.4425433362564</v>
      </c>
      <c r="P40" s="77" t="n">
        <v>66.5569958559871</v>
      </c>
      <c r="Q40" s="77" t="n">
        <v>114.97</v>
      </c>
      <c r="R40" s="162"/>
      <c r="S40" s="163"/>
      <c r="T40" s="164"/>
      <c r="U40" s="165"/>
      <c r="V40" s="155"/>
      <c r="W40" s="163"/>
      <c r="X40" s="163"/>
      <c r="Y40" s="172"/>
      <c r="Z40" s="163"/>
      <c r="AA40" s="155"/>
      <c r="AB40" s="162"/>
      <c r="AC40" s="163"/>
      <c r="AD40" s="164"/>
      <c r="AE40" s="163"/>
      <c r="AF40" s="155"/>
      <c r="AG40" s="163"/>
      <c r="AH40" s="155"/>
      <c r="AI40" s="155"/>
      <c r="AJ40" s="155"/>
      <c r="AK40" s="173"/>
      <c r="AL40" s="162"/>
      <c r="AM40" s="37"/>
      <c r="AN40" s="173"/>
      <c r="AW40" s="162"/>
      <c r="BG40" s="162"/>
      <c r="BQ40" s="162"/>
    </row>
    <row r="41" customFormat="false" ht="12.75" hidden="false" customHeight="true" outlineLevel="0" collapsed="false">
      <c r="A41" s="156" t="n">
        <v>33573</v>
      </c>
      <c r="B41" s="73" t="n">
        <v>1991</v>
      </c>
      <c r="C41" s="157" t="s">
        <v>70</v>
      </c>
      <c r="D41" s="74" t="n">
        <v>48.39</v>
      </c>
      <c r="E41" s="159" t="n">
        <v>47.12</v>
      </c>
      <c r="F41" s="159" t="n">
        <v>44.86</v>
      </c>
      <c r="G41" s="159" t="n">
        <v>44.5</v>
      </c>
      <c r="H41" s="159" t="n">
        <v>13.43</v>
      </c>
      <c r="I41" s="159" t="n">
        <v>13.16</v>
      </c>
      <c r="J41" s="159"/>
      <c r="K41" s="159"/>
      <c r="L41" s="159"/>
      <c r="M41" s="160" t="n">
        <f aca="false">G41-F41</f>
        <v>-0.359999999999999</v>
      </c>
      <c r="N41" s="77"/>
      <c r="O41" s="77" t="n">
        <v>36.5174948840783</v>
      </c>
      <c r="P41" s="77" t="n">
        <v>57.2655303998804</v>
      </c>
      <c r="Q41" s="77" t="n">
        <v>98.92</v>
      </c>
      <c r="R41" s="162"/>
      <c r="S41" s="163"/>
      <c r="T41" s="164"/>
      <c r="U41" s="165"/>
      <c r="V41" s="155"/>
      <c r="W41" s="163"/>
      <c r="X41" s="163"/>
      <c r="Y41" s="172"/>
      <c r="Z41" s="163"/>
      <c r="AA41" s="155"/>
      <c r="AB41" s="162"/>
      <c r="AC41" s="163"/>
      <c r="AD41" s="164"/>
      <c r="AE41" s="163"/>
      <c r="AF41" s="155"/>
      <c r="AG41" s="163"/>
      <c r="AH41" s="155"/>
      <c r="AI41" s="155"/>
      <c r="AJ41" s="155"/>
      <c r="AK41" s="173"/>
      <c r="AL41" s="162"/>
      <c r="AM41" s="37"/>
      <c r="AN41" s="173"/>
      <c r="AW41" s="162"/>
      <c r="BG41" s="162"/>
      <c r="BQ41" s="162"/>
    </row>
    <row r="42" customFormat="false" ht="12.75" hidden="false" customHeight="true" outlineLevel="0" collapsed="false">
      <c r="A42" s="156" t="n">
        <v>33604</v>
      </c>
      <c r="B42" s="73" t="n">
        <v>1992</v>
      </c>
      <c r="C42" s="157" t="s">
        <v>59</v>
      </c>
      <c r="D42" s="74" t="n">
        <v>46.93</v>
      </c>
      <c r="E42" s="159" t="n">
        <v>45.57</v>
      </c>
      <c r="F42" s="159" t="n">
        <v>43.43</v>
      </c>
      <c r="G42" s="159" t="n">
        <v>43.19</v>
      </c>
      <c r="H42" s="159" t="n">
        <v>12.47</v>
      </c>
      <c r="I42" s="159" t="n">
        <v>12.02</v>
      </c>
      <c r="J42" s="159"/>
      <c r="K42" s="159"/>
      <c r="L42" s="159"/>
      <c r="M42" s="160" t="n">
        <f aca="false">G42-F42</f>
        <v>-0.240000000000002</v>
      </c>
      <c r="N42" s="77"/>
      <c r="O42" s="77" t="n">
        <v>33.7635471299818</v>
      </c>
      <c r="P42" s="77" t="n">
        <v>52.9468804121821</v>
      </c>
      <c r="Q42" s="77" t="n">
        <v>91.46</v>
      </c>
      <c r="R42" s="162"/>
      <c r="S42" s="163"/>
      <c r="T42" s="164"/>
      <c r="U42" s="165"/>
      <c r="V42" s="155"/>
      <c r="W42" s="163"/>
      <c r="X42" s="163"/>
      <c r="Y42" s="172"/>
      <c r="Z42" s="163"/>
      <c r="AA42" s="172"/>
      <c r="AB42" s="162"/>
      <c r="AC42" s="163"/>
      <c r="AD42" s="164"/>
      <c r="AE42" s="163"/>
      <c r="AF42" s="155"/>
      <c r="AG42" s="163"/>
      <c r="AH42" s="155"/>
      <c r="AI42" s="155"/>
      <c r="AJ42" s="155"/>
      <c r="AK42" s="173"/>
      <c r="AL42" s="162"/>
      <c r="AM42" s="37"/>
      <c r="AN42" s="173"/>
      <c r="AW42" s="162"/>
      <c r="BG42" s="162"/>
      <c r="BQ42" s="162"/>
    </row>
    <row r="43" customFormat="false" ht="12.75" hidden="false" customHeight="true" outlineLevel="0" collapsed="false">
      <c r="A43" s="156" t="n">
        <v>33635</v>
      </c>
      <c r="B43" s="73" t="n">
        <v>1992</v>
      </c>
      <c r="C43" s="157" t="s">
        <v>60</v>
      </c>
      <c r="D43" s="74" t="n">
        <v>47.76</v>
      </c>
      <c r="E43" s="159" t="n">
        <v>46.42</v>
      </c>
      <c r="F43" s="159" t="n">
        <v>44.23</v>
      </c>
      <c r="G43" s="159" t="n">
        <v>43.69</v>
      </c>
      <c r="H43" s="159" t="n">
        <v>12.88</v>
      </c>
      <c r="I43" s="159" t="n">
        <v>12.31</v>
      </c>
      <c r="J43" s="159"/>
      <c r="K43" s="159"/>
      <c r="L43" s="159"/>
      <c r="M43" s="160" t="n">
        <f aca="false">G43-F43</f>
        <v>-0.539999999999999</v>
      </c>
      <c r="N43" s="77"/>
      <c r="O43" s="77" t="n">
        <v>33.973969411461</v>
      </c>
      <c r="P43" s="77" t="n">
        <v>53.2768576900626</v>
      </c>
      <c r="Q43" s="77" t="n">
        <v>92.03</v>
      </c>
      <c r="R43" s="162"/>
      <c r="S43" s="163"/>
      <c r="T43" s="164"/>
      <c r="U43" s="165"/>
      <c r="V43" s="155"/>
      <c r="W43" s="163"/>
      <c r="X43" s="163"/>
      <c r="Y43" s="172"/>
      <c r="Z43" s="163"/>
      <c r="AA43" s="172"/>
      <c r="AB43" s="162"/>
      <c r="AC43" s="163"/>
      <c r="AD43" s="164"/>
      <c r="AE43" s="163"/>
      <c r="AF43" s="155"/>
      <c r="AG43" s="163"/>
      <c r="AH43" s="155"/>
      <c r="AI43" s="155"/>
      <c r="AJ43" s="155"/>
      <c r="AK43" s="173"/>
      <c r="AL43" s="162"/>
      <c r="AM43" s="37"/>
      <c r="AN43" s="173"/>
      <c r="AW43" s="162"/>
      <c r="BG43" s="162"/>
      <c r="BQ43" s="162"/>
    </row>
    <row r="44" customFormat="false" ht="12.75" hidden="false" customHeight="true" outlineLevel="0" collapsed="false">
      <c r="A44" s="156" t="n">
        <v>33664</v>
      </c>
      <c r="B44" s="73" t="n">
        <v>1992</v>
      </c>
      <c r="C44" s="157" t="s">
        <v>61</v>
      </c>
      <c r="D44" s="74" t="n">
        <v>50.37</v>
      </c>
      <c r="E44" s="159" t="n">
        <v>48.29</v>
      </c>
      <c r="F44" s="159" t="n">
        <v>46.02</v>
      </c>
      <c r="G44" s="159" t="n">
        <v>44.38</v>
      </c>
      <c r="H44" s="159" t="n">
        <v>14.4</v>
      </c>
      <c r="I44" s="159" t="n">
        <v>11.98</v>
      </c>
      <c r="J44" s="159"/>
      <c r="K44" s="159"/>
      <c r="L44" s="159"/>
      <c r="M44" s="160" t="n">
        <f aca="false">G44-F44</f>
        <v>-1.64</v>
      </c>
      <c r="N44" s="77"/>
      <c r="O44" s="77" t="n">
        <v>33.4497595172496</v>
      </c>
      <c r="P44" s="77" t="n">
        <v>52.4548090328868</v>
      </c>
      <c r="Q44" s="77" t="n">
        <v>90.61</v>
      </c>
      <c r="R44" s="162"/>
      <c r="S44" s="163"/>
      <c r="T44" s="164"/>
      <c r="U44" s="165"/>
      <c r="V44" s="155"/>
      <c r="W44" s="163"/>
      <c r="X44" s="163"/>
      <c r="Y44" s="172"/>
      <c r="Z44" s="163"/>
      <c r="AA44" s="172"/>
      <c r="AB44" s="162"/>
      <c r="AC44" s="163"/>
      <c r="AD44" s="164"/>
      <c r="AE44" s="163"/>
      <c r="AF44" s="155"/>
      <c r="AG44" s="163"/>
      <c r="AH44" s="155"/>
      <c r="AI44" s="155"/>
      <c r="AJ44" s="155"/>
      <c r="AK44" s="173"/>
      <c r="AL44" s="162"/>
      <c r="AM44" s="37"/>
      <c r="AN44" s="173"/>
      <c r="AW44" s="162"/>
      <c r="BG44" s="162"/>
      <c r="BQ44" s="162"/>
    </row>
    <row r="45" customFormat="false" ht="12.75" hidden="false" customHeight="true" outlineLevel="0" collapsed="false">
      <c r="A45" s="156" t="n">
        <v>33695</v>
      </c>
      <c r="B45" s="73" t="n">
        <v>1992</v>
      </c>
      <c r="C45" s="157" t="s">
        <v>62</v>
      </c>
      <c r="D45" s="74" t="n">
        <v>50.61</v>
      </c>
      <c r="E45" s="159" t="n">
        <v>48.41</v>
      </c>
      <c r="F45" s="159" t="n">
        <v>46.07</v>
      </c>
      <c r="G45" s="159" t="n">
        <v>44.59</v>
      </c>
      <c r="H45" s="159" t="n">
        <v>12.64</v>
      </c>
      <c r="I45" s="159" t="n">
        <v>12.16</v>
      </c>
      <c r="J45" s="159"/>
      <c r="K45" s="159"/>
      <c r="L45" s="159"/>
      <c r="M45" s="160" t="n">
        <f aca="false">G45-F45</f>
        <v>-1.48</v>
      </c>
      <c r="N45" s="77"/>
      <c r="O45" s="77" t="n">
        <v>36.3550636492522</v>
      </c>
      <c r="P45" s="77" t="n">
        <v>57.0108110976569</v>
      </c>
      <c r="Q45" s="77" t="n">
        <v>98.48</v>
      </c>
      <c r="R45" s="162"/>
      <c r="S45" s="163"/>
      <c r="T45" s="164"/>
      <c r="U45" s="165"/>
      <c r="V45" s="155"/>
      <c r="W45" s="163"/>
      <c r="X45" s="163"/>
      <c r="Y45" s="172"/>
      <c r="Z45" s="163"/>
      <c r="AA45" s="172"/>
      <c r="AB45" s="162"/>
      <c r="AC45" s="163"/>
      <c r="AD45" s="164"/>
      <c r="AE45" s="163"/>
      <c r="AF45" s="155"/>
      <c r="AG45" s="163"/>
      <c r="AH45" s="155"/>
      <c r="AI45" s="155"/>
      <c r="AJ45" s="155"/>
      <c r="AK45" s="173"/>
      <c r="AL45" s="162"/>
      <c r="AM45" s="37"/>
      <c r="AN45" s="173"/>
      <c r="AW45" s="162"/>
      <c r="BG45" s="162"/>
      <c r="BQ45" s="162"/>
    </row>
    <row r="46" customFormat="false" ht="12.75" hidden="false" customHeight="true" outlineLevel="0" collapsed="false">
      <c r="A46" s="156" t="n">
        <v>33725</v>
      </c>
      <c r="B46" s="73" t="n">
        <v>1992</v>
      </c>
      <c r="C46" s="157" t="s">
        <v>63</v>
      </c>
      <c r="D46" s="74" t="n">
        <v>51.36</v>
      </c>
      <c r="E46" s="159" t="n">
        <v>49.24</v>
      </c>
      <c r="F46" s="159" t="n">
        <v>47.05</v>
      </c>
      <c r="G46" s="159" t="n">
        <v>45.37</v>
      </c>
      <c r="H46" s="159" t="n">
        <v>12.62</v>
      </c>
      <c r="I46" s="159" t="n">
        <v>12.34</v>
      </c>
      <c r="J46" s="159"/>
      <c r="K46" s="159"/>
      <c r="L46" s="159"/>
      <c r="M46" s="160" t="n">
        <f aca="false">G46-F46</f>
        <v>-1.68</v>
      </c>
      <c r="N46" s="77"/>
      <c r="O46" s="77" t="n">
        <v>37.4367080084349</v>
      </c>
      <c r="P46" s="77" t="n">
        <v>58.7070100874633</v>
      </c>
      <c r="Q46" s="77" t="n">
        <v>101.41</v>
      </c>
      <c r="R46" s="162"/>
      <c r="S46" s="163"/>
      <c r="T46" s="164"/>
      <c r="U46" s="165"/>
      <c r="V46" s="155"/>
      <c r="W46" s="163"/>
      <c r="X46" s="163"/>
      <c r="Y46" s="172"/>
      <c r="Z46" s="163"/>
      <c r="AA46" s="172"/>
      <c r="AB46" s="162"/>
      <c r="AC46" s="163"/>
      <c r="AD46" s="164"/>
      <c r="AE46" s="163"/>
      <c r="AF46" s="155"/>
      <c r="AG46" s="163"/>
      <c r="AH46" s="155"/>
      <c r="AI46" s="155"/>
      <c r="AJ46" s="155"/>
      <c r="AK46" s="173"/>
      <c r="AL46" s="162"/>
      <c r="AM46" s="37"/>
      <c r="AN46" s="173"/>
      <c r="AW46" s="162"/>
      <c r="BG46" s="162"/>
      <c r="BQ46" s="162"/>
    </row>
    <row r="47" customFormat="false" ht="12.75" hidden="false" customHeight="true" outlineLevel="0" collapsed="false">
      <c r="A47" s="156" t="n">
        <v>33756</v>
      </c>
      <c r="B47" s="73" t="n">
        <v>1992</v>
      </c>
      <c r="C47" s="157" t="s">
        <v>64</v>
      </c>
      <c r="D47" s="74" t="n">
        <v>52.09</v>
      </c>
      <c r="E47" s="159" t="n">
        <v>50.03</v>
      </c>
      <c r="F47" s="159" t="n">
        <v>47.48</v>
      </c>
      <c r="G47" s="159" t="n">
        <v>45.25</v>
      </c>
      <c r="H47" s="159" t="n">
        <v>12.66</v>
      </c>
      <c r="I47" s="159" t="n">
        <v>12.33</v>
      </c>
      <c r="J47" s="159"/>
      <c r="K47" s="159"/>
      <c r="L47" s="159"/>
      <c r="M47" s="160" t="n">
        <f aca="false">G47-F47</f>
        <v>-2.23</v>
      </c>
      <c r="N47" s="77"/>
      <c r="O47" s="77" t="n">
        <v>38.6992416973102</v>
      </c>
      <c r="P47" s="77" t="n">
        <v>60.6868737547458</v>
      </c>
      <c r="Q47" s="77" t="n">
        <v>104.83</v>
      </c>
      <c r="R47" s="162"/>
      <c r="S47" s="163"/>
      <c r="T47" s="164"/>
      <c r="U47" s="165"/>
      <c r="V47" s="155"/>
      <c r="W47" s="163"/>
      <c r="X47" s="163"/>
      <c r="Y47" s="172"/>
      <c r="Z47" s="163"/>
      <c r="AA47" s="172"/>
      <c r="AB47" s="162"/>
      <c r="AC47" s="163"/>
      <c r="AD47" s="164"/>
      <c r="AE47" s="163"/>
      <c r="AF47" s="155"/>
      <c r="AG47" s="163"/>
      <c r="AH47" s="155"/>
      <c r="AI47" s="155"/>
      <c r="AJ47" s="155"/>
      <c r="AK47" s="173"/>
      <c r="AL47" s="162"/>
      <c r="AM47" s="37"/>
      <c r="AN47" s="173"/>
      <c r="AW47" s="162"/>
      <c r="BG47" s="162"/>
      <c r="BQ47" s="162"/>
    </row>
    <row r="48" customFormat="false" ht="12.75" hidden="false" customHeight="true" outlineLevel="0" collapsed="false">
      <c r="A48" s="156" t="n">
        <v>33786</v>
      </c>
      <c r="B48" s="73" t="n">
        <v>1992</v>
      </c>
      <c r="C48" s="157" t="s">
        <v>65</v>
      </c>
      <c r="D48" s="74" t="n">
        <v>50.66</v>
      </c>
      <c r="E48" s="159" t="n">
        <v>48.55</v>
      </c>
      <c r="F48" s="159" t="n">
        <v>46.36</v>
      </c>
      <c r="G48" s="159" t="n">
        <v>44.95</v>
      </c>
      <c r="H48" s="159" t="n">
        <v>12.41</v>
      </c>
      <c r="I48" s="159" t="n">
        <v>11.98</v>
      </c>
      <c r="J48" s="159"/>
      <c r="K48" s="159"/>
      <c r="L48" s="159"/>
      <c r="M48" s="160" t="n">
        <f aca="false">G48-F48</f>
        <v>-1.41</v>
      </c>
      <c r="N48" s="77"/>
      <c r="O48" s="77" t="n">
        <v>38.5368104624841</v>
      </c>
      <c r="P48" s="77" t="n">
        <v>60.4321544525224</v>
      </c>
      <c r="Q48" s="77" t="n">
        <v>104.39</v>
      </c>
      <c r="R48" s="162"/>
      <c r="S48" s="163"/>
      <c r="T48" s="164"/>
      <c r="U48" s="165"/>
      <c r="V48" s="155"/>
      <c r="W48" s="163"/>
      <c r="X48" s="163"/>
      <c r="Y48" s="172"/>
      <c r="Z48" s="163"/>
      <c r="AA48" s="172"/>
      <c r="AB48" s="162"/>
      <c r="AC48" s="163"/>
      <c r="AD48" s="164"/>
      <c r="AE48" s="163"/>
      <c r="AF48" s="155"/>
      <c r="AG48" s="163"/>
      <c r="AH48" s="155"/>
      <c r="AI48" s="155"/>
      <c r="AJ48" s="155"/>
      <c r="AK48" s="173"/>
      <c r="AL48" s="162"/>
      <c r="AM48" s="37"/>
      <c r="AN48" s="173"/>
      <c r="AW48" s="162"/>
      <c r="BG48" s="162"/>
      <c r="BQ48" s="162"/>
    </row>
    <row r="49" customFormat="false" ht="12.75" hidden="false" customHeight="true" outlineLevel="0" collapsed="false">
      <c r="A49" s="156" t="n">
        <v>33817</v>
      </c>
      <c r="B49" s="73" t="n">
        <v>1992</v>
      </c>
      <c r="C49" s="157" t="s">
        <v>66</v>
      </c>
      <c r="D49" s="74" t="n">
        <v>49.74</v>
      </c>
      <c r="E49" s="159" t="n">
        <v>47.62</v>
      </c>
      <c r="F49" s="159" t="n">
        <v>45.44</v>
      </c>
      <c r="G49" s="159" t="n">
        <v>44.5</v>
      </c>
      <c r="H49" s="159" t="n">
        <v>12.04</v>
      </c>
      <c r="I49" s="159" t="n">
        <v>11.6</v>
      </c>
      <c r="J49" s="159"/>
      <c r="K49" s="159"/>
      <c r="L49" s="159"/>
      <c r="M49" s="160" t="n">
        <f aca="false">G49-F49</f>
        <v>-0.939999999999998</v>
      </c>
      <c r="N49" s="77"/>
      <c r="O49" s="77" t="n">
        <v>35.3767846213225</v>
      </c>
      <c r="P49" s="77" t="n">
        <v>55.4767062092654</v>
      </c>
      <c r="Q49" s="77" t="n">
        <v>95.83</v>
      </c>
      <c r="R49" s="162"/>
      <c r="S49" s="163"/>
      <c r="T49" s="164"/>
      <c r="U49" s="165"/>
      <c r="V49" s="155"/>
      <c r="W49" s="163"/>
      <c r="X49" s="163"/>
      <c r="Y49" s="172"/>
      <c r="Z49" s="163"/>
      <c r="AA49" s="172"/>
      <c r="AB49" s="162"/>
      <c r="AC49" s="163"/>
      <c r="AD49" s="164"/>
      <c r="AE49" s="163"/>
      <c r="AF49" s="155"/>
      <c r="AG49" s="163"/>
      <c r="AH49" s="155"/>
      <c r="AI49" s="155"/>
      <c r="AJ49" s="155"/>
      <c r="AK49" s="173"/>
      <c r="AL49" s="162"/>
      <c r="AM49" s="37"/>
      <c r="AN49" s="173"/>
      <c r="AW49" s="162"/>
      <c r="BG49" s="162"/>
      <c r="BQ49" s="162"/>
    </row>
    <row r="50" customFormat="false" ht="12.75" hidden="false" customHeight="true" outlineLevel="0" collapsed="false">
      <c r="A50" s="156" t="n">
        <v>33848</v>
      </c>
      <c r="B50" s="73" t="n">
        <v>1992</v>
      </c>
      <c r="C50" s="157" t="s">
        <v>67</v>
      </c>
      <c r="D50" s="74" t="n">
        <v>49.53</v>
      </c>
      <c r="E50" s="159" t="n">
        <v>47.42</v>
      </c>
      <c r="F50" s="159" t="n">
        <v>45.15</v>
      </c>
      <c r="G50" s="159" t="n">
        <v>44.27</v>
      </c>
      <c r="H50" s="159" t="n">
        <v>12.44</v>
      </c>
      <c r="I50" s="159" t="n">
        <v>12.23</v>
      </c>
      <c r="J50" s="159"/>
      <c r="K50" s="159"/>
      <c r="L50" s="159"/>
      <c r="M50" s="160" t="n">
        <f aca="false">G50-F50</f>
        <v>-0.879999999999996</v>
      </c>
      <c r="N50" s="77"/>
      <c r="O50" s="77" t="n">
        <v>35.4949164284687</v>
      </c>
      <c r="P50" s="77" t="n">
        <v>55.6619566108825</v>
      </c>
      <c r="Q50" s="77" t="n">
        <v>96.15</v>
      </c>
      <c r="R50" s="162"/>
      <c r="S50" s="163"/>
      <c r="T50" s="164"/>
      <c r="U50" s="165"/>
      <c r="V50" s="155"/>
      <c r="W50" s="163"/>
      <c r="X50" s="163"/>
      <c r="Y50" s="172"/>
      <c r="Z50" s="163"/>
      <c r="AA50" s="172"/>
      <c r="AB50" s="162"/>
      <c r="AC50" s="163"/>
      <c r="AD50" s="164"/>
      <c r="AE50" s="163"/>
      <c r="AF50" s="155"/>
      <c r="AG50" s="163"/>
      <c r="AH50" s="155"/>
      <c r="AI50" s="155"/>
      <c r="AJ50" s="155"/>
      <c r="AK50" s="173"/>
      <c r="AL50" s="162"/>
      <c r="AM50" s="37"/>
      <c r="AN50" s="173"/>
      <c r="AW50" s="162"/>
      <c r="BG50" s="162"/>
      <c r="BQ50" s="162"/>
    </row>
    <row r="51" customFormat="false" ht="12.75" hidden="false" customHeight="true" outlineLevel="0" collapsed="false">
      <c r="A51" s="156" t="n">
        <v>33878</v>
      </c>
      <c r="B51" s="73" t="n">
        <v>1992</v>
      </c>
      <c r="C51" s="157" t="s">
        <v>68</v>
      </c>
      <c r="D51" s="74" t="n">
        <v>51.35</v>
      </c>
      <c r="E51" s="159" t="n">
        <v>49.44</v>
      </c>
      <c r="F51" s="159" t="n">
        <v>47.04</v>
      </c>
      <c r="G51" s="159" t="n">
        <v>46.26</v>
      </c>
      <c r="H51" s="159" t="n">
        <v>13.75</v>
      </c>
      <c r="I51" s="159" t="n">
        <v>13.35</v>
      </c>
      <c r="J51" s="159"/>
      <c r="K51" s="159"/>
      <c r="L51" s="159"/>
      <c r="M51" s="160" t="n">
        <f aca="false">G51-F51</f>
        <v>-0.780000000000001</v>
      </c>
      <c r="N51" s="77"/>
      <c r="O51" s="77" t="n">
        <v>36.8755819244903</v>
      </c>
      <c r="P51" s="77" t="n">
        <v>57.8270706797821</v>
      </c>
      <c r="Q51" s="77" t="n">
        <v>99.89</v>
      </c>
      <c r="R51" s="162"/>
      <c r="S51" s="163"/>
      <c r="T51" s="164"/>
      <c r="U51" s="165"/>
      <c r="V51" s="155"/>
      <c r="W51" s="163"/>
      <c r="X51" s="163"/>
      <c r="Y51" s="172"/>
      <c r="Z51" s="163"/>
      <c r="AA51" s="172"/>
      <c r="AB51" s="162"/>
      <c r="AC51" s="163"/>
      <c r="AD51" s="164"/>
      <c r="AE51" s="163"/>
      <c r="AF51" s="155"/>
      <c r="AG51" s="163"/>
      <c r="AH51" s="155"/>
      <c r="AI51" s="155"/>
      <c r="AJ51" s="155"/>
      <c r="AK51" s="173"/>
      <c r="AL51" s="162"/>
      <c r="AM51" s="37"/>
      <c r="AN51" s="173"/>
      <c r="AW51" s="162"/>
      <c r="BG51" s="162"/>
      <c r="BQ51" s="162"/>
    </row>
    <row r="52" customFormat="false" ht="12.75" hidden="false" customHeight="true" outlineLevel="0" collapsed="false">
      <c r="A52" s="156" t="n">
        <v>33909</v>
      </c>
      <c r="B52" s="73" t="n">
        <v>1992</v>
      </c>
      <c r="C52" s="157" t="s">
        <v>69</v>
      </c>
      <c r="D52" s="74" t="n">
        <v>51.71</v>
      </c>
      <c r="E52" s="159" t="n">
        <v>49.97</v>
      </c>
      <c r="F52" s="159" t="n">
        <v>47.63</v>
      </c>
      <c r="G52" s="159" t="n">
        <v>47.21</v>
      </c>
      <c r="H52" s="159" t="n">
        <v>14.46</v>
      </c>
      <c r="I52" s="159" t="n">
        <v>14.09</v>
      </c>
      <c r="J52" s="159"/>
      <c r="K52" s="159"/>
      <c r="L52" s="159"/>
      <c r="M52" s="160" t="n">
        <f aca="false">G52-F52</f>
        <v>-0.420000000000002</v>
      </c>
      <c r="N52" s="77"/>
      <c r="O52" s="77" t="n">
        <v>39.8141106272527</v>
      </c>
      <c r="P52" s="77" t="n">
        <v>62.4351744200071</v>
      </c>
      <c r="Q52" s="77" t="n">
        <v>107.85</v>
      </c>
      <c r="R52" s="162"/>
      <c r="S52" s="163"/>
      <c r="T52" s="164"/>
      <c r="U52" s="165"/>
      <c r="V52" s="155"/>
      <c r="W52" s="163"/>
      <c r="X52" s="163"/>
      <c r="Y52" s="172"/>
      <c r="Z52" s="163"/>
      <c r="AA52" s="172"/>
      <c r="AB52" s="162"/>
      <c r="AC52" s="163"/>
      <c r="AD52" s="164"/>
      <c r="AE52" s="163"/>
      <c r="AF52" s="155"/>
      <c r="AG52" s="163"/>
      <c r="AH52" s="155"/>
      <c r="AI52" s="155"/>
      <c r="AJ52" s="155"/>
      <c r="AK52" s="173"/>
      <c r="AL52" s="162"/>
      <c r="AM52" s="37"/>
      <c r="AN52" s="173"/>
      <c r="AW52" s="162"/>
      <c r="BG52" s="162"/>
      <c r="BQ52" s="162"/>
    </row>
    <row r="53" customFormat="false" ht="12.75" hidden="false" customHeight="true" outlineLevel="0" collapsed="false">
      <c r="A53" s="156" t="n">
        <v>33939</v>
      </c>
      <c r="B53" s="73" t="n">
        <v>1992</v>
      </c>
      <c r="C53" s="157" t="s">
        <v>70</v>
      </c>
      <c r="D53" s="74" t="n">
        <v>51.25</v>
      </c>
      <c r="E53" s="159" t="n">
        <v>49.55</v>
      </c>
      <c r="F53" s="159" t="n">
        <v>46.95</v>
      </c>
      <c r="G53" s="159" t="n">
        <v>46.47</v>
      </c>
      <c r="H53" s="159" t="n">
        <v>13.89</v>
      </c>
      <c r="I53" s="159" t="n">
        <v>13.52</v>
      </c>
      <c r="J53" s="159"/>
      <c r="K53" s="159"/>
      <c r="L53" s="159"/>
      <c r="M53" s="160" t="n">
        <f aca="false">G53-F53</f>
        <v>-0.480000000000004</v>
      </c>
      <c r="N53" s="77"/>
      <c r="O53" s="77" t="n">
        <v>41.0655694592081</v>
      </c>
      <c r="P53" s="77" t="n">
        <v>64.397670862138</v>
      </c>
      <c r="Q53" s="77" t="n">
        <v>111.24</v>
      </c>
      <c r="R53" s="162"/>
      <c r="S53" s="163"/>
      <c r="T53" s="164"/>
      <c r="U53" s="165"/>
      <c r="V53" s="155"/>
      <c r="W53" s="163"/>
      <c r="X53" s="163"/>
      <c r="Y53" s="172"/>
      <c r="Z53" s="163"/>
      <c r="AA53" s="172"/>
      <c r="AB53" s="162"/>
      <c r="AC53" s="163"/>
      <c r="AD53" s="164"/>
      <c r="AE53" s="163"/>
      <c r="AF53" s="155"/>
      <c r="AG53" s="163"/>
      <c r="AH53" s="155"/>
      <c r="AI53" s="155"/>
      <c r="AJ53" s="155"/>
      <c r="AK53" s="173"/>
      <c r="AL53" s="162"/>
      <c r="AM53" s="37"/>
      <c r="AN53" s="173"/>
      <c r="AW53" s="162"/>
      <c r="BG53" s="162"/>
      <c r="BQ53" s="162"/>
    </row>
    <row r="54" customFormat="false" ht="12.75" hidden="false" customHeight="true" outlineLevel="0" collapsed="false">
      <c r="A54" s="156" t="n">
        <v>33970</v>
      </c>
      <c r="B54" s="73" t="n">
        <v>1993</v>
      </c>
      <c r="C54" s="157" t="s">
        <v>59</v>
      </c>
      <c r="D54" s="74" t="n">
        <v>51.27</v>
      </c>
      <c r="E54" s="159" t="n">
        <v>49.76</v>
      </c>
      <c r="F54" s="159" t="n">
        <v>47.13</v>
      </c>
      <c r="G54" s="159" t="n">
        <v>47.05</v>
      </c>
      <c r="H54" s="159" t="n">
        <v>14.1</v>
      </c>
      <c r="I54" s="159" t="n">
        <v>13.52</v>
      </c>
      <c r="J54" s="159"/>
      <c r="K54" s="159"/>
      <c r="L54" s="159"/>
      <c r="M54" s="160" t="n">
        <f aca="false">G54-F54</f>
        <v>-0.0800000000000054</v>
      </c>
      <c r="N54" s="77"/>
      <c r="O54" s="77" t="n">
        <v>38.7287746490968</v>
      </c>
      <c r="P54" s="77" t="n">
        <v>60.7331863551501</v>
      </c>
      <c r="Q54" s="77" t="n">
        <v>104.91</v>
      </c>
      <c r="R54" s="162"/>
      <c r="S54" s="163"/>
      <c r="T54" s="164"/>
      <c r="U54" s="165"/>
      <c r="V54" s="155"/>
      <c r="W54" s="163"/>
      <c r="X54" s="163"/>
      <c r="Y54" s="172"/>
      <c r="Z54" s="163"/>
      <c r="AA54" s="172"/>
      <c r="AB54" s="162"/>
      <c r="AC54" s="163"/>
      <c r="AD54" s="164"/>
      <c r="AE54" s="163"/>
      <c r="AF54" s="155"/>
      <c r="AG54" s="163"/>
      <c r="AH54" s="155"/>
      <c r="AI54" s="155"/>
      <c r="AJ54" s="155"/>
      <c r="AK54" s="173"/>
      <c r="AL54" s="162"/>
      <c r="AM54" s="37"/>
      <c r="AN54" s="173"/>
      <c r="AW54" s="162"/>
      <c r="BG54" s="162"/>
      <c r="BQ54" s="162"/>
    </row>
    <row r="55" customFormat="false" ht="12.75" hidden="false" customHeight="true" outlineLevel="0" collapsed="false">
      <c r="A55" s="156" t="n">
        <v>34001</v>
      </c>
      <c r="B55" s="73" t="n">
        <v>1993</v>
      </c>
      <c r="C55" s="157" t="s">
        <v>60</v>
      </c>
      <c r="D55" s="74" t="n">
        <v>51.96</v>
      </c>
      <c r="E55" s="159" t="n">
        <v>50.58</v>
      </c>
      <c r="F55" s="159" t="n">
        <v>47.67</v>
      </c>
      <c r="G55" s="159" t="n">
        <v>47.81</v>
      </c>
      <c r="H55" s="159" t="n">
        <v>14.41</v>
      </c>
      <c r="I55" s="159" t="n">
        <v>13.81</v>
      </c>
      <c r="J55" s="159"/>
      <c r="K55" s="159"/>
      <c r="L55" s="159"/>
      <c r="M55" s="160" t="n">
        <f aca="false">G55-F55</f>
        <v>0.140000000000001</v>
      </c>
      <c r="N55" s="77"/>
      <c r="O55" s="77" t="n">
        <v>40.3752367111973</v>
      </c>
      <c r="P55" s="77" t="n">
        <v>63.3151138276882</v>
      </c>
      <c r="Q55" s="77" t="n">
        <v>109.37</v>
      </c>
      <c r="R55" s="162"/>
      <c r="S55" s="163"/>
      <c r="T55" s="164"/>
      <c r="U55" s="165"/>
      <c r="V55" s="155"/>
      <c r="W55" s="163"/>
      <c r="X55" s="163"/>
      <c r="Y55" s="172"/>
      <c r="Z55" s="163"/>
      <c r="AA55" s="172"/>
      <c r="AB55" s="162"/>
      <c r="AC55" s="163"/>
      <c r="AD55" s="164"/>
      <c r="AE55" s="163"/>
      <c r="AF55" s="155"/>
      <c r="AG55" s="163"/>
      <c r="AH55" s="155"/>
      <c r="AI55" s="155"/>
      <c r="AJ55" s="155"/>
      <c r="AK55" s="173"/>
      <c r="AL55" s="162"/>
      <c r="AM55" s="37"/>
      <c r="AN55" s="173"/>
      <c r="AW55" s="162"/>
      <c r="BG55" s="162"/>
      <c r="BQ55" s="162"/>
    </row>
    <row r="56" customFormat="false" ht="12.75" hidden="false" customHeight="true" outlineLevel="0" collapsed="false">
      <c r="A56" s="156" t="n">
        <v>34029</v>
      </c>
      <c r="B56" s="73" t="n">
        <v>1993</v>
      </c>
      <c r="C56" s="157" t="s">
        <v>61</v>
      </c>
      <c r="D56" s="74" t="n">
        <v>52.72</v>
      </c>
      <c r="E56" s="159" t="n">
        <v>51.54</v>
      </c>
      <c r="F56" s="159" t="n">
        <v>48.44</v>
      </c>
      <c r="G56" s="159" t="n">
        <v>48.36</v>
      </c>
      <c r="H56" s="159" t="n">
        <v>14.53</v>
      </c>
      <c r="I56" s="159" t="n">
        <v>14.04</v>
      </c>
      <c r="J56" s="159"/>
      <c r="K56" s="159"/>
      <c r="L56" s="159"/>
      <c r="M56" s="160" t="n">
        <f aca="false">G56-F56</f>
        <v>-0.0799999999999983</v>
      </c>
      <c r="N56" s="77"/>
      <c r="O56" s="77" t="n">
        <v>44.1849874916632</v>
      </c>
      <c r="P56" s="77" t="n">
        <v>69.2894392798391</v>
      </c>
      <c r="Q56" s="77" t="n">
        <v>119.69</v>
      </c>
      <c r="R56" s="162"/>
      <c r="S56" s="163"/>
      <c r="T56" s="164"/>
      <c r="U56" s="165"/>
      <c r="V56" s="155"/>
      <c r="W56" s="163"/>
      <c r="X56" s="163"/>
      <c r="Y56" s="172"/>
      <c r="Z56" s="163"/>
      <c r="AA56" s="172"/>
      <c r="AB56" s="162"/>
      <c r="AC56" s="163"/>
      <c r="AD56" s="164"/>
      <c r="AE56" s="163"/>
      <c r="AF56" s="155"/>
      <c r="AG56" s="163"/>
      <c r="AH56" s="155"/>
      <c r="AI56" s="155"/>
      <c r="AJ56" s="155"/>
      <c r="AK56" s="173"/>
      <c r="AL56" s="162"/>
      <c r="AM56" s="37"/>
      <c r="AN56" s="173"/>
      <c r="AW56" s="162"/>
      <c r="BG56" s="162"/>
      <c r="BQ56" s="162"/>
    </row>
    <row r="57" customFormat="false" ht="12.75" hidden="false" customHeight="true" outlineLevel="0" collapsed="false">
      <c r="A57" s="156" t="n">
        <v>34060</v>
      </c>
      <c r="B57" s="73" t="n">
        <v>1993</v>
      </c>
      <c r="C57" s="157" t="s">
        <v>62</v>
      </c>
      <c r="D57" s="74" t="n">
        <v>54.84</v>
      </c>
      <c r="E57" s="159" t="n">
        <v>53.52</v>
      </c>
      <c r="F57" s="159" t="n">
        <v>50.06</v>
      </c>
      <c r="G57" s="159" t="n">
        <v>49.28</v>
      </c>
      <c r="H57" s="159" t="n">
        <v>14.07</v>
      </c>
      <c r="I57" s="159" t="n">
        <v>14.34</v>
      </c>
      <c r="J57" s="159"/>
      <c r="K57" s="159"/>
      <c r="L57" s="159"/>
      <c r="M57" s="160" t="n">
        <f aca="false">G57-F57</f>
        <v>-0.780000000000001</v>
      </c>
      <c r="N57" s="77"/>
      <c r="O57" s="77" t="n">
        <v>42.6271242849223</v>
      </c>
      <c r="P57" s="77" t="n">
        <v>66.8464496085138</v>
      </c>
      <c r="Q57" s="77" t="n">
        <v>115.47</v>
      </c>
      <c r="R57" s="162"/>
      <c r="S57" s="163"/>
      <c r="T57" s="164"/>
      <c r="U57" s="165"/>
      <c r="V57" s="155"/>
      <c r="W57" s="163"/>
      <c r="X57" s="163"/>
      <c r="Y57" s="172"/>
      <c r="Z57" s="163"/>
      <c r="AA57" s="172"/>
      <c r="AB57" s="162"/>
      <c r="AC57" s="163"/>
      <c r="AD57" s="164"/>
      <c r="AE57" s="163"/>
      <c r="AF57" s="155"/>
      <c r="AG57" s="163"/>
      <c r="AH57" s="155"/>
      <c r="AI57" s="155"/>
      <c r="AJ57" s="155"/>
      <c r="AK57" s="173"/>
      <c r="AL57" s="162"/>
      <c r="AM57" s="37"/>
      <c r="AN57" s="173"/>
      <c r="AW57" s="162"/>
      <c r="BG57" s="162"/>
      <c r="BQ57" s="162"/>
    </row>
    <row r="58" customFormat="false" ht="12.75" hidden="false" customHeight="true" outlineLevel="0" collapsed="false">
      <c r="A58" s="156" t="n">
        <v>34090</v>
      </c>
      <c r="B58" s="73" t="n">
        <v>1993</v>
      </c>
      <c r="C58" s="157" t="s">
        <v>63</v>
      </c>
      <c r="D58" s="74" t="n">
        <v>55.04</v>
      </c>
      <c r="E58" s="159" t="n">
        <v>53.76</v>
      </c>
      <c r="F58" s="159" t="n">
        <v>50.23</v>
      </c>
      <c r="G58" s="159" t="n">
        <v>49.38</v>
      </c>
      <c r="H58" s="159" t="n">
        <v>13.73</v>
      </c>
      <c r="I58" s="159" t="n">
        <v>13.73</v>
      </c>
      <c r="J58" s="159"/>
      <c r="K58" s="159"/>
      <c r="L58" s="159"/>
      <c r="M58" s="160" t="n">
        <f aca="false">G58-F58</f>
        <v>-0.849999999999994</v>
      </c>
      <c r="N58" s="77"/>
      <c r="O58" s="77" t="n">
        <v>39.9580837672122</v>
      </c>
      <c r="P58" s="77" t="n">
        <v>62.6609483469779</v>
      </c>
      <c r="Q58" s="77" t="n">
        <v>108.24</v>
      </c>
      <c r="R58" s="162"/>
      <c r="S58" s="163"/>
      <c r="T58" s="164"/>
      <c r="U58" s="165"/>
      <c r="V58" s="155"/>
      <c r="W58" s="163"/>
      <c r="X58" s="163"/>
      <c r="Y58" s="172"/>
      <c r="Z58" s="163"/>
      <c r="AA58" s="172"/>
      <c r="AB58" s="162"/>
      <c r="AC58" s="163"/>
      <c r="AD58" s="164"/>
      <c r="AE58" s="163"/>
      <c r="AF58" s="155"/>
      <c r="AG58" s="163"/>
      <c r="AH58" s="155"/>
      <c r="AI58" s="155"/>
      <c r="AJ58" s="155"/>
      <c r="AK58" s="173"/>
      <c r="AL58" s="162"/>
      <c r="AM58" s="37"/>
      <c r="AN58" s="173"/>
      <c r="AW58" s="162"/>
      <c r="BG58" s="162"/>
      <c r="BQ58" s="162"/>
    </row>
    <row r="59" customFormat="false" ht="12.75" hidden="false" customHeight="true" outlineLevel="0" collapsed="false">
      <c r="A59" s="156" t="n">
        <v>34121</v>
      </c>
      <c r="B59" s="73" t="n">
        <v>1993</v>
      </c>
      <c r="C59" s="157" t="s">
        <v>64</v>
      </c>
      <c r="D59" s="74" t="n">
        <v>55.64</v>
      </c>
      <c r="E59" s="159" t="n">
        <v>54.29</v>
      </c>
      <c r="F59" s="159" t="n">
        <v>50.66</v>
      </c>
      <c r="G59" s="159" t="n">
        <v>49.69</v>
      </c>
      <c r="H59" s="159" t="n">
        <v>13.33</v>
      </c>
      <c r="I59" s="159" t="n">
        <v>13.26</v>
      </c>
      <c r="J59" s="159"/>
      <c r="K59" s="159"/>
      <c r="L59" s="159"/>
      <c r="M59" s="160" t="n">
        <f aca="false">G59-F59</f>
        <v>-0.969999999999999</v>
      </c>
      <c r="N59" s="77"/>
      <c r="O59" s="77" t="n">
        <v>37.5954476242876</v>
      </c>
      <c r="P59" s="77" t="n">
        <v>58.9559403146362</v>
      </c>
      <c r="Q59" s="77" t="n">
        <v>101.84</v>
      </c>
      <c r="R59" s="162"/>
      <c r="S59" s="163"/>
      <c r="T59" s="164"/>
      <c r="U59" s="165"/>
      <c r="V59" s="155"/>
      <c r="W59" s="163"/>
      <c r="X59" s="163"/>
      <c r="Y59" s="172"/>
      <c r="Z59" s="163"/>
      <c r="AA59" s="172"/>
      <c r="AB59" s="162"/>
      <c r="AC59" s="163"/>
      <c r="AD59" s="164"/>
      <c r="AE59" s="163"/>
      <c r="AF59" s="155"/>
      <c r="AG59" s="163"/>
      <c r="AH59" s="155"/>
      <c r="AI59" s="155"/>
      <c r="AJ59" s="155"/>
      <c r="AK59" s="173"/>
      <c r="AL59" s="162"/>
      <c r="AM59" s="37"/>
      <c r="AN59" s="173"/>
      <c r="AW59" s="162"/>
      <c r="BG59" s="162"/>
      <c r="BQ59" s="162"/>
    </row>
    <row r="60" customFormat="false" ht="12.75" hidden="false" customHeight="true" outlineLevel="0" collapsed="false">
      <c r="A60" s="156" t="n">
        <v>34151</v>
      </c>
      <c r="B60" s="73" t="n">
        <v>1993</v>
      </c>
      <c r="C60" s="157" t="s">
        <v>65</v>
      </c>
      <c r="D60" s="74" t="n">
        <v>54.86</v>
      </c>
      <c r="E60" s="159" t="n">
        <v>53.69</v>
      </c>
      <c r="F60" s="159" t="n">
        <v>50.03</v>
      </c>
      <c r="G60" s="159" t="n">
        <v>49.43</v>
      </c>
      <c r="H60" s="159" t="n">
        <v>13.1</v>
      </c>
      <c r="I60" s="159" t="n">
        <v>12.88</v>
      </c>
      <c r="J60" s="159"/>
      <c r="K60" s="159"/>
      <c r="L60" s="159"/>
      <c r="M60" s="160" t="n">
        <f aca="false">G60-F60</f>
        <v>-0.600000000000001</v>
      </c>
      <c r="N60" s="77"/>
      <c r="O60" s="77" t="n">
        <v>36.8755819244903</v>
      </c>
      <c r="P60" s="77" t="n">
        <v>57.8270706797821</v>
      </c>
      <c r="Q60" s="77" t="n">
        <v>99.89</v>
      </c>
      <c r="R60" s="162"/>
      <c r="S60" s="163"/>
      <c r="T60" s="164"/>
      <c r="U60" s="165"/>
      <c r="V60" s="155"/>
      <c r="W60" s="163"/>
      <c r="X60" s="163"/>
      <c r="Y60" s="172"/>
      <c r="Z60" s="163"/>
      <c r="AA60" s="172"/>
      <c r="AB60" s="162"/>
      <c r="AC60" s="163"/>
      <c r="AD60" s="164"/>
      <c r="AE60" s="163"/>
      <c r="AF60" s="155"/>
      <c r="AG60" s="163"/>
      <c r="AH60" s="155"/>
      <c r="AI60" s="155"/>
      <c r="AJ60" s="155"/>
      <c r="AK60" s="173"/>
      <c r="AL60" s="162"/>
      <c r="AM60" s="37"/>
      <c r="AN60" s="173"/>
      <c r="AW60" s="162"/>
      <c r="BG60" s="162"/>
      <c r="BQ60" s="162"/>
    </row>
    <row r="61" customFormat="false" ht="12.75" hidden="false" customHeight="true" outlineLevel="0" collapsed="false">
      <c r="A61" s="156" t="n">
        <v>34182</v>
      </c>
      <c r="B61" s="73" t="n">
        <v>1993</v>
      </c>
      <c r="C61" s="157" t="s">
        <v>66</v>
      </c>
      <c r="D61" s="74" t="n">
        <v>54.46</v>
      </c>
      <c r="E61" s="159" t="n">
        <v>53.31</v>
      </c>
      <c r="F61" s="159" t="n">
        <v>49.66</v>
      </c>
      <c r="G61" s="159" t="n">
        <v>49.08</v>
      </c>
      <c r="H61" s="159" t="n">
        <v>12.87</v>
      </c>
      <c r="I61" s="159" t="n">
        <v>12.66</v>
      </c>
      <c r="J61" s="159"/>
      <c r="K61" s="159"/>
      <c r="L61" s="159"/>
      <c r="M61" s="160" t="n">
        <f aca="false">G61-F61</f>
        <v>-0.579999999999998</v>
      </c>
      <c r="N61" s="77"/>
      <c r="O61" s="77" t="n">
        <v>37.1524533474893</v>
      </c>
      <c r="P61" s="77" t="n">
        <v>58.2612513085722</v>
      </c>
      <c r="Q61" s="77" t="n">
        <v>100.64</v>
      </c>
      <c r="R61" s="162"/>
      <c r="S61" s="163"/>
      <c r="T61" s="164"/>
      <c r="U61" s="165"/>
      <c r="V61" s="155"/>
      <c r="W61" s="163"/>
      <c r="X61" s="163"/>
      <c r="Y61" s="172"/>
      <c r="Z61" s="163"/>
      <c r="AA61" s="172"/>
      <c r="AB61" s="162"/>
      <c r="AC61" s="163"/>
      <c r="AD61" s="164"/>
      <c r="AE61" s="163"/>
      <c r="AF61" s="155"/>
      <c r="AG61" s="163"/>
      <c r="AH61" s="155"/>
      <c r="AI61" s="155"/>
      <c r="AJ61" s="155"/>
      <c r="AK61" s="173"/>
      <c r="AL61" s="162"/>
      <c r="AM61" s="37"/>
      <c r="AN61" s="173"/>
      <c r="AW61" s="162"/>
      <c r="BG61" s="162"/>
      <c r="BQ61" s="162"/>
    </row>
    <row r="62" customFormat="false" ht="12.75" hidden="false" customHeight="true" outlineLevel="0" collapsed="false">
      <c r="A62" s="156" t="n">
        <v>34213</v>
      </c>
      <c r="B62" s="73" t="n">
        <v>1993</v>
      </c>
      <c r="C62" s="157" t="s">
        <v>67</v>
      </c>
      <c r="D62" s="74" t="n">
        <v>54.64</v>
      </c>
      <c r="E62" s="159" t="n">
        <v>53.54</v>
      </c>
      <c r="F62" s="159" t="n">
        <v>49.98</v>
      </c>
      <c r="G62" s="159" t="n">
        <v>49.38</v>
      </c>
      <c r="H62" s="159" t="n">
        <v>12.84</v>
      </c>
      <c r="I62" s="159" t="n">
        <v>12.72</v>
      </c>
      <c r="J62" s="159"/>
      <c r="K62" s="159"/>
      <c r="L62" s="159"/>
      <c r="M62" s="160" t="n">
        <f aca="false">G62-F62</f>
        <v>-0.599999999999994</v>
      </c>
      <c r="N62" s="77"/>
      <c r="O62" s="77" t="n">
        <v>35.2254282434164</v>
      </c>
      <c r="P62" s="77" t="n">
        <v>55.2393541321935</v>
      </c>
      <c r="Q62" s="77" t="n">
        <v>95.42</v>
      </c>
      <c r="R62" s="162"/>
      <c r="S62" s="163"/>
      <c r="T62" s="164"/>
      <c r="U62" s="165"/>
      <c r="V62" s="155"/>
      <c r="W62" s="163"/>
      <c r="X62" s="163"/>
      <c r="Y62" s="172"/>
      <c r="Z62" s="163"/>
      <c r="AA62" s="172"/>
      <c r="AB62" s="162"/>
      <c r="AC62" s="163"/>
      <c r="AD62" s="164"/>
      <c r="AE62" s="163"/>
      <c r="AF62" s="155"/>
      <c r="AG62" s="163"/>
      <c r="AH62" s="155"/>
      <c r="AI62" s="155"/>
      <c r="AJ62" s="155"/>
      <c r="AK62" s="173"/>
      <c r="AL62" s="162"/>
      <c r="AM62" s="37"/>
      <c r="AN62" s="173"/>
      <c r="AW62" s="162"/>
      <c r="BG62" s="162"/>
      <c r="BQ62" s="162"/>
    </row>
    <row r="63" customFormat="false" ht="12.75" hidden="false" customHeight="true" outlineLevel="0" collapsed="false">
      <c r="A63" s="156" t="n">
        <v>34243</v>
      </c>
      <c r="B63" s="73" t="n">
        <v>1993</v>
      </c>
      <c r="C63" s="157" t="s">
        <v>68</v>
      </c>
      <c r="D63" s="74" t="n">
        <v>54.09</v>
      </c>
      <c r="E63" s="159" t="n">
        <v>53.01</v>
      </c>
      <c r="F63" s="159" t="n">
        <v>49.29</v>
      </c>
      <c r="G63" s="159" t="n">
        <v>49.26</v>
      </c>
      <c r="H63" s="159" t="n">
        <v>13.64</v>
      </c>
      <c r="I63" s="159" t="n">
        <v>13.51</v>
      </c>
      <c r="J63" s="159"/>
      <c r="K63" s="159"/>
      <c r="L63" s="159"/>
      <c r="M63" s="160" t="n">
        <f aca="false">G63-F63</f>
        <v>-0.0300000000000011</v>
      </c>
      <c r="N63" s="77"/>
      <c r="O63" s="77" t="n">
        <v>36.3624468871988</v>
      </c>
      <c r="P63" s="77" t="n">
        <v>57.0223892477579</v>
      </c>
      <c r="Q63" s="77" t="n">
        <v>98.5</v>
      </c>
      <c r="R63" s="162"/>
      <c r="S63" s="163"/>
      <c r="T63" s="164"/>
      <c r="U63" s="165"/>
      <c r="V63" s="155"/>
      <c r="W63" s="163"/>
      <c r="X63" s="163"/>
      <c r="Y63" s="172"/>
      <c r="Z63" s="163"/>
      <c r="AA63" s="172"/>
      <c r="AB63" s="162"/>
      <c r="AC63" s="163"/>
      <c r="AD63" s="164"/>
      <c r="AE63" s="163"/>
      <c r="AF63" s="155"/>
      <c r="AG63" s="163"/>
      <c r="AH63" s="155"/>
      <c r="AI63" s="155"/>
      <c r="AJ63" s="155"/>
      <c r="AK63" s="173"/>
      <c r="AL63" s="162"/>
      <c r="AM63" s="37"/>
      <c r="AN63" s="173"/>
      <c r="AW63" s="162"/>
      <c r="BG63" s="162"/>
      <c r="BQ63" s="162"/>
    </row>
    <row r="64" customFormat="false" ht="12.75" hidden="false" customHeight="true" outlineLevel="0" collapsed="false">
      <c r="A64" s="156" t="n">
        <v>34274</v>
      </c>
      <c r="B64" s="73" t="n">
        <v>1993</v>
      </c>
      <c r="C64" s="157" t="s">
        <v>69</v>
      </c>
      <c r="D64" s="74" t="n">
        <v>54.15</v>
      </c>
      <c r="E64" s="159" t="n">
        <v>53.11</v>
      </c>
      <c r="F64" s="159" t="n">
        <v>49.38</v>
      </c>
      <c r="G64" s="159" t="n">
        <v>50.01</v>
      </c>
      <c r="H64" s="159" t="n">
        <v>13.68</v>
      </c>
      <c r="I64" s="159" t="n">
        <v>13.42</v>
      </c>
      <c r="J64" s="159"/>
      <c r="K64" s="159"/>
      <c r="L64" s="159"/>
      <c r="M64" s="160" t="n">
        <f aca="false">G64-F64</f>
        <v>0.629999999999996</v>
      </c>
      <c r="N64" s="77"/>
      <c r="O64" s="77" t="n">
        <v>34.620002731792</v>
      </c>
      <c r="P64" s="77" t="n">
        <v>54.289945823906</v>
      </c>
      <c r="Q64" s="77" t="n">
        <v>93.78</v>
      </c>
      <c r="R64" s="162"/>
      <c r="S64" s="163"/>
      <c r="T64" s="164"/>
      <c r="U64" s="165"/>
      <c r="V64" s="155"/>
      <c r="W64" s="163"/>
      <c r="X64" s="163"/>
      <c r="Y64" s="172"/>
      <c r="Z64" s="163"/>
      <c r="AA64" s="172"/>
      <c r="AB64" s="162"/>
      <c r="AC64" s="163"/>
      <c r="AD64" s="164"/>
      <c r="AE64" s="163"/>
      <c r="AF64" s="155"/>
      <c r="AG64" s="163"/>
      <c r="AH64" s="155"/>
      <c r="AI64" s="155"/>
      <c r="AJ64" s="155"/>
      <c r="AK64" s="173"/>
      <c r="AL64" s="162"/>
      <c r="AM64" s="37"/>
      <c r="AN64" s="173"/>
      <c r="AW64" s="162"/>
      <c r="BG64" s="162"/>
      <c r="BQ64" s="162"/>
    </row>
    <row r="65" customFormat="false" ht="12.75" hidden="false" customHeight="true" outlineLevel="0" collapsed="false">
      <c r="A65" s="156" t="n">
        <v>34304</v>
      </c>
      <c r="B65" s="73" t="n">
        <v>1993</v>
      </c>
      <c r="C65" s="157" t="s">
        <v>70</v>
      </c>
      <c r="D65" s="74" t="n">
        <v>55.78</v>
      </c>
      <c r="E65" s="159" t="n">
        <v>54.76</v>
      </c>
      <c r="F65" s="159" t="n">
        <v>50.79</v>
      </c>
      <c r="G65" s="159" t="n">
        <v>51.61</v>
      </c>
      <c r="H65" s="159" t="n">
        <v>13.35</v>
      </c>
      <c r="I65" s="159" t="n">
        <v>13.14</v>
      </c>
      <c r="J65" s="159"/>
      <c r="K65" s="159"/>
      <c r="L65" s="159"/>
      <c r="M65" s="160" t="n">
        <f aca="false">G65-F65</f>
        <v>0.82</v>
      </c>
      <c r="N65" s="77"/>
      <c r="O65" s="77" t="n">
        <v>35.3694013833758</v>
      </c>
      <c r="P65" s="77" t="n">
        <v>55.4651280591644</v>
      </c>
      <c r="Q65" s="77" t="n">
        <v>95.81</v>
      </c>
      <c r="R65" s="162"/>
      <c r="S65" s="163"/>
      <c r="T65" s="164"/>
      <c r="U65" s="165"/>
      <c r="V65" s="155"/>
      <c r="W65" s="163"/>
      <c r="X65" s="163"/>
      <c r="Y65" s="172"/>
      <c r="Z65" s="163"/>
      <c r="AA65" s="172"/>
      <c r="AB65" s="162"/>
      <c r="AC65" s="163"/>
      <c r="AD65" s="164"/>
      <c r="AE65" s="163"/>
      <c r="AF65" s="155"/>
      <c r="AG65" s="163"/>
      <c r="AH65" s="155"/>
      <c r="AI65" s="155"/>
      <c r="AJ65" s="155"/>
      <c r="AK65" s="173"/>
      <c r="AL65" s="162"/>
      <c r="AM65" s="37"/>
      <c r="AN65" s="173"/>
      <c r="AW65" s="162"/>
      <c r="BG65" s="162"/>
      <c r="BQ65" s="162"/>
    </row>
    <row r="66" customFormat="false" ht="12.75" hidden="false" customHeight="true" outlineLevel="0" collapsed="false">
      <c r="A66" s="156" t="n">
        <v>34335</v>
      </c>
      <c r="B66" s="73" t="n">
        <v>1994</v>
      </c>
      <c r="C66" s="157" t="s">
        <v>59</v>
      </c>
      <c r="D66" s="74" t="n">
        <v>55.5</v>
      </c>
      <c r="E66" s="159" t="n">
        <v>54.48</v>
      </c>
      <c r="F66" s="159" t="n">
        <v>50.83</v>
      </c>
      <c r="G66" s="159" t="n">
        <v>51.72</v>
      </c>
      <c r="H66" s="159" t="n">
        <v>12.94</v>
      </c>
      <c r="I66" s="159" t="n">
        <v>12.72</v>
      </c>
      <c r="J66" s="159"/>
      <c r="K66" s="159"/>
      <c r="L66" s="159"/>
      <c r="M66" s="160" t="n">
        <f aca="false">G66-F66</f>
        <v>0.890000000000001</v>
      </c>
      <c r="N66" s="77"/>
      <c r="O66" s="77" t="n">
        <v>31.9103544053753</v>
      </c>
      <c r="P66" s="77" t="n">
        <v>50.0407647368142</v>
      </c>
      <c r="Q66" s="77" t="n">
        <v>86.44</v>
      </c>
      <c r="R66" s="162"/>
      <c r="S66" s="163"/>
      <c r="T66" s="164"/>
      <c r="U66" s="165"/>
      <c r="V66" s="155"/>
      <c r="W66" s="163"/>
      <c r="X66" s="163"/>
      <c r="Y66" s="172"/>
      <c r="Z66" s="163"/>
      <c r="AA66" s="172"/>
      <c r="AB66" s="162"/>
      <c r="AC66" s="163"/>
      <c r="AD66" s="164"/>
      <c r="AE66" s="163"/>
      <c r="AF66" s="155"/>
      <c r="AG66" s="163"/>
      <c r="AH66" s="155"/>
      <c r="AI66" s="155"/>
      <c r="AJ66" s="155"/>
      <c r="AK66" s="173"/>
      <c r="AL66" s="162"/>
      <c r="AM66" s="37"/>
      <c r="AN66" s="173"/>
      <c r="AW66" s="162"/>
      <c r="BG66" s="162"/>
      <c r="BQ66" s="162"/>
    </row>
    <row r="67" customFormat="false" ht="12.75" hidden="false" customHeight="true" outlineLevel="0" collapsed="false">
      <c r="A67" s="156" t="n">
        <v>34366</v>
      </c>
      <c r="B67" s="73" t="n">
        <v>1994</v>
      </c>
      <c r="C67" s="157" t="s">
        <v>60</v>
      </c>
      <c r="D67" s="74" t="n">
        <v>55.91</v>
      </c>
      <c r="E67" s="159" t="n">
        <v>54.6</v>
      </c>
      <c r="F67" s="159" t="n">
        <v>50.52</v>
      </c>
      <c r="G67" s="159" t="n">
        <v>51.03</v>
      </c>
      <c r="H67" s="159" t="n">
        <v>12.87</v>
      </c>
      <c r="I67" s="159" t="n">
        <v>12.65</v>
      </c>
      <c r="J67" s="159"/>
      <c r="K67" s="159"/>
      <c r="L67" s="159"/>
      <c r="M67" s="160" t="n">
        <f aca="false">G67-F67</f>
        <v>0.509999999999998</v>
      </c>
      <c r="N67" s="77"/>
      <c r="O67" s="77" t="n">
        <v>36.1298748918797</v>
      </c>
      <c r="P67" s="77" t="n">
        <v>56.6576775195743</v>
      </c>
      <c r="Q67" s="77" t="n">
        <v>97.87</v>
      </c>
      <c r="R67" s="162"/>
      <c r="S67" s="163"/>
      <c r="T67" s="164"/>
      <c r="U67" s="165"/>
      <c r="V67" s="155"/>
      <c r="W67" s="163"/>
      <c r="X67" s="163"/>
      <c r="Y67" s="172"/>
      <c r="Z67" s="163"/>
      <c r="AA67" s="172"/>
      <c r="AB67" s="162"/>
      <c r="AC67" s="163"/>
      <c r="AD67" s="164"/>
      <c r="AE67" s="163"/>
      <c r="AF67" s="155"/>
      <c r="AG67" s="163"/>
      <c r="AH67" s="155"/>
      <c r="AI67" s="155"/>
      <c r="AJ67" s="155"/>
      <c r="AK67" s="173"/>
      <c r="AL67" s="162"/>
      <c r="AM67" s="37"/>
      <c r="AN67" s="173"/>
      <c r="AW67" s="162"/>
      <c r="BG67" s="162"/>
      <c r="BQ67" s="162"/>
    </row>
    <row r="68" customFormat="false" ht="12.75" hidden="false" customHeight="true" outlineLevel="0" collapsed="false">
      <c r="A68" s="156" t="n">
        <v>34394</v>
      </c>
      <c r="B68" s="73" t="n">
        <v>1994</v>
      </c>
      <c r="C68" s="157" t="s">
        <v>61</v>
      </c>
      <c r="D68" s="74" t="n">
        <v>55.73</v>
      </c>
      <c r="E68" s="159" t="n">
        <v>54.33</v>
      </c>
      <c r="F68" s="159" t="n">
        <v>50.35</v>
      </c>
      <c r="G68" s="159" t="n">
        <v>50.62</v>
      </c>
      <c r="H68" s="159" t="n">
        <v>12.63</v>
      </c>
      <c r="I68" s="159" t="n">
        <v>12.37</v>
      </c>
      <c r="J68" s="159"/>
      <c r="K68" s="159"/>
      <c r="L68" s="159"/>
      <c r="M68" s="160" t="n">
        <f aca="false">G68-F68</f>
        <v>0.269999999999996</v>
      </c>
      <c r="N68" s="77"/>
      <c r="O68" s="77" t="n">
        <v>31.2938540368309</v>
      </c>
      <c r="P68" s="77" t="n">
        <v>49.073989203375</v>
      </c>
      <c r="Q68" s="77" t="n">
        <v>84.77</v>
      </c>
      <c r="R68" s="162"/>
      <c r="S68" s="163"/>
      <c r="T68" s="164"/>
      <c r="U68" s="165"/>
      <c r="V68" s="155"/>
      <c r="W68" s="163"/>
      <c r="X68" s="163"/>
      <c r="Y68" s="172"/>
      <c r="Z68" s="163"/>
      <c r="AA68" s="172"/>
      <c r="AB68" s="162"/>
      <c r="AC68" s="163"/>
      <c r="AD68" s="164"/>
      <c r="AE68" s="163"/>
      <c r="AF68" s="155"/>
      <c r="AG68" s="163"/>
      <c r="AH68" s="155"/>
      <c r="AI68" s="155"/>
      <c r="AJ68" s="155"/>
      <c r="AK68" s="173"/>
      <c r="AL68" s="162"/>
      <c r="AM68" s="37"/>
      <c r="AN68" s="173"/>
      <c r="AW68" s="162"/>
      <c r="BG68" s="162"/>
      <c r="BQ68" s="162"/>
    </row>
    <row r="69" customFormat="false" ht="12.75" hidden="false" customHeight="true" outlineLevel="0" collapsed="false">
      <c r="A69" s="156" t="n">
        <v>34425</v>
      </c>
      <c r="B69" s="73" t="n">
        <v>1994</v>
      </c>
      <c r="C69" s="157" t="s">
        <v>62</v>
      </c>
      <c r="D69" s="74" t="n">
        <v>56.4</v>
      </c>
      <c r="E69" s="159" t="n">
        <v>55.18</v>
      </c>
      <c r="F69" s="159" t="n">
        <v>51.21</v>
      </c>
      <c r="G69" s="159" t="n">
        <v>51.38</v>
      </c>
      <c r="H69" s="159" t="n">
        <v>13.64</v>
      </c>
      <c r="I69" s="159" t="n">
        <v>13.63</v>
      </c>
      <c r="J69" s="159"/>
      <c r="K69" s="159"/>
      <c r="L69" s="159"/>
      <c r="M69" s="160" t="n">
        <f aca="false">G69-F69</f>
        <v>0.170000000000002</v>
      </c>
      <c r="N69" s="77"/>
      <c r="O69" s="77" t="n">
        <v>33.5420499915826</v>
      </c>
      <c r="P69" s="77" t="n">
        <v>52.5995359091501</v>
      </c>
      <c r="Q69" s="77" t="n">
        <v>90.86</v>
      </c>
      <c r="R69" s="162"/>
      <c r="S69" s="163"/>
      <c r="T69" s="164"/>
      <c r="U69" s="165"/>
      <c r="V69" s="155"/>
      <c r="W69" s="163"/>
      <c r="X69" s="163"/>
      <c r="Y69" s="172"/>
      <c r="Z69" s="163"/>
      <c r="AA69" s="172"/>
      <c r="AB69" s="162"/>
      <c r="AC69" s="163"/>
      <c r="AD69" s="164"/>
      <c r="AE69" s="163"/>
      <c r="AF69" s="155"/>
      <c r="AG69" s="163"/>
      <c r="AH69" s="155"/>
      <c r="AI69" s="155"/>
      <c r="AJ69" s="155"/>
      <c r="AK69" s="173"/>
      <c r="AL69" s="162"/>
      <c r="AM69" s="37"/>
      <c r="AN69" s="173"/>
      <c r="AW69" s="162"/>
      <c r="BG69" s="162"/>
      <c r="BQ69" s="162"/>
    </row>
    <row r="70" customFormat="false" ht="12.75" hidden="false" customHeight="true" outlineLevel="0" collapsed="false">
      <c r="A70" s="156" t="n">
        <v>34455</v>
      </c>
      <c r="B70" s="73" t="n">
        <v>1994</v>
      </c>
      <c r="C70" s="157" t="s">
        <v>63</v>
      </c>
      <c r="D70" s="74" t="n">
        <v>56.72</v>
      </c>
      <c r="E70" s="159" t="n">
        <v>55.69</v>
      </c>
      <c r="F70" s="159" t="n">
        <v>51.32</v>
      </c>
      <c r="G70" s="159" t="n">
        <v>51.51</v>
      </c>
      <c r="H70" s="159" t="n">
        <v>13.62</v>
      </c>
      <c r="I70" s="159" t="n">
        <v>13.72</v>
      </c>
      <c r="J70" s="159"/>
      <c r="K70" s="159"/>
      <c r="L70" s="159"/>
      <c r="M70" s="160" t="n">
        <f aca="false">G70-F70</f>
        <v>0.189999999999998</v>
      </c>
      <c r="N70" s="77"/>
      <c r="O70" s="77" t="n">
        <v>35.5613655699885</v>
      </c>
      <c r="P70" s="77" t="n">
        <v>55.7661599617921</v>
      </c>
      <c r="Q70" s="77" t="n">
        <v>96.33</v>
      </c>
      <c r="R70" s="162"/>
      <c r="S70" s="163"/>
      <c r="T70" s="164"/>
      <c r="U70" s="165"/>
      <c r="V70" s="155"/>
      <c r="W70" s="163"/>
      <c r="X70" s="163"/>
      <c r="Y70" s="172"/>
      <c r="Z70" s="163"/>
      <c r="AA70" s="172"/>
      <c r="AB70" s="162"/>
      <c r="AC70" s="163"/>
      <c r="AD70" s="164"/>
      <c r="AE70" s="163"/>
      <c r="AF70" s="155"/>
      <c r="AG70" s="163"/>
      <c r="AH70" s="155"/>
      <c r="AI70" s="155"/>
      <c r="AJ70" s="155"/>
      <c r="AK70" s="173"/>
      <c r="AL70" s="162"/>
      <c r="AM70" s="37"/>
      <c r="AN70" s="173"/>
      <c r="AW70" s="162"/>
      <c r="BG70" s="162"/>
      <c r="BQ70" s="162"/>
    </row>
    <row r="71" customFormat="false" ht="12.75" hidden="false" customHeight="true" outlineLevel="0" collapsed="false">
      <c r="A71" s="156" t="n">
        <v>34486</v>
      </c>
      <c r="B71" s="73" t="n">
        <v>1994</v>
      </c>
      <c r="C71" s="157" t="s">
        <v>64</v>
      </c>
      <c r="D71" s="74" t="n">
        <v>57.18</v>
      </c>
      <c r="E71" s="159" t="n">
        <v>56.26</v>
      </c>
      <c r="F71" s="159" t="n">
        <v>51.84</v>
      </c>
      <c r="G71" s="159" t="n">
        <v>51.54</v>
      </c>
      <c r="H71" s="159" t="n">
        <v>13.19</v>
      </c>
      <c r="I71" s="159" t="n">
        <v>13.3</v>
      </c>
      <c r="J71" s="159"/>
      <c r="K71" s="159"/>
      <c r="L71" s="159"/>
      <c r="M71" s="160" t="n">
        <f aca="false">G71-F71</f>
        <v>-0.300000000000004</v>
      </c>
      <c r="N71" s="77"/>
      <c r="O71" s="77" t="n">
        <v>36.3772133630921</v>
      </c>
      <c r="P71" s="77" t="n">
        <v>57.0455455479601</v>
      </c>
      <c r="Q71" s="77" t="n">
        <v>98.54</v>
      </c>
      <c r="R71" s="162"/>
      <c r="S71" s="163"/>
      <c r="T71" s="164"/>
      <c r="U71" s="165"/>
      <c r="V71" s="155"/>
      <c r="W71" s="163"/>
      <c r="X71" s="163"/>
      <c r="Y71" s="172"/>
      <c r="Z71" s="163"/>
      <c r="AA71" s="172"/>
      <c r="AB71" s="162"/>
      <c r="AC71" s="163"/>
      <c r="AD71" s="164"/>
      <c r="AE71" s="163"/>
      <c r="AF71" s="155"/>
      <c r="AG71" s="163"/>
      <c r="AH71" s="155"/>
      <c r="AI71" s="155"/>
      <c r="AJ71" s="155"/>
      <c r="AK71" s="173"/>
      <c r="AL71" s="162"/>
      <c r="AM71" s="37"/>
      <c r="AN71" s="173"/>
      <c r="AW71" s="162"/>
      <c r="BG71" s="162"/>
      <c r="BQ71" s="162"/>
    </row>
    <row r="72" customFormat="false" ht="12.75" hidden="false" customHeight="true" outlineLevel="0" collapsed="false">
      <c r="A72" s="156" t="n">
        <v>34516</v>
      </c>
      <c r="B72" s="73" t="n">
        <v>1994</v>
      </c>
      <c r="C72" s="157" t="s">
        <v>65</v>
      </c>
      <c r="D72" s="74" t="n">
        <v>56.94</v>
      </c>
      <c r="E72" s="159" t="n">
        <v>56.2</v>
      </c>
      <c r="F72" s="159" t="n">
        <v>51.42</v>
      </c>
      <c r="G72" s="159" t="n">
        <v>51.38</v>
      </c>
      <c r="H72" s="159" t="n">
        <v>13.41</v>
      </c>
      <c r="I72" s="159" t="n">
        <v>13.25</v>
      </c>
      <c r="J72" s="159"/>
      <c r="K72" s="159"/>
      <c r="L72" s="159"/>
      <c r="M72" s="160" t="n">
        <f aca="false">G72-F72</f>
        <v>-0.0399999999999992</v>
      </c>
      <c r="N72" s="77"/>
      <c r="O72" s="77" t="n">
        <v>38.0458251390326</v>
      </c>
      <c r="P72" s="77" t="n">
        <v>59.6622074708014</v>
      </c>
      <c r="Q72" s="77" t="n">
        <v>103.06</v>
      </c>
      <c r="R72" s="162"/>
      <c r="S72" s="163"/>
      <c r="T72" s="164"/>
      <c r="U72" s="165"/>
      <c r="V72" s="155"/>
      <c r="W72" s="163"/>
      <c r="X72" s="163"/>
      <c r="Y72" s="172"/>
      <c r="Z72" s="163"/>
      <c r="AA72" s="172"/>
      <c r="AB72" s="162"/>
      <c r="AC72" s="163"/>
      <c r="AD72" s="164"/>
      <c r="AE72" s="163"/>
      <c r="AF72" s="155"/>
      <c r="AG72" s="163"/>
      <c r="AH72" s="155"/>
      <c r="AI72" s="155"/>
      <c r="AJ72" s="155"/>
      <c r="AK72" s="173"/>
      <c r="AL72" s="162"/>
      <c r="AM72" s="37"/>
      <c r="AN72" s="173"/>
      <c r="AW72" s="162"/>
      <c r="BG72" s="162"/>
      <c r="BQ72" s="162"/>
    </row>
    <row r="73" customFormat="false" ht="12.75" hidden="false" customHeight="true" outlineLevel="0" collapsed="false">
      <c r="A73" s="156" t="n">
        <v>34547</v>
      </c>
      <c r="B73" s="73" t="n">
        <v>1994</v>
      </c>
      <c r="C73" s="157" t="s">
        <v>66</v>
      </c>
      <c r="D73" s="74" t="n">
        <v>58.35</v>
      </c>
      <c r="E73" s="159" t="n">
        <v>57.65</v>
      </c>
      <c r="F73" s="159" t="n">
        <v>52.95</v>
      </c>
      <c r="G73" s="159" t="n">
        <v>52.1</v>
      </c>
      <c r="H73" s="159" t="n">
        <v>13.51</v>
      </c>
      <c r="I73" s="159" t="n">
        <v>13.32</v>
      </c>
      <c r="J73" s="159"/>
      <c r="K73" s="159"/>
      <c r="L73" s="159"/>
      <c r="M73" s="160" t="n">
        <f aca="false">G73-F73</f>
        <v>-0.850000000000001</v>
      </c>
      <c r="N73" s="77"/>
      <c r="O73" s="77" t="n">
        <v>36.9124981142235</v>
      </c>
      <c r="P73" s="77" t="n">
        <v>57.8849614302875</v>
      </c>
      <c r="Q73" s="77" t="n">
        <v>99.99</v>
      </c>
      <c r="R73" s="162"/>
      <c r="S73" s="163"/>
      <c r="T73" s="164"/>
      <c r="U73" s="165"/>
      <c r="V73" s="155"/>
      <c r="W73" s="163"/>
      <c r="X73" s="163"/>
      <c r="Y73" s="172"/>
      <c r="Z73" s="163"/>
      <c r="AA73" s="172"/>
      <c r="AB73" s="162"/>
      <c r="AC73" s="163"/>
      <c r="AD73" s="164"/>
      <c r="AE73" s="163"/>
      <c r="AF73" s="155"/>
      <c r="AG73" s="163"/>
      <c r="AH73" s="155"/>
      <c r="AI73" s="155"/>
      <c r="AJ73" s="155"/>
      <c r="AK73" s="173"/>
      <c r="AL73" s="162"/>
      <c r="AM73" s="37"/>
      <c r="AN73" s="173"/>
      <c r="AW73" s="162"/>
      <c r="BG73" s="162"/>
      <c r="BQ73" s="162"/>
    </row>
    <row r="74" customFormat="false" ht="12.75" hidden="false" customHeight="true" outlineLevel="0" collapsed="false">
      <c r="A74" s="156" t="n">
        <v>34578</v>
      </c>
      <c r="B74" s="73" t="n">
        <v>1994</v>
      </c>
      <c r="C74" s="157" t="s">
        <v>67</v>
      </c>
      <c r="D74" s="74" t="n">
        <v>57.68</v>
      </c>
      <c r="E74" s="159" t="n">
        <v>57.31</v>
      </c>
      <c r="F74" s="159" t="n">
        <v>52.67</v>
      </c>
      <c r="G74" s="159" t="n">
        <v>51.88</v>
      </c>
      <c r="H74" s="159" t="n">
        <v>13.53</v>
      </c>
      <c r="I74" s="159" t="n">
        <v>13.14</v>
      </c>
      <c r="J74" s="159"/>
      <c r="K74" s="159"/>
      <c r="L74" s="159"/>
      <c r="M74" s="160" t="n">
        <f aca="false">G74-F74</f>
        <v>-0.789999999999999</v>
      </c>
      <c r="N74" s="77"/>
      <c r="O74" s="77" t="n">
        <v>34.6790686353651</v>
      </c>
      <c r="P74" s="77" t="n">
        <v>54.3825710247145</v>
      </c>
      <c r="Q74" s="77" t="n">
        <v>93.94</v>
      </c>
      <c r="R74" s="162"/>
      <c r="S74" s="163"/>
      <c r="T74" s="164"/>
      <c r="U74" s="165"/>
      <c r="V74" s="155"/>
      <c r="W74" s="163"/>
      <c r="X74" s="163"/>
      <c r="Y74" s="172"/>
      <c r="Z74" s="163"/>
      <c r="AA74" s="172"/>
      <c r="AB74" s="162"/>
      <c r="AC74" s="163"/>
      <c r="AD74" s="164"/>
      <c r="AE74" s="163"/>
      <c r="AF74" s="155"/>
      <c r="AG74" s="163"/>
      <c r="AH74" s="155"/>
      <c r="AI74" s="155"/>
      <c r="AJ74" s="155"/>
      <c r="AK74" s="173"/>
      <c r="AL74" s="162"/>
      <c r="AM74" s="37"/>
      <c r="AN74" s="173"/>
      <c r="AW74" s="162"/>
      <c r="BG74" s="162"/>
      <c r="BQ74" s="162"/>
    </row>
    <row r="75" customFormat="false" ht="12.75" hidden="false" customHeight="true" outlineLevel="0" collapsed="false">
      <c r="A75" s="156" t="n">
        <v>34608</v>
      </c>
      <c r="B75" s="73" t="n">
        <v>1994</v>
      </c>
      <c r="C75" s="157" t="s">
        <v>68</v>
      </c>
      <c r="D75" s="74" t="n">
        <v>57.35</v>
      </c>
      <c r="E75" s="159" t="n">
        <v>56.7</v>
      </c>
      <c r="F75" s="159" t="n">
        <v>51.92</v>
      </c>
      <c r="G75" s="159" t="n">
        <v>51.33</v>
      </c>
      <c r="H75" s="159" t="n">
        <v>13.63</v>
      </c>
      <c r="I75" s="159" t="n">
        <v>13.27</v>
      </c>
      <c r="J75" s="159"/>
      <c r="K75" s="159"/>
      <c r="L75" s="159"/>
      <c r="M75" s="160" t="n">
        <f aca="false">G75-F75</f>
        <v>-0.590000000000003</v>
      </c>
      <c r="N75" s="77"/>
      <c r="O75" s="77" t="n">
        <v>34.6864518733117</v>
      </c>
      <c r="P75" s="77" t="n">
        <v>54.3941491748156</v>
      </c>
      <c r="Q75" s="77" t="n">
        <v>93.96</v>
      </c>
      <c r="R75" s="162"/>
      <c r="S75" s="163"/>
      <c r="T75" s="164"/>
      <c r="U75" s="165"/>
      <c r="V75" s="155"/>
      <c r="W75" s="163"/>
      <c r="X75" s="163"/>
      <c r="Y75" s="172"/>
      <c r="Z75" s="163"/>
      <c r="AA75" s="172"/>
      <c r="AB75" s="162"/>
      <c r="AC75" s="163"/>
      <c r="AD75" s="164"/>
      <c r="AE75" s="163"/>
      <c r="AF75" s="155"/>
      <c r="AG75" s="163"/>
      <c r="AH75" s="155"/>
      <c r="AI75" s="155"/>
      <c r="AJ75" s="155"/>
      <c r="AK75" s="173"/>
      <c r="AL75" s="162"/>
      <c r="AM75" s="37"/>
      <c r="AN75" s="173"/>
      <c r="AW75" s="162"/>
      <c r="BG75" s="162"/>
      <c r="BQ75" s="162"/>
    </row>
    <row r="76" customFormat="false" ht="12.75" hidden="false" customHeight="true" outlineLevel="0" collapsed="false">
      <c r="A76" s="156" t="n">
        <v>34639</v>
      </c>
      <c r="B76" s="73" t="n">
        <v>1994</v>
      </c>
      <c r="C76" s="157" t="s">
        <v>69</v>
      </c>
      <c r="D76" s="74" t="n">
        <v>56.41</v>
      </c>
      <c r="E76" s="159" t="n">
        <v>55.78</v>
      </c>
      <c r="F76" s="159" t="n">
        <v>51.11</v>
      </c>
      <c r="G76" s="159" t="n">
        <v>50.84</v>
      </c>
      <c r="H76" s="159" t="n">
        <v>13.73</v>
      </c>
      <c r="I76" s="159" t="n">
        <v>13.71</v>
      </c>
      <c r="J76" s="159"/>
      <c r="K76" s="159"/>
      <c r="L76" s="159"/>
      <c r="M76" s="160" t="n">
        <f aca="false">G76-F76</f>
        <v>-0.269999999999996</v>
      </c>
      <c r="N76" s="77"/>
      <c r="O76" s="77" t="n">
        <v>37.0047885885565</v>
      </c>
      <c r="P76" s="77" t="n">
        <v>58.0296883065508</v>
      </c>
      <c r="Q76" s="77" t="n">
        <v>100.24</v>
      </c>
      <c r="R76" s="162"/>
      <c r="S76" s="163"/>
      <c r="T76" s="164"/>
      <c r="U76" s="165"/>
      <c r="V76" s="155"/>
      <c r="W76" s="163"/>
      <c r="X76" s="163"/>
      <c r="Y76" s="172"/>
      <c r="Z76" s="163"/>
      <c r="AA76" s="172"/>
      <c r="AB76" s="162"/>
      <c r="AC76" s="163"/>
      <c r="AD76" s="164"/>
      <c r="AE76" s="163"/>
      <c r="AF76" s="155"/>
      <c r="AG76" s="163"/>
      <c r="AH76" s="155"/>
      <c r="AI76" s="155"/>
      <c r="AJ76" s="155"/>
      <c r="AK76" s="173"/>
      <c r="AL76" s="162"/>
      <c r="AM76" s="37"/>
      <c r="AN76" s="173"/>
      <c r="AW76" s="162"/>
      <c r="BG76" s="162"/>
      <c r="BQ76" s="162"/>
    </row>
    <row r="77" customFormat="false" ht="12.75" hidden="false" customHeight="true" outlineLevel="0" collapsed="false">
      <c r="A77" s="156" t="n">
        <v>34669</v>
      </c>
      <c r="B77" s="73" t="n">
        <v>1994</v>
      </c>
      <c r="C77" s="157" t="s">
        <v>70</v>
      </c>
      <c r="D77" s="74" t="n">
        <v>58.32</v>
      </c>
      <c r="E77" s="159" t="n">
        <v>57.57</v>
      </c>
      <c r="F77" s="159" t="n">
        <v>52.79</v>
      </c>
      <c r="G77" s="159" t="n">
        <v>53.04</v>
      </c>
      <c r="H77" s="159" t="n">
        <v>13.68</v>
      </c>
      <c r="I77" s="159" t="n">
        <v>14.1</v>
      </c>
      <c r="J77" s="159"/>
      <c r="K77" s="159"/>
      <c r="L77" s="159"/>
      <c r="M77" s="160" t="n">
        <f aca="false">G77-F77</f>
        <v>0.25</v>
      </c>
      <c r="N77" s="77"/>
      <c r="O77" s="77" t="n">
        <v>35.1146796742168</v>
      </c>
      <c r="P77" s="77" t="n">
        <v>55.0656818806775</v>
      </c>
      <c r="Q77" s="77" t="n">
        <v>95.12</v>
      </c>
      <c r="R77" s="162"/>
      <c r="S77" s="163"/>
      <c r="T77" s="164"/>
      <c r="U77" s="165"/>
      <c r="V77" s="155"/>
      <c r="W77" s="163"/>
      <c r="X77" s="163"/>
      <c r="Y77" s="172"/>
      <c r="Z77" s="163"/>
      <c r="AA77" s="172"/>
      <c r="AB77" s="162"/>
      <c r="AC77" s="163"/>
      <c r="AD77" s="164"/>
      <c r="AE77" s="163"/>
      <c r="AF77" s="155"/>
      <c r="AG77" s="163"/>
      <c r="AH77" s="155"/>
      <c r="AI77" s="155"/>
      <c r="AJ77" s="155"/>
      <c r="AK77" s="173"/>
      <c r="AL77" s="162"/>
      <c r="AM77" s="37"/>
      <c r="AN77" s="173"/>
      <c r="AW77" s="162"/>
      <c r="BG77" s="162"/>
      <c r="BQ77" s="162"/>
    </row>
    <row r="78" customFormat="false" ht="12.75" hidden="false" customHeight="true" outlineLevel="0" collapsed="false">
      <c r="A78" s="156" t="n">
        <v>34700</v>
      </c>
      <c r="B78" s="73" t="n">
        <v>1995</v>
      </c>
      <c r="C78" s="157" t="s">
        <v>59</v>
      </c>
      <c r="D78" s="74" t="n">
        <v>59.11</v>
      </c>
      <c r="E78" s="159" t="n">
        <v>58</v>
      </c>
      <c r="F78" s="159" t="n">
        <v>53.44</v>
      </c>
      <c r="G78" s="159" t="n">
        <v>54.13</v>
      </c>
      <c r="H78" s="159" t="n">
        <v>13.32</v>
      </c>
      <c r="I78" s="159" t="n">
        <v>13.93</v>
      </c>
      <c r="J78" s="159"/>
      <c r="K78" s="159"/>
      <c r="L78" s="159"/>
      <c r="M78" s="160" t="n">
        <f aca="false">G78-F78</f>
        <v>0.690000000000005</v>
      </c>
      <c r="N78" s="77"/>
      <c r="O78" s="77" t="n">
        <v>35.6425811874015</v>
      </c>
      <c r="P78" s="77" t="n">
        <v>55.8935196129039</v>
      </c>
      <c r="Q78" s="77" t="n">
        <v>96.55</v>
      </c>
      <c r="R78" s="162"/>
      <c r="S78" s="163"/>
      <c r="T78" s="164"/>
      <c r="U78" s="165"/>
      <c r="V78" s="155"/>
      <c r="W78" s="163"/>
      <c r="X78" s="163"/>
      <c r="Y78" s="172"/>
      <c r="Z78" s="163"/>
      <c r="AA78" s="172"/>
      <c r="AB78" s="162"/>
      <c r="AC78" s="163"/>
      <c r="AD78" s="164"/>
      <c r="AE78" s="163"/>
      <c r="AF78" s="155"/>
      <c r="AG78" s="163"/>
      <c r="AH78" s="155"/>
      <c r="AI78" s="155"/>
      <c r="AJ78" s="155"/>
      <c r="AK78" s="173"/>
      <c r="AL78" s="162"/>
      <c r="AM78" s="37"/>
      <c r="AN78" s="173"/>
      <c r="AW78" s="162"/>
      <c r="BG78" s="162"/>
      <c r="BQ78" s="162"/>
    </row>
    <row r="79" customFormat="false" ht="12.75" hidden="false" customHeight="true" outlineLevel="0" collapsed="false">
      <c r="A79" s="156" t="n">
        <v>34731</v>
      </c>
      <c r="B79" s="73" t="n">
        <v>1995</v>
      </c>
      <c r="C79" s="157" t="s">
        <v>60</v>
      </c>
      <c r="D79" s="74" t="n">
        <v>58.6</v>
      </c>
      <c r="E79" s="159" t="n">
        <v>57.44</v>
      </c>
      <c r="F79" s="159" t="n">
        <v>52.82</v>
      </c>
      <c r="G79" s="159" t="n">
        <v>53.54</v>
      </c>
      <c r="H79" s="159" t="n">
        <v>13.6</v>
      </c>
      <c r="I79" s="159" t="n">
        <v>13.8</v>
      </c>
      <c r="J79" s="159"/>
      <c r="K79" s="159"/>
      <c r="L79" s="159"/>
      <c r="M79" s="160" t="n">
        <f aca="false">G79-F79</f>
        <v>0.719999999999999</v>
      </c>
      <c r="N79" s="77"/>
      <c r="O79" s="77" t="n">
        <v>36.9014232573035</v>
      </c>
      <c r="P79" s="77" t="n">
        <v>57.8675942051359</v>
      </c>
      <c r="Q79" s="77" t="n">
        <v>99.96</v>
      </c>
      <c r="R79" s="162"/>
      <c r="S79" s="163"/>
      <c r="T79" s="164"/>
      <c r="U79" s="165"/>
      <c r="V79" s="155"/>
      <c r="W79" s="163"/>
      <c r="X79" s="163"/>
      <c r="Y79" s="172"/>
      <c r="Z79" s="163"/>
      <c r="AA79" s="172"/>
      <c r="AB79" s="162"/>
      <c r="AC79" s="163"/>
      <c r="AD79" s="164"/>
      <c r="AE79" s="163"/>
      <c r="AF79" s="155"/>
      <c r="AG79" s="163"/>
      <c r="AH79" s="155"/>
      <c r="AI79" s="155"/>
      <c r="AJ79" s="155"/>
      <c r="AK79" s="173"/>
      <c r="AL79" s="162"/>
      <c r="AM79" s="37"/>
      <c r="AN79" s="173"/>
      <c r="AW79" s="162"/>
      <c r="BG79" s="162"/>
      <c r="BQ79" s="162"/>
    </row>
    <row r="80" customFormat="false" ht="12.75" hidden="false" customHeight="true" outlineLevel="0" collapsed="false">
      <c r="A80" s="156" t="n">
        <v>34759</v>
      </c>
      <c r="B80" s="73" t="n">
        <v>1995</v>
      </c>
      <c r="C80" s="157" t="s">
        <v>61</v>
      </c>
      <c r="D80" s="74" t="n">
        <v>58.98</v>
      </c>
      <c r="E80" s="159" t="n">
        <v>57.84</v>
      </c>
      <c r="F80" s="159" t="n">
        <v>53.2</v>
      </c>
      <c r="G80" s="159" t="n">
        <v>53.87</v>
      </c>
      <c r="H80" s="159" t="n">
        <v>13.7</v>
      </c>
      <c r="I80" s="159" t="n">
        <v>13.77</v>
      </c>
      <c r="J80" s="159"/>
      <c r="K80" s="159"/>
      <c r="L80" s="159"/>
      <c r="M80" s="160" t="n">
        <f aca="false">G80-F80</f>
        <v>0.669999999999995</v>
      </c>
      <c r="N80" s="77"/>
      <c r="O80" s="77" t="n">
        <v>36.4584289805052</v>
      </c>
      <c r="P80" s="77" t="n">
        <v>57.1729051990718</v>
      </c>
      <c r="Q80" s="77" t="n">
        <v>98.76</v>
      </c>
      <c r="R80" s="162"/>
      <c r="S80" s="163"/>
      <c r="T80" s="164"/>
      <c r="U80" s="165"/>
      <c r="V80" s="155"/>
      <c r="W80" s="163"/>
      <c r="X80" s="163"/>
      <c r="Y80" s="172"/>
      <c r="Z80" s="163"/>
      <c r="AA80" s="172"/>
      <c r="AB80" s="162"/>
      <c r="AC80" s="163"/>
      <c r="AD80" s="164"/>
      <c r="AE80" s="163"/>
      <c r="AF80" s="155"/>
      <c r="AG80" s="163"/>
      <c r="AH80" s="155"/>
      <c r="AI80" s="155"/>
      <c r="AJ80" s="155"/>
      <c r="AK80" s="173"/>
      <c r="AL80" s="162"/>
      <c r="AM80" s="37"/>
      <c r="AN80" s="173"/>
      <c r="AW80" s="162"/>
      <c r="BG80" s="162"/>
      <c r="BQ80" s="162"/>
    </row>
    <row r="81" customFormat="false" ht="12.75" hidden="false" customHeight="true" outlineLevel="0" collapsed="false">
      <c r="A81" s="156" t="n">
        <v>34790</v>
      </c>
      <c r="B81" s="73" t="n">
        <v>1995</v>
      </c>
      <c r="C81" s="157" t="s">
        <v>62</v>
      </c>
      <c r="D81" s="74" t="n">
        <v>60.09</v>
      </c>
      <c r="E81" s="159" t="n">
        <v>58.84</v>
      </c>
      <c r="F81" s="159" t="n">
        <v>54.08</v>
      </c>
      <c r="G81" s="159" t="n">
        <v>54.73</v>
      </c>
      <c r="H81" s="159" t="n">
        <v>13.89</v>
      </c>
      <c r="I81" s="159" t="n">
        <v>14.14</v>
      </c>
      <c r="J81" s="159"/>
      <c r="K81" s="159"/>
      <c r="L81" s="159"/>
      <c r="M81" s="160" t="n">
        <f aca="false">G81-F81</f>
        <v>0.649999999999999</v>
      </c>
      <c r="N81" s="77"/>
      <c r="O81" s="77" t="n">
        <v>38.5921847470839</v>
      </c>
      <c r="P81" s="77" t="n">
        <v>60.5189905782804</v>
      </c>
      <c r="Q81" s="77" t="n">
        <v>104.54</v>
      </c>
      <c r="R81" s="162"/>
      <c r="S81" s="163"/>
      <c r="T81" s="164"/>
      <c r="U81" s="165"/>
      <c r="V81" s="155"/>
      <c r="W81" s="163"/>
      <c r="X81" s="163"/>
      <c r="Y81" s="172"/>
      <c r="Z81" s="163"/>
      <c r="AA81" s="172"/>
      <c r="AB81" s="162"/>
      <c r="AC81" s="163"/>
      <c r="AD81" s="164"/>
      <c r="AE81" s="163"/>
      <c r="AF81" s="155"/>
      <c r="AG81" s="163"/>
      <c r="AH81" s="155"/>
      <c r="AI81" s="155"/>
      <c r="AJ81" s="155"/>
      <c r="AK81" s="173"/>
      <c r="AL81" s="162"/>
      <c r="AM81" s="37"/>
      <c r="AN81" s="173"/>
      <c r="AW81" s="162"/>
      <c r="BG81" s="162"/>
      <c r="BQ81" s="162"/>
    </row>
    <row r="82" customFormat="false" ht="12.75" hidden="false" customHeight="true" outlineLevel="0" collapsed="false">
      <c r="A82" s="156" t="n">
        <v>34820</v>
      </c>
      <c r="B82" s="73" t="n">
        <v>1995</v>
      </c>
      <c r="C82" s="157" t="s">
        <v>63</v>
      </c>
      <c r="D82" s="74" t="n">
        <v>60.42</v>
      </c>
      <c r="E82" s="159" t="n">
        <v>59.18</v>
      </c>
      <c r="F82" s="159" t="n">
        <v>54.61</v>
      </c>
      <c r="G82" s="159" t="n">
        <v>54.9</v>
      </c>
      <c r="H82" s="159" t="n">
        <v>13.78</v>
      </c>
      <c r="I82" s="159" t="n">
        <v>13.92</v>
      </c>
      <c r="J82" s="159"/>
      <c r="K82" s="159"/>
      <c r="L82" s="159"/>
      <c r="M82" s="160" t="n">
        <f aca="false">G82-F82</f>
        <v>0.289999999999999</v>
      </c>
      <c r="N82" s="77"/>
      <c r="O82" s="77" t="n">
        <v>39.4781733006807</v>
      </c>
      <c r="P82" s="77" t="n">
        <v>61.9083685904085</v>
      </c>
      <c r="Q82" s="77" t="n">
        <v>106.94</v>
      </c>
      <c r="R82" s="162"/>
      <c r="S82" s="163"/>
      <c r="T82" s="164"/>
      <c r="U82" s="165"/>
      <c r="V82" s="155"/>
      <c r="W82" s="163"/>
      <c r="X82" s="163"/>
      <c r="Y82" s="172"/>
      <c r="Z82" s="163"/>
      <c r="AA82" s="172"/>
      <c r="AB82" s="162"/>
      <c r="AC82" s="163"/>
      <c r="AD82" s="164"/>
      <c r="AE82" s="163"/>
      <c r="AF82" s="155"/>
      <c r="AG82" s="163"/>
      <c r="AH82" s="155"/>
      <c r="AI82" s="155"/>
      <c r="AJ82" s="155"/>
      <c r="AK82" s="173"/>
      <c r="AL82" s="162"/>
      <c r="AM82" s="37"/>
      <c r="AN82" s="173"/>
      <c r="AW82" s="162"/>
      <c r="BG82" s="162"/>
      <c r="BQ82" s="162"/>
    </row>
    <row r="83" customFormat="false" ht="12.75" hidden="false" customHeight="true" outlineLevel="0" collapsed="false">
      <c r="A83" s="156" t="n">
        <v>34851</v>
      </c>
      <c r="B83" s="73" t="n">
        <v>1995</v>
      </c>
      <c r="C83" s="157" t="s">
        <v>64</v>
      </c>
      <c r="D83" s="74" t="n">
        <v>60.37</v>
      </c>
      <c r="E83" s="159" t="n">
        <v>59.23</v>
      </c>
      <c r="F83" s="159" t="n">
        <v>54.56</v>
      </c>
      <c r="G83" s="159" t="n">
        <v>54.7</v>
      </c>
      <c r="H83" s="159" t="n">
        <v>13.3</v>
      </c>
      <c r="I83" s="159" t="n">
        <v>13.64</v>
      </c>
      <c r="J83" s="159"/>
      <c r="K83" s="159"/>
      <c r="L83" s="159"/>
      <c r="M83" s="160" t="n">
        <f aca="false">G83-F83</f>
        <v>0.140000000000001</v>
      </c>
      <c r="N83" s="77"/>
      <c r="O83" s="77" t="n">
        <v>38.0495167580059</v>
      </c>
      <c r="P83" s="77" t="n">
        <v>59.6679965458519</v>
      </c>
      <c r="Q83" s="77" t="n">
        <v>103.07</v>
      </c>
      <c r="R83" s="162"/>
      <c r="S83" s="163"/>
      <c r="T83" s="164"/>
      <c r="U83" s="165"/>
      <c r="V83" s="155"/>
      <c r="W83" s="163"/>
      <c r="X83" s="163"/>
      <c r="Y83" s="172"/>
      <c r="Z83" s="163"/>
      <c r="AA83" s="172"/>
      <c r="AB83" s="162"/>
      <c r="AC83" s="163"/>
      <c r="AD83" s="164"/>
      <c r="AE83" s="163"/>
      <c r="AF83" s="155"/>
      <c r="AG83" s="163"/>
      <c r="AH83" s="155"/>
      <c r="AI83" s="155"/>
      <c r="AJ83" s="155"/>
      <c r="AK83" s="173"/>
      <c r="AL83" s="162"/>
      <c r="AM83" s="37"/>
      <c r="AN83" s="173"/>
      <c r="AW83" s="162"/>
      <c r="BG83" s="162"/>
      <c r="BQ83" s="162"/>
    </row>
    <row r="84" customFormat="false" ht="12.75" hidden="false" customHeight="true" outlineLevel="0" collapsed="false">
      <c r="A84" s="156" t="n">
        <v>34881</v>
      </c>
      <c r="B84" s="73" t="n">
        <v>1995</v>
      </c>
      <c r="C84" s="157" t="s">
        <v>65</v>
      </c>
      <c r="D84" s="74" t="n">
        <v>60.51</v>
      </c>
      <c r="E84" s="159" t="n">
        <v>59.43</v>
      </c>
      <c r="F84" s="159" t="n">
        <v>54.5</v>
      </c>
      <c r="G84" s="159" t="n">
        <v>54.77</v>
      </c>
      <c r="H84" s="159" t="n">
        <v>13.54</v>
      </c>
      <c r="I84" s="159" t="n">
        <v>13.22</v>
      </c>
      <c r="J84" s="159"/>
      <c r="K84" s="159"/>
      <c r="L84" s="159"/>
      <c r="M84" s="160" t="n">
        <f aca="false">G84-F84</f>
        <v>0.270000000000003</v>
      </c>
      <c r="N84" s="77"/>
      <c r="O84" s="77" t="n">
        <v>34.7381345389382</v>
      </c>
      <c r="P84" s="77" t="n">
        <v>54.4751962255231</v>
      </c>
      <c r="Q84" s="77" t="n">
        <v>94.1</v>
      </c>
      <c r="R84" s="162"/>
      <c r="S84" s="163"/>
      <c r="T84" s="164"/>
      <c r="U84" s="165"/>
      <c r="V84" s="155"/>
      <c r="W84" s="163"/>
      <c r="X84" s="163"/>
      <c r="Y84" s="172"/>
      <c r="Z84" s="163"/>
      <c r="AA84" s="172"/>
      <c r="AB84" s="162"/>
      <c r="AC84" s="163"/>
      <c r="AD84" s="164"/>
      <c r="AE84" s="163"/>
      <c r="AF84" s="155"/>
      <c r="AG84" s="163"/>
      <c r="AH84" s="155"/>
      <c r="AI84" s="155"/>
      <c r="AJ84" s="155"/>
      <c r="AK84" s="173"/>
      <c r="AL84" s="162"/>
      <c r="AM84" s="37"/>
      <c r="AN84" s="173"/>
      <c r="AW84" s="162"/>
      <c r="BG84" s="162"/>
      <c r="BQ84" s="162"/>
    </row>
    <row r="85" customFormat="false" ht="12.75" hidden="false" customHeight="true" outlineLevel="0" collapsed="false">
      <c r="A85" s="156" t="n">
        <v>34912</v>
      </c>
      <c r="B85" s="73" t="n">
        <v>1995</v>
      </c>
      <c r="C85" s="157" t="s">
        <v>66</v>
      </c>
      <c r="D85" s="74" t="n">
        <v>60.14</v>
      </c>
      <c r="E85" s="159" t="n">
        <v>59.09</v>
      </c>
      <c r="F85" s="159" t="n">
        <v>54.19</v>
      </c>
      <c r="G85" s="159" t="n">
        <v>54.32</v>
      </c>
      <c r="H85" s="159" t="n">
        <v>13.82</v>
      </c>
      <c r="I85" s="159" t="n">
        <v>13.66</v>
      </c>
      <c r="J85" s="159"/>
      <c r="K85" s="159"/>
      <c r="L85" s="159"/>
      <c r="M85" s="160" t="n">
        <f aca="false">G85-F85</f>
        <v>0.130000000000003</v>
      </c>
      <c r="N85" s="77"/>
      <c r="O85" s="77" t="n">
        <v>34.9633232963107</v>
      </c>
      <c r="P85" s="77" t="n">
        <v>54.8283298036056</v>
      </c>
      <c r="Q85" s="77" t="n">
        <v>94.71</v>
      </c>
      <c r="R85" s="162"/>
      <c r="S85" s="163"/>
      <c r="T85" s="164"/>
      <c r="U85" s="165"/>
      <c r="V85" s="155"/>
      <c r="W85" s="163"/>
      <c r="X85" s="163"/>
      <c r="Y85" s="172"/>
      <c r="Z85" s="163"/>
      <c r="AA85" s="172"/>
      <c r="AB85" s="162"/>
      <c r="AC85" s="163"/>
      <c r="AD85" s="164"/>
      <c r="AE85" s="163"/>
      <c r="AF85" s="155"/>
      <c r="AG85" s="163"/>
      <c r="AH85" s="155"/>
      <c r="AI85" s="155"/>
      <c r="AJ85" s="155"/>
      <c r="AK85" s="173"/>
      <c r="AL85" s="162"/>
      <c r="AM85" s="37"/>
      <c r="AN85" s="173"/>
      <c r="AW85" s="162"/>
      <c r="BG85" s="162"/>
      <c r="BQ85" s="162"/>
    </row>
    <row r="86" customFormat="false" ht="12.75" hidden="false" customHeight="true" outlineLevel="0" collapsed="false">
      <c r="A86" s="156" t="n">
        <v>34943</v>
      </c>
      <c r="B86" s="73" t="n">
        <v>1995</v>
      </c>
      <c r="C86" s="157" t="s">
        <v>67</v>
      </c>
      <c r="D86" s="74" t="n">
        <v>59.3</v>
      </c>
      <c r="E86" s="159" t="n">
        <v>58.12</v>
      </c>
      <c r="F86" s="159" t="n">
        <v>53.38</v>
      </c>
      <c r="G86" s="159" t="n">
        <v>53.5</v>
      </c>
      <c r="H86" s="159" t="n">
        <v>14.12</v>
      </c>
      <c r="I86" s="159" t="n">
        <v>13.92</v>
      </c>
      <c r="J86" s="159"/>
      <c r="K86" s="159"/>
      <c r="L86" s="159"/>
      <c r="M86" s="160" t="n">
        <f aca="false">G86-F86</f>
        <v>0.119999999999997</v>
      </c>
      <c r="N86" s="77"/>
      <c r="O86" s="77" t="n">
        <v>36.4510457425585</v>
      </c>
      <c r="P86" s="77" t="n">
        <v>57.1613270489708</v>
      </c>
      <c r="Q86" s="77" t="n">
        <v>98.74</v>
      </c>
      <c r="R86" s="162"/>
      <c r="S86" s="163"/>
      <c r="T86" s="164"/>
      <c r="U86" s="165"/>
      <c r="V86" s="155"/>
      <c r="W86" s="163"/>
      <c r="X86" s="163"/>
      <c r="Y86" s="172"/>
      <c r="Z86" s="163"/>
      <c r="AA86" s="172"/>
      <c r="AB86" s="162"/>
      <c r="AC86" s="163"/>
      <c r="AD86" s="164"/>
      <c r="AE86" s="163"/>
      <c r="AF86" s="155"/>
      <c r="AG86" s="163"/>
      <c r="AH86" s="155"/>
      <c r="AI86" s="155"/>
      <c r="AJ86" s="155"/>
      <c r="AK86" s="173"/>
      <c r="AL86" s="162"/>
      <c r="AM86" s="37"/>
      <c r="AN86" s="173"/>
      <c r="AW86" s="162"/>
      <c r="BG86" s="162"/>
      <c r="BQ86" s="162"/>
    </row>
    <row r="87" customFormat="false" ht="12.75" hidden="false" customHeight="true" outlineLevel="0" collapsed="false">
      <c r="A87" s="156" t="n">
        <v>34973</v>
      </c>
      <c r="B87" s="73" t="n">
        <v>1995</v>
      </c>
      <c r="C87" s="157" t="s">
        <v>68</v>
      </c>
      <c r="D87" s="74" t="n">
        <v>58.81</v>
      </c>
      <c r="E87" s="159" t="n">
        <v>57.64</v>
      </c>
      <c r="F87" s="159" t="n">
        <v>52.78</v>
      </c>
      <c r="G87" s="159" t="n">
        <v>53.1</v>
      </c>
      <c r="H87" s="159" t="n">
        <v>13.91</v>
      </c>
      <c r="I87" s="159" t="n">
        <v>13.67</v>
      </c>
      <c r="J87" s="159"/>
      <c r="K87" s="159"/>
      <c r="L87" s="159"/>
      <c r="M87" s="160" t="n">
        <f aca="false">G87-F87</f>
        <v>0.32</v>
      </c>
      <c r="N87" s="77"/>
      <c r="O87" s="77" t="n">
        <v>35.5502907130685</v>
      </c>
      <c r="P87" s="77" t="n">
        <v>55.7487927366405</v>
      </c>
      <c r="Q87" s="77" t="n">
        <v>96.3</v>
      </c>
      <c r="R87" s="162"/>
      <c r="S87" s="163"/>
      <c r="T87" s="164"/>
      <c r="U87" s="165"/>
      <c r="V87" s="155"/>
      <c r="W87" s="163"/>
      <c r="X87" s="163"/>
      <c r="Y87" s="172"/>
      <c r="Z87" s="163"/>
      <c r="AA87" s="172"/>
      <c r="AB87" s="162"/>
      <c r="AC87" s="163"/>
      <c r="AD87" s="164"/>
      <c r="AE87" s="163"/>
      <c r="AF87" s="155"/>
      <c r="AG87" s="163"/>
      <c r="AH87" s="155"/>
      <c r="AI87" s="155"/>
      <c r="AJ87" s="155"/>
      <c r="AK87" s="173"/>
      <c r="AL87" s="162"/>
      <c r="AM87" s="37"/>
      <c r="AN87" s="173"/>
      <c r="AW87" s="162"/>
      <c r="BG87" s="162"/>
      <c r="BQ87" s="162"/>
    </row>
    <row r="88" customFormat="false" ht="12.75" hidden="false" customHeight="true" outlineLevel="0" collapsed="false">
      <c r="A88" s="156" t="n">
        <v>35004</v>
      </c>
      <c r="B88" s="73" t="n">
        <v>1995</v>
      </c>
      <c r="C88" s="157" t="s">
        <v>69</v>
      </c>
      <c r="D88" s="74" t="n">
        <v>58.22</v>
      </c>
      <c r="E88" s="159" t="n">
        <v>57.08</v>
      </c>
      <c r="F88" s="159" t="n">
        <v>51.97</v>
      </c>
      <c r="G88" s="159" t="n">
        <v>52.53</v>
      </c>
      <c r="H88" s="159" t="n">
        <v>13.93</v>
      </c>
      <c r="I88" s="159" t="n">
        <v>13.86</v>
      </c>
      <c r="J88" s="159"/>
      <c r="K88" s="159"/>
      <c r="L88" s="159"/>
      <c r="M88" s="160" t="n">
        <f aca="false">G88-F88</f>
        <v>0.560000000000002</v>
      </c>
      <c r="N88" s="77"/>
      <c r="O88" s="77" t="n">
        <v>36.7057674517176</v>
      </c>
      <c r="P88" s="77" t="n">
        <v>57.5607732274576</v>
      </c>
      <c r="Q88" s="77" t="n">
        <v>99.43</v>
      </c>
      <c r="R88" s="162"/>
      <c r="S88" s="163"/>
      <c r="T88" s="164"/>
      <c r="U88" s="165"/>
      <c r="V88" s="155"/>
      <c r="W88" s="163"/>
      <c r="X88" s="163"/>
      <c r="Y88" s="172"/>
      <c r="Z88" s="163"/>
      <c r="AA88" s="172"/>
      <c r="AB88" s="162"/>
      <c r="AC88" s="163"/>
      <c r="AD88" s="164"/>
      <c r="AE88" s="163"/>
      <c r="AF88" s="155"/>
      <c r="AG88" s="163"/>
      <c r="AH88" s="155"/>
      <c r="AI88" s="155"/>
      <c r="AJ88" s="155"/>
      <c r="AK88" s="173"/>
      <c r="AL88" s="162"/>
      <c r="AM88" s="37"/>
      <c r="AN88" s="173"/>
      <c r="AW88" s="162"/>
      <c r="BG88" s="162"/>
      <c r="BQ88" s="162"/>
    </row>
    <row r="89" customFormat="false" ht="12.75" hidden="false" customHeight="true" outlineLevel="0" collapsed="false">
      <c r="A89" s="156" t="n">
        <v>35034</v>
      </c>
      <c r="B89" s="73" t="n">
        <v>1995</v>
      </c>
      <c r="C89" s="157" t="s">
        <v>70</v>
      </c>
      <c r="D89" s="74" t="n">
        <v>61.83</v>
      </c>
      <c r="E89" s="159" t="n">
        <v>60.74</v>
      </c>
      <c r="F89" s="159" t="n">
        <v>55.7</v>
      </c>
      <c r="G89" s="159" t="n">
        <v>56.8</v>
      </c>
      <c r="H89" s="159" t="n">
        <v>14.69</v>
      </c>
      <c r="I89" s="159" t="n">
        <v>14.92</v>
      </c>
      <c r="J89" s="159"/>
      <c r="K89" s="159"/>
      <c r="L89" s="159"/>
      <c r="M89" s="160" t="n">
        <f aca="false">G89-F89</f>
        <v>1.09999999999999</v>
      </c>
      <c r="N89" s="77"/>
      <c r="O89" s="77" t="n">
        <v>39.4634068247874</v>
      </c>
      <c r="P89" s="77" t="n">
        <v>61.8852122902063</v>
      </c>
      <c r="Q89" s="77" t="n">
        <v>106.9</v>
      </c>
      <c r="R89" s="162"/>
      <c r="S89" s="163"/>
      <c r="T89" s="164"/>
      <c r="U89" s="165"/>
      <c r="V89" s="155"/>
      <c r="W89" s="163"/>
      <c r="X89" s="163"/>
      <c r="Y89" s="172"/>
      <c r="Z89" s="163"/>
      <c r="AA89" s="172"/>
      <c r="AB89" s="162"/>
      <c r="AC89" s="163"/>
      <c r="AD89" s="164"/>
      <c r="AE89" s="163"/>
      <c r="AF89" s="155"/>
      <c r="AG89" s="163"/>
      <c r="AH89" s="155"/>
      <c r="AI89" s="155"/>
      <c r="AJ89" s="155"/>
      <c r="AK89" s="173"/>
      <c r="AL89" s="162"/>
      <c r="AM89" s="37"/>
      <c r="AN89" s="173"/>
      <c r="AW89" s="162"/>
      <c r="BG89" s="162"/>
      <c r="BQ89" s="162"/>
    </row>
    <row r="90" customFormat="false" ht="12.75" hidden="false" customHeight="true" outlineLevel="0" collapsed="false">
      <c r="A90" s="156" t="n">
        <v>35065</v>
      </c>
      <c r="B90" s="73" t="n">
        <v>1996</v>
      </c>
      <c r="C90" s="157" t="s">
        <v>59</v>
      </c>
      <c r="D90" s="74" t="n">
        <v>61.97</v>
      </c>
      <c r="E90" s="159" t="n">
        <v>61.26</v>
      </c>
      <c r="F90" s="159" t="n">
        <v>55.93</v>
      </c>
      <c r="G90" s="159" t="n">
        <v>57.43</v>
      </c>
      <c r="H90" s="159" t="n">
        <v>15.38</v>
      </c>
      <c r="I90" s="159" t="n">
        <v>15.86</v>
      </c>
      <c r="J90" s="159"/>
      <c r="K90" s="159" t="n">
        <v>23.3424225372465</v>
      </c>
      <c r="L90" s="159"/>
      <c r="M90" s="160" t="n">
        <f aca="false">G90-F90</f>
        <v>1.5</v>
      </c>
      <c r="N90" s="77"/>
      <c r="O90" s="77" t="n">
        <v>40.9042029893562</v>
      </c>
      <c r="P90" s="77" t="n">
        <v>64.1446212892098</v>
      </c>
      <c r="Q90" s="77" t="n">
        <v>110.9</v>
      </c>
      <c r="R90" s="162"/>
      <c r="S90" s="163"/>
      <c r="T90" s="164"/>
      <c r="U90" s="165"/>
      <c r="V90" s="155"/>
      <c r="W90" s="163"/>
      <c r="X90" s="163"/>
      <c r="Y90" s="172"/>
      <c r="Z90" s="163"/>
      <c r="AA90" s="172"/>
      <c r="AB90" s="162"/>
      <c r="AC90" s="163"/>
      <c r="AD90" s="164"/>
      <c r="AE90" s="163"/>
      <c r="AF90" s="155"/>
      <c r="AG90" s="163"/>
      <c r="AH90" s="155"/>
      <c r="AI90" s="155"/>
      <c r="AJ90" s="155"/>
      <c r="AK90" s="173"/>
      <c r="AL90" s="162"/>
      <c r="AM90" s="37"/>
      <c r="AN90" s="173"/>
      <c r="AW90" s="162"/>
      <c r="BG90" s="162"/>
      <c r="BQ90" s="162"/>
    </row>
    <row r="91" customFormat="false" ht="12.75" hidden="false" customHeight="true" outlineLevel="0" collapsed="false">
      <c r="A91" s="156" t="n">
        <v>35096</v>
      </c>
      <c r="B91" s="73" t="n">
        <v>1996</v>
      </c>
      <c r="C91" s="157" t="s">
        <v>60</v>
      </c>
      <c r="D91" s="74" t="n">
        <v>59.72</v>
      </c>
      <c r="E91" s="159" t="n">
        <v>59.22</v>
      </c>
      <c r="F91" s="159" t="n">
        <v>54.45</v>
      </c>
      <c r="G91" s="159" t="n">
        <v>55.65</v>
      </c>
      <c r="H91" s="159" t="n">
        <v>15.08</v>
      </c>
      <c r="I91" s="159" t="n">
        <v>15.61</v>
      </c>
      <c r="J91" s="159"/>
      <c r="K91" s="159" t="n">
        <v>22.8894260262942</v>
      </c>
      <c r="L91" s="159"/>
      <c r="M91" s="160" t="n">
        <f aca="false">G91-F91</f>
        <v>1.2</v>
      </c>
      <c r="N91" s="77"/>
      <c r="O91" s="77" t="n">
        <v>40.0747728504622</v>
      </c>
      <c r="P91" s="77" t="n">
        <v>62.8439363165907</v>
      </c>
      <c r="Q91" s="77" t="n">
        <v>108.54</v>
      </c>
      <c r="R91" s="162"/>
      <c r="S91" s="163"/>
      <c r="T91" s="164"/>
      <c r="U91" s="165"/>
      <c r="V91" s="155"/>
      <c r="W91" s="163"/>
      <c r="X91" s="163"/>
      <c r="Y91" s="172"/>
      <c r="Z91" s="163"/>
      <c r="AA91" s="172"/>
      <c r="AB91" s="162"/>
      <c r="AC91" s="163"/>
      <c r="AD91" s="164"/>
      <c r="AE91" s="163"/>
      <c r="AF91" s="155"/>
      <c r="AG91" s="163"/>
      <c r="AH91" s="155"/>
      <c r="AI91" s="155"/>
      <c r="AJ91" s="155"/>
      <c r="AK91" s="173"/>
      <c r="AL91" s="162"/>
      <c r="AM91" s="37"/>
      <c r="AN91" s="173"/>
      <c r="AW91" s="162"/>
      <c r="BG91" s="162"/>
      <c r="BQ91" s="162"/>
    </row>
    <row r="92" customFormat="false" ht="12.75" hidden="false" customHeight="true" outlineLevel="0" collapsed="false">
      <c r="A92" s="156" t="n">
        <v>35125</v>
      </c>
      <c r="B92" s="73" t="n">
        <v>1996</v>
      </c>
      <c r="C92" s="157" t="s">
        <v>61</v>
      </c>
      <c r="D92" s="74" t="n">
        <v>59.28</v>
      </c>
      <c r="E92" s="159" t="n">
        <v>59.12</v>
      </c>
      <c r="F92" s="159" t="n">
        <v>54.2</v>
      </c>
      <c r="G92" s="159" t="n">
        <v>55.4</v>
      </c>
      <c r="H92" s="159" t="n">
        <v>16.03</v>
      </c>
      <c r="I92" s="159" t="n">
        <v>16.33</v>
      </c>
      <c r="J92" s="159"/>
      <c r="K92" s="159" t="n">
        <v>25.6077150136411</v>
      </c>
      <c r="L92" s="159"/>
      <c r="M92" s="160" t="n">
        <f aca="false">G92-F92</f>
        <v>1.2</v>
      </c>
      <c r="N92" s="77"/>
      <c r="O92" s="77" t="n">
        <v>44.6523262540048</v>
      </c>
      <c r="P92" s="77" t="n">
        <v>70.0223045047639</v>
      </c>
      <c r="Q92" s="77" t="n">
        <v>120.58</v>
      </c>
      <c r="R92" s="162"/>
      <c r="S92" s="163"/>
      <c r="T92" s="164"/>
      <c r="U92" s="165"/>
      <c r="V92" s="155"/>
      <c r="W92" s="163"/>
      <c r="X92" s="163"/>
      <c r="Y92" s="172"/>
      <c r="Z92" s="163"/>
      <c r="AA92" s="172"/>
      <c r="AB92" s="162"/>
      <c r="AC92" s="163"/>
      <c r="AD92" s="164"/>
      <c r="AE92" s="163"/>
      <c r="AF92" s="155"/>
      <c r="AG92" s="163"/>
      <c r="AH92" s="155"/>
      <c r="AI92" s="155"/>
      <c r="AJ92" s="155"/>
      <c r="AK92" s="173"/>
      <c r="AL92" s="162"/>
      <c r="AM92" s="37"/>
      <c r="AN92" s="173"/>
      <c r="AW92" s="162"/>
      <c r="BG92" s="162"/>
      <c r="BQ92" s="162"/>
    </row>
    <row r="93" customFormat="false" ht="12.75" hidden="false" customHeight="true" outlineLevel="0" collapsed="false">
      <c r="A93" s="156" t="n">
        <v>35156</v>
      </c>
      <c r="B93" s="73" t="n">
        <v>1996</v>
      </c>
      <c r="C93" s="157" t="s">
        <v>62</v>
      </c>
      <c r="D93" s="74" t="n">
        <v>60.35</v>
      </c>
      <c r="E93" s="159" t="n">
        <v>60.19</v>
      </c>
      <c r="F93" s="159" t="n">
        <v>55.24</v>
      </c>
      <c r="G93" s="159" t="n">
        <v>56.42</v>
      </c>
      <c r="H93" s="159" t="n">
        <v>16.57</v>
      </c>
      <c r="I93" s="159" t="n">
        <v>17.05</v>
      </c>
      <c r="J93" s="159"/>
      <c r="K93" s="159" t="n">
        <v>27.4150841525051</v>
      </c>
      <c r="L93" s="159"/>
      <c r="M93" s="160" t="n">
        <f aca="false">G93-F93</f>
        <v>1.18</v>
      </c>
      <c r="N93" s="77"/>
      <c r="O93" s="77" t="n">
        <v>47.9051353919703</v>
      </c>
      <c r="P93" s="77" t="n">
        <v>75.1232524522199</v>
      </c>
      <c r="Q93" s="77" t="n">
        <v>129.58</v>
      </c>
      <c r="R93" s="162"/>
      <c r="S93" s="163"/>
      <c r="T93" s="164"/>
      <c r="U93" s="165"/>
      <c r="V93" s="155"/>
      <c r="W93" s="163"/>
      <c r="X93" s="163"/>
      <c r="Y93" s="172"/>
      <c r="Z93" s="163"/>
      <c r="AA93" s="172"/>
      <c r="AB93" s="162"/>
      <c r="AC93" s="163"/>
      <c r="AD93" s="164"/>
      <c r="AE93" s="163"/>
      <c r="AF93" s="155"/>
      <c r="AG93" s="163"/>
      <c r="AH93" s="155"/>
      <c r="AI93" s="155"/>
      <c r="AJ93" s="155"/>
      <c r="AK93" s="173"/>
      <c r="AL93" s="162"/>
      <c r="AM93" s="37"/>
      <c r="AN93" s="173"/>
      <c r="AW93" s="162"/>
      <c r="BG93" s="162"/>
      <c r="BQ93" s="162"/>
    </row>
    <row r="94" customFormat="false" ht="12.75" hidden="false" customHeight="true" outlineLevel="0" collapsed="false">
      <c r="A94" s="156" t="n">
        <v>35186</v>
      </c>
      <c r="B94" s="73" t="n">
        <v>1996</v>
      </c>
      <c r="C94" s="157" t="s">
        <v>63</v>
      </c>
      <c r="D94" s="74" t="n">
        <v>60.28</v>
      </c>
      <c r="E94" s="159" t="n">
        <v>62.92</v>
      </c>
      <c r="F94" s="159" t="n">
        <v>55.13</v>
      </c>
      <c r="G94" s="159" t="n">
        <v>56.23</v>
      </c>
      <c r="H94" s="159" t="n">
        <v>15.26</v>
      </c>
      <c r="I94" s="159" t="n">
        <v>15.78</v>
      </c>
      <c r="J94" s="159"/>
      <c r="K94" s="159" t="n">
        <v>25.1603517127487</v>
      </c>
      <c r="L94" s="159"/>
      <c r="M94" s="160" t="n">
        <f aca="false">G94-F94</f>
        <v>1.09999999999999</v>
      </c>
      <c r="N94" s="77"/>
      <c r="O94" s="77" t="n">
        <v>44.164004269057</v>
      </c>
      <c r="P94" s="77" t="n">
        <v>69.2565340825942</v>
      </c>
      <c r="Q94" s="77" t="n">
        <v>119.69</v>
      </c>
      <c r="R94" s="162"/>
      <c r="S94" s="163"/>
      <c r="T94" s="164"/>
      <c r="U94" s="165"/>
      <c r="V94" s="155"/>
      <c r="W94" s="163"/>
      <c r="X94" s="163"/>
      <c r="Y94" s="172"/>
      <c r="Z94" s="163"/>
      <c r="AA94" s="172"/>
      <c r="AB94" s="162"/>
      <c r="AC94" s="163"/>
      <c r="AD94" s="164"/>
      <c r="AE94" s="163"/>
      <c r="AF94" s="155"/>
      <c r="AG94" s="163"/>
      <c r="AH94" s="155"/>
      <c r="AI94" s="155"/>
      <c r="AJ94" s="155"/>
      <c r="AK94" s="173"/>
      <c r="AL94" s="162"/>
      <c r="AM94" s="37"/>
      <c r="AN94" s="173"/>
      <c r="AW94" s="162"/>
      <c r="BG94" s="162"/>
      <c r="BQ94" s="162"/>
    </row>
    <row r="95" customFormat="false" ht="12.75" hidden="false" customHeight="true" outlineLevel="0" collapsed="false">
      <c r="A95" s="156" t="n">
        <v>35217</v>
      </c>
      <c r="B95" s="73" t="n">
        <v>1996</v>
      </c>
      <c r="C95" s="157" t="s">
        <v>64</v>
      </c>
      <c r="D95" s="74" t="n">
        <v>59.64</v>
      </c>
      <c r="E95" s="159" t="n">
        <v>62.89</v>
      </c>
      <c r="F95" s="159" t="n">
        <v>54.67</v>
      </c>
      <c r="G95" s="159" t="n">
        <v>55.6</v>
      </c>
      <c r="H95" s="159" t="n">
        <v>14.45</v>
      </c>
      <c r="I95" s="159" t="n">
        <v>15.05</v>
      </c>
      <c r="J95" s="159"/>
      <c r="K95" s="159" t="n">
        <v>23.6594025754647</v>
      </c>
      <c r="L95" s="159"/>
      <c r="M95" s="160" t="n">
        <f aca="false">G95-F95</f>
        <v>0.93</v>
      </c>
      <c r="N95" s="77"/>
      <c r="O95" s="77" t="n">
        <v>41.4618838891411</v>
      </c>
      <c r="P95" s="77" t="n">
        <v>65.0191580727827</v>
      </c>
      <c r="Q95" s="77" t="n">
        <v>112.37</v>
      </c>
      <c r="R95" s="162"/>
      <c r="S95" s="163"/>
      <c r="T95" s="164"/>
      <c r="U95" s="165"/>
      <c r="V95" s="155"/>
      <c r="W95" s="163"/>
      <c r="X95" s="163"/>
      <c r="Y95" s="172"/>
      <c r="Z95" s="163"/>
      <c r="AA95" s="172"/>
      <c r="AB95" s="162"/>
      <c r="AC95" s="163"/>
      <c r="AD95" s="164"/>
      <c r="AE95" s="163"/>
      <c r="AF95" s="155"/>
      <c r="AG95" s="163"/>
      <c r="AH95" s="155"/>
      <c r="AI95" s="155"/>
      <c r="AJ95" s="155"/>
      <c r="AK95" s="173"/>
      <c r="AL95" s="162"/>
      <c r="AM95" s="37"/>
      <c r="AN95" s="173"/>
      <c r="AW95" s="162"/>
      <c r="BG95" s="162"/>
      <c r="BQ95" s="162"/>
    </row>
    <row r="96" customFormat="false" ht="12.75" hidden="false" customHeight="true" outlineLevel="0" collapsed="false">
      <c r="A96" s="156" t="n">
        <v>35247</v>
      </c>
      <c r="B96" s="73" t="n">
        <v>1996</v>
      </c>
      <c r="C96" s="157" t="s">
        <v>65</v>
      </c>
      <c r="D96" s="74" t="n">
        <v>59.49</v>
      </c>
      <c r="E96" s="159" t="n">
        <v>62.89</v>
      </c>
      <c r="F96" s="159" t="n">
        <v>54.34</v>
      </c>
      <c r="G96" s="159" t="n">
        <v>55.22</v>
      </c>
      <c r="H96" s="159" t="n">
        <v>14.63</v>
      </c>
      <c r="I96" s="159" t="n">
        <v>15.43</v>
      </c>
      <c r="J96" s="159"/>
      <c r="K96" s="159" t="n">
        <v>24.776133052172</v>
      </c>
      <c r="L96" s="159"/>
      <c r="M96" s="160" t="n">
        <f aca="false">G96-F96</f>
        <v>0.879999999999996</v>
      </c>
      <c r="N96" s="77"/>
      <c r="O96" s="77" t="n">
        <v>43.2218760513967</v>
      </c>
      <c r="P96" s="77" t="n">
        <v>67.7791197018906</v>
      </c>
      <c r="Q96" s="77" t="n">
        <v>116.81</v>
      </c>
      <c r="R96" s="162"/>
      <c r="S96" s="163"/>
      <c r="T96" s="164"/>
      <c r="U96" s="165"/>
      <c r="V96" s="155"/>
      <c r="W96" s="163"/>
      <c r="X96" s="163"/>
      <c r="Y96" s="172"/>
      <c r="Z96" s="163"/>
      <c r="AA96" s="172"/>
      <c r="AB96" s="162"/>
      <c r="AC96" s="163"/>
      <c r="AD96" s="164"/>
      <c r="AE96" s="163"/>
      <c r="AF96" s="155"/>
      <c r="AG96" s="163"/>
      <c r="AH96" s="155"/>
      <c r="AI96" s="155"/>
      <c r="AJ96" s="155"/>
      <c r="AK96" s="173"/>
      <c r="AL96" s="162"/>
      <c r="AM96" s="37"/>
      <c r="AN96" s="173"/>
      <c r="AW96" s="162"/>
      <c r="BG96" s="162"/>
      <c r="BQ96" s="162"/>
    </row>
    <row r="97" customFormat="false" ht="12.75" hidden="false" customHeight="true" outlineLevel="0" collapsed="false">
      <c r="A97" s="156" t="n">
        <v>35278</v>
      </c>
      <c r="B97" s="73" t="n">
        <v>1996</v>
      </c>
      <c r="C97" s="157" t="s">
        <v>66</v>
      </c>
      <c r="D97" s="74" t="n">
        <v>61.51</v>
      </c>
      <c r="E97" s="159" t="n">
        <v>65.26</v>
      </c>
      <c r="F97" s="159" t="n">
        <v>56.77</v>
      </c>
      <c r="G97" s="159" t="n">
        <v>57.62</v>
      </c>
      <c r="H97" s="159" t="n">
        <v>14.93</v>
      </c>
      <c r="I97" s="159" t="n">
        <v>15.52</v>
      </c>
      <c r="J97" s="159"/>
      <c r="K97" s="159" t="n">
        <v>25.7566875047394</v>
      </c>
      <c r="L97" s="159"/>
      <c r="M97" s="160" t="n">
        <f aca="false">G97-F97</f>
        <v>0.849999999999994</v>
      </c>
      <c r="N97" s="77"/>
      <c r="O97" s="77" t="n">
        <v>45.0566489088816</v>
      </c>
      <c r="P97" s="77" t="n">
        <v>70.6563499494942</v>
      </c>
      <c r="Q97" s="77" t="n">
        <v>121.96</v>
      </c>
      <c r="R97" s="162"/>
      <c r="S97" s="163"/>
      <c r="T97" s="164"/>
      <c r="U97" s="165"/>
      <c r="V97" s="155"/>
      <c r="W97" s="163"/>
      <c r="X97" s="163"/>
      <c r="Y97" s="172"/>
      <c r="Z97" s="163"/>
      <c r="AA97" s="172"/>
      <c r="AB97" s="162"/>
      <c r="AC97" s="163"/>
      <c r="AD97" s="164"/>
      <c r="AE97" s="163"/>
      <c r="AF97" s="155"/>
      <c r="AG97" s="163"/>
      <c r="AH97" s="155"/>
      <c r="AI97" s="155"/>
      <c r="AJ97" s="155"/>
      <c r="AK97" s="173"/>
      <c r="AL97" s="162"/>
      <c r="AM97" s="37"/>
      <c r="AN97" s="173"/>
      <c r="AW97" s="162"/>
      <c r="BG97" s="162"/>
      <c r="BQ97" s="162"/>
    </row>
    <row r="98" customFormat="false" ht="12.75" hidden="false" customHeight="true" outlineLevel="0" collapsed="false">
      <c r="A98" s="156" t="n">
        <v>35309</v>
      </c>
      <c r="B98" s="73" t="n">
        <v>1996</v>
      </c>
      <c r="C98" s="157" t="s">
        <v>67</v>
      </c>
      <c r="D98" s="74" t="n">
        <v>63.04</v>
      </c>
      <c r="E98" s="159" t="n">
        <v>66.64</v>
      </c>
      <c r="F98" s="159" t="n">
        <v>58.24</v>
      </c>
      <c r="G98" s="159" t="n">
        <v>58.79</v>
      </c>
      <c r="H98" s="159" t="n">
        <v>17.05</v>
      </c>
      <c r="I98" s="159" t="n">
        <v>17.51</v>
      </c>
      <c r="J98" s="159"/>
      <c r="K98" s="159" t="n">
        <v>27.7389463145632</v>
      </c>
      <c r="L98" s="159"/>
      <c r="M98" s="160" t="n">
        <f aca="false">G98-F98</f>
        <v>0.549999999999997</v>
      </c>
      <c r="N98" s="77"/>
      <c r="O98" s="77" t="n">
        <v>48.4869418417994</v>
      </c>
      <c r="P98" s="77" t="n">
        <v>76.035622127229</v>
      </c>
      <c r="Q98" s="77" t="n">
        <v>131.07</v>
      </c>
      <c r="R98" s="162"/>
      <c r="S98" s="163"/>
      <c r="T98" s="164"/>
      <c r="U98" s="165"/>
      <c r="V98" s="155"/>
      <c r="W98" s="163"/>
      <c r="X98" s="163"/>
      <c r="Y98" s="172"/>
      <c r="Z98" s="163"/>
      <c r="AA98" s="172"/>
      <c r="AB98" s="162"/>
      <c r="AC98" s="163"/>
      <c r="AD98" s="164"/>
      <c r="AE98" s="163"/>
      <c r="AF98" s="155"/>
      <c r="AG98" s="163"/>
      <c r="AH98" s="155"/>
      <c r="AI98" s="155"/>
      <c r="AJ98" s="155"/>
      <c r="AK98" s="173"/>
      <c r="AL98" s="162"/>
      <c r="AM98" s="37"/>
      <c r="AN98" s="173"/>
      <c r="AW98" s="162"/>
      <c r="BG98" s="162"/>
      <c r="BQ98" s="162"/>
    </row>
    <row r="99" customFormat="false" ht="12.75" hidden="false" customHeight="true" outlineLevel="0" collapsed="false">
      <c r="A99" s="156" t="n">
        <v>35339</v>
      </c>
      <c r="B99" s="73" t="n">
        <v>1996</v>
      </c>
      <c r="C99" s="157" t="s">
        <v>68</v>
      </c>
      <c r="D99" s="74" t="n">
        <v>63.71</v>
      </c>
      <c r="E99" s="159" t="n">
        <v>66.78</v>
      </c>
      <c r="F99" s="159" t="n">
        <v>58.78</v>
      </c>
      <c r="G99" s="159" t="n">
        <v>60.67</v>
      </c>
      <c r="H99" s="159" t="n">
        <v>17.99</v>
      </c>
      <c r="I99" s="159" t="n">
        <v>18.71</v>
      </c>
      <c r="J99" s="159"/>
      <c r="K99" s="159" t="n">
        <v>29.4818540929015</v>
      </c>
      <c r="L99" s="159"/>
      <c r="M99" s="160" t="n">
        <f aca="false">G99-F99</f>
        <v>1.89</v>
      </c>
      <c r="N99" s="77"/>
      <c r="O99" s="77" t="n">
        <v>51.4547809685807</v>
      </c>
      <c r="P99" s="77" t="n">
        <v>80.6896895071563</v>
      </c>
      <c r="Q99" s="77" t="n">
        <v>138.84</v>
      </c>
      <c r="R99" s="162"/>
      <c r="S99" s="163"/>
      <c r="T99" s="164"/>
      <c r="U99" s="165"/>
      <c r="V99" s="155"/>
      <c r="W99" s="163"/>
      <c r="X99" s="163"/>
      <c r="Y99" s="172"/>
      <c r="Z99" s="163"/>
      <c r="AA99" s="172"/>
      <c r="AB99" s="162"/>
      <c r="AC99" s="163"/>
      <c r="AD99" s="164"/>
      <c r="AE99" s="163"/>
      <c r="AF99" s="155"/>
      <c r="AG99" s="163"/>
      <c r="AH99" s="155"/>
      <c r="AI99" s="155"/>
      <c r="AJ99" s="155"/>
      <c r="AK99" s="173"/>
      <c r="AL99" s="162"/>
      <c r="AM99" s="37"/>
      <c r="AN99" s="173"/>
      <c r="AW99" s="162"/>
      <c r="BG99" s="162"/>
      <c r="BQ99" s="162"/>
    </row>
    <row r="100" customFormat="false" ht="12.75" hidden="false" customHeight="true" outlineLevel="0" collapsed="false">
      <c r="A100" s="156" t="n">
        <v>35370</v>
      </c>
      <c r="B100" s="73" t="n">
        <v>1996</v>
      </c>
      <c r="C100" s="157" t="s">
        <v>69</v>
      </c>
      <c r="D100" s="74" t="n">
        <v>64.26</v>
      </c>
      <c r="E100" s="159" t="n">
        <v>67.34</v>
      </c>
      <c r="F100" s="159" t="n">
        <v>59.25</v>
      </c>
      <c r="G100" s="159" t="n">
        <v>60.85</v>
      </c>
      <c r="H100" s="159" t="n">
        <v>16.79</v>
      </c>
      <c r="I100" s="159" t="n">
        <v>17.62</v>
      </c>
      <c r="J100" s="159"/>
      <c r="K100" s="159" t="n">
        <v>26.7229495564889</v>
      </c>
      <c r="L100" s="159"/>
      <c r="M100" s="160" t="n">
        <f aca="false">G100-F100</f>
        <v>1.6</v>
      </c>
      <c r="N100" s="77"/>
      <c r="O100" s="77" t="n">
        <v>46.8182546812983</v>
      </c>
      <c r="P100" s="77" t="n">
        <v>73.4188419888076</v>
      </c>
      <c r="Q100" s="77" t="n">
        <v>126.89</v>
      </c>
      <c r="R100" s="162"/>
      <c r="S100" s="163"/>
      <c r="T100" s="164"/>
      <c r="U100" s="165"/>
      <c r="V100" s="155"/>
      <c r="W100" s="163"/>
      <c r="X100" s="163"/>
      <c r="Y100" s="172"/>
      <c r="Z100" s="163"/>
      <c r="AA100" s="172"/>
      <c r="AB100" s="162"/>
      <c r="AC100" s="163"/>
      <c r="AD100" s="164"/>
      <c r="AE100" s="163"/>
      <c r="AF100" s="155"/>
      <c r="AG100" s="163"/>
      <c r="AH100" s="155"/>
      <c r="AI100" s="155"/>
      <c r="AJ100" s="155"/>
      <c r="AK100" s="173"/>
      <c r="AL100" s="162"/>
      <c r="AM100" s="37"/>
      <c r="AN100" s="173"/>
      <c r="AW100" s="162"/>
      <c r="BG100" s="162"/>
      <c r="BQ100" s="162"/>
    </row>
    <row r="101" customFormat="false" ht="12.75" hidden="false" customHeight="true" outlineLevel="0" collapsed="false">
      <c r="A101" s="156" t="n">
        <v>35400</v>
      </c>
      <c r="B101" s="73" t="n">
        <v>1996</v>
      </c>
      <c r="C101" s="157" t="s">
        <v>70</v>
      </c>
      <c r="D101" s="74" t="n">
        <v>66.33</v>
      </c>
      <c r="E101" s="159" t="n">
        <v>69.58</v>
      </c>
      <c r="F101" s="159" t="n">
        <v>61.25</v>
      </c>
      <c r="G101" s="159" t="n">
        <v>62.59</v>
      </c>
      <c r="H101" s="159" t="n">
        <v>17.02</v>
      </c>
      <c r="I101" s="159" t="n">
        <v>17.88</v>
      </c>
      <c r="J101" s="159"/>
      <c r="K101" s="159" t="n">
        <v>27.9840034267689</v>
      </c>
      <c r="L101" s="159"/>
      <c r="M101" s="160" t="n">
        <f aca="false">G101-F101</f>
        <v>1.34</v>
      </c>
      <c r="N101" s="77"/>
      <c r="O101" s="77" t="n">
        <v>48.9031441869464</v>
      </c>
      <c r="P101" s="77" t="n">
        <v>76.6882969102111</v>
      </c>
      <c r="Q101" s="77" t="n">
        <v>132.26</v>
      </c>
      <c r="R101" s="162"/>
      <c r="S101" s="163"/>
      <c r="T101" s="164"/>
      <c r="U101" s="165"/>
      <c r="V101" s="155"/>
      <c r="W101" s="163"/>
      <c r="X101" s="163"/>
      <c r="Y101" s="172"/>
      <c r="Z101" s="163"/>
      <c r="AA101" s="172"/>
      <c r="AB101" s="162"/>
      <c r="AC101" s="163"/>
      <c r="AD101" s="164"/>
      <c r="AE101" s="163"/>
      <c r="AF101" s="155"/>
      <c r="AG101" s="163"/>
      <c r="AH101" s="155"/>
      <c r="AI101" s="155"/>
      <c r="AJ101" s="155"/>
      <c r="AK101" s="173"/>
      <c r="AL101" s="162"/>
      <c r="AM101" s="37"/>
      <c r="AN101" s="173"/>
      <c r="AW101" s="162"/>
      <c r="BG101" s="162"/>
      <c r="BQ101" s="162"/>
    </row>
    <row r="102" customFormat="false" ht="12.75" hidden="false" customHeight="true" outlineLevel="0" collapsed="false">
      <c r="A102" s="156" t="n">
        <v>35431</v>
      </c>
      <c r="B102" s="73" t="n">
        <v>1997</v>
      </c>
      <c r="C102" s="157" t="s">
        <v>59</v>
      </c>
      <c r="D102" s="74" t="n">
        <v>65.46</v>
      </c>
      <c r="E102" s="159" t="n">
        <v>69.24</v>
      </c>
      <c r="F102" s="159" t="n">
        <v>61.09</v>
      </c>
      <c r="G102" s="159" t="n">
        <v>62.02</v>
      </c>
      <c r="H102" s="159" t="n">
        <v>17.13</v>
      </c>
      <c r="I102" s="159" t="n">
        <v>18.14</v>
      </c>
      <c r="J102" s="159"/>
      <c r="K102" s="159" t="n">
        <v>27.6138477407232</v>
      </c>
      <c r="L102" s="159"/>
      <c r="M102" s="160" t="n">
        <f aca="false">G102-F102</f>
        <v>0.93</v>
      </c>
      <c r="N102" s="77"/>
      <c r="O102" s="77" t="n">
        <v>48.3971052940083</v>
      </c>
      <c r="P102" s="77" t="n">
        <v>75.8947434175891</v>
      </c>
      <c r="Q102" s="77" t="n">
        <v>131.34</v>
      </c>
      <c r="R102" s="162"/>
      <c r="S102" s="163"/>
      <c r="T102" s="164"/>
      <c r="U102" s="165"/>
      <c r="V102" s="155"/>
      <c r="W102" s="163"/>
      <c r="X102" s="163"/>
      <c r="Y102" s="172"/>
      <c r="Z102" s="163"/>
      <c r="AA102" s="172"/>
      <c r="AB102" s="162"/>
      <c r="AC102" s="163"/>
      <c r="AD102" s="164"/>
      <c r="AE102" s="163"/>
      <c r="AF102" s="155"/>
      <c r="AG102" s="163"/>
      <c r="AH102" s="155"/>
      <c r="AI102" s="155"/>
      <c r="AJ102" s="155"/>
      <c r="AK102" s="173"/>
      <c r="AL102" s="162"/>
      <c r="AM102" s="37"/>
      <c r="AN102" s="173"/>
      <c r="AW102" s="162"/>
      <c r="BG102" s="162"/>
      <c r="BQ102" s="162"/>
    </row>
    <row r="103" customFormat="false" ht="12.75" hidden="false" customHeight="true" outlineLevel="0" collapsed="false">
      <c r="A103" s="156" t="n">
        <v>35462</v>
      </c>
      <c r="B103" s="73" t="n">
        <v>1997</v>
      </c>
      <c r="C103" s="157" t="s">
        <v>60</v>
      </c>
      <c r="D103" s="74" t="n">
        <v>65.44</v>
      </c>
      <c r="E103" s="159" t="n">
        <v>68.95</v>
      </c>
      <c r="F103" s="159" t="n">
        <v>60.16</v>
      </c>
      <c r="G103" s="159" t="n">
        <v>61.38</v>
      </c>
      <c r="H103" s="159" t="n">
        <v>15.96</v>
      </c>
      <c r="I103" s="159" t="n">
        <v>17.01</v>
      </c>
      <c r="J103" s="159"/>
      <c r="K103" s="159" t="n">
        <v>25.6036952659606</v>
      </c>
      <c r="L103" s="159"/>
      <c r="M103" s="160" t="n">
        <f aca="false">G103-F103</f>
        <v>1.22000000000001</v>
      </c>
      <c r="N103" s="77"/>
      <c r="O103" s="77" t="n">
        <v>44.9736819208765</v>
      </c>
      <c r="P103" s="77" t="n">
        <v>70.5262438568152</v>
      </c>
      <c r="Q103" s="77" t="n">
        <v>122.15</v>
      </c>
      <c r="R103" s="162"/>
      <c r="S103" s="163"/>
      <c r="T103" s="164"/>
      <c r="U103" s="165"/>
      <c r="V103" s="155"/>
      <c r="W103" s="163"/>
      <c r="X103" s="163"/>
      <c r="Y103" s="172"/>
      <c r="Z103" s="163"/>
      <c r="AA103" s="172"/>
      <c r="AB103" s="162"/>
      <c r="AC103" s="163"/>
      <c r="AD103" s="164"/>
      <c r="AE103" s="163"/>
      <c r="AF103" s="155"/>
      <c r="AG103" s="163"/>
      <c r="AH103" s="155"/>
      <c r="AI103" s="155"/>
      <c r="AJ103" s="155"/>
      <c r="AK103" s="173"/>
      <c r="AL103" s="162"/>
      <c r="AM103" s="37"/>
      <c r="AN103" s="173"/>
      <c r="AW103" s="162"/>
      <c r="BG103" s="162"/>
      <c r="BQ103" s="162"/>
    </row>
    <row r="104" customFormat="false" ht="12.75" hidden="false" customHeight="true" outlineLevel="0" collapsed="false">
      <c r="A104" s="156" t="n">
        <v>35490</v>
      </c>
      <c r="B104" s="73" t="n">
        <v>1997</v>
      </c>
      <c r="C104" s="157" t="s">
        <v>61</v>
      </c>
      <c r="D104" s="74" t="n">
        <v>64.24</v>
      </c>
      <c r="E104" s="159" t="n">
        <v>68.17</v>
      </c>
      <c r="F104" s="159" t="n">
        <v>58.97</v>
      </c>
      <c r="G104" s="159" t="n">
        <v>60.33</v>
      </c>
      <c r="H104" s="159" t="n">
        <v>14.62</v>
      </c>
      <c r="I104" s="159" t="n">
        <v>15.4</v>
      </c>
      <c r="J104" s="159"/>
      <c r="K104" s="159" t="n">
        <v>23.2755494236903</v>
      </c>
      <c r="L104" s="159"/>
      <c r="M104" s="160" t="n">
        <f aca="false">G104-F104</f>
        <v>1.36</v>
      </c>
      <c r="N104" s="77"/>
      <c r="O104" s="77" t="n">
        <v>40.9111234526475</v>
      </c>
      <c r="P104" s="77" t="n">
        <v>64.1554737313679</v>
      </c>
      <c r="Q104" s="77" t="n">
        <v>111.17</v>
      </c>
      <c r="R104" s="162"/>
      <c r="S104" s="163"/>
      <c r="T104" s="164"/>
      <c r="U104" s="165"/>
      <c r="V104" s="155"/>
      <c r="W104" s="163"/>
      <c r="X104" s="163"/>
      <c r="Y104" s="172"/>
      <c r="Z104" s="163"/>
      <c r="AA104" s="172"/>
      <c r="AB104" s="162"/>
      <c r="AC104" s="163"/>
      <c r="AD104" s="164"/>
      <c r="AE104" s="163"/>
      <c r="AF104" s="155"/>
      <c r="AG104" s="163"/>
      <c r="AH104" s="155"/>
      <c r="AI104" s="155"/>
      <c r="AJ104" s="155"/>
      <c r="AK104" s="173"/>
      <c r="AL104" s="162"/>
      <c r="AM104" s="37"/>
      <c r="AN104" s="173"/>
      <c r="AW104" s="162"/>
      <c r="BG104" s="162"/>
      <c r="BQ104" s="162"/>
    </row>
    <row r="105" customFormat="false" ht="12.75" hidden="false" customHeight="true" outlineLevel="0" collapsed="false">
      <c r="A105" s="156" t="n">
        <v>35521</v>
      </c>
      <c r="B105" s="73" t="n">
        <v>1997</v>
      </c>
      <c r="C105" s="157" t="s">
        <v>62</v>
      </c>
      <c r="D105" s="74" t="n">
        <v>64.59</v>
      </c>
      <c r="E105" s="159" t="n">
        <v>68.65</v>
      </c>
      <c r="F105" s="159" t="n">
        <v>59.24</v>
      </c>
      <c r="G105" s="159" t="n">
        <v>60.22</v>
      </c>
      <c r="H105" s="159" t="n">
        <v>14.21</v>
      </c>
      <c r="I105" s="159" t="n">
        <v>15.18</v>
      </c>
      <c r="J105" s="159"/>
      <c r="K105" s="159" t="n">
        <v>20.9185404305911</v>
      </c>
      <c r="L105" s="159"/>
      <c r="M105" s="160" t="n">
        <f aca="false">G105-F105</f>
        <v>0.979999999999997</v>
      </c>
      <c r="N105" s="77"/>
      <c r="O105" s="77" t="n">
        <v>36.6376658693724</v>
      </c>
      <c r="P105" s="77" t="n">
        <v>57.4539785733761</v>
      </c>
      <c r="Q105" s="77" t="n">
        <v>99.27</v>
      </c>
      <c r="R105" s="162"/>
      <c r="S105" s="163"/>
      <c r="T105" s="164"/>
      <c r="U105" s="165"/>
      <c r="V105" s="155"/>
      <c r="W105" s="163"/>
      <c r="X105" s="163"/>
      <c r="Y105" s="172"/>
      <c r="Z105" s="163"/>
      <c r="AA105" s="172"/>
      <c r="AB105" s="162"/>
      <c r="AC105" s="163"/>
      <c r="AD105" s="164"/>
      <c r="AE105" s="163"/>
      <c r="AF105" s="155"/>
      <c r="AG105" s="163"/>
      <c r="AH105" s="155"/>
      <c r="AI105" s="155"/>
      <c r="AJ105" s="155"/>
      <c r="AK105" s="173"/>
      <c r="AL105" s="162"/>
      <c r="AM105" s="37"/>
      <c r="AN105" s="173"/>
      <c r="AW105" s="162"/>
      <c r="BG105" s="162"/>
      <c r="BQ105" s="162"/>
    </row>
    <row r="106" customFormat="false" ht="12.75" hidden="false" customHeight="true" outlineLevel="0" collapsed="false">
      <c r="A106" s="156" t="n">
        <v>35551</v>
      </c>
      <c r="B106" s="73" t="n">
        <v>1997</v>
      </c>
      <c r="C106" s="157" t="s">
        <v>63</v>
      </c>
      <c r="D106" s="74" t="n">
        <v>64.91</v>
      </c>
      <c r="E106" s="159" t="n">
        <v>68.98</v>
      </c>
      <c r="F106" s="159" t="n">
        <v>59.41</v>
      </c>
      <c r="G106" s="159" t="n">
        <v>60.3</v>
      </c>
      <c r="H106" s="159" t="n">
        <v>13.94</v>
      </c>
      <c r="I106" s="159" t="n">
        <v>15.44</v>
      </c>
      <c r="J106" s="159"/>
      <c r="K106" s="159" t="n">
        <v>22.2461864139243</v>
      </c>
      <c r="L106" s="159"/>
      <c r="M106" s="160" t="n">
        <f aca="false">G106-F106</f>
        <v>0.890000000000001</v>
      </c>
      <c r="N106" s="77"/>
      <c r="O106" s="77" t="n">
        <v>38.7474935212538</v>
      </c>
      <c r="P106" s="77" t="n">
        <v>60.762540672744</v>
      </c>
      <c r="Q106" s="77" t="n">
        <v>104.81</v>
      </c>
      <c r="R106" s="162"/>
      <c r="S106" s="163"/>
      <c r="T106" s="164"/>
      <c r="U106" s="165"/>
      <c r="V106" s="155"/>
      <c r="W106" s="163"/>
      <c r="X106" s="163"/>
      <c r="Y106" s="172"/>
      <c r="Z106" s="163"/>
      <c r="AA106" s="172"/>
      <c r="AB106" s="162"/>
      <c r="AC106" s="163"/>
      <c r="AD106" s="164"/>
      <c r="AE106" s="163"/>
      <c r="AF106" s="155"/>
      <c r="AG106" s="163"/>
      <c r="AH106" s="155"/>
      <c r="AI106" s="155"/>
      <c r="AJ106" s="155"/>
      <c r="AK106" s="173"/>
      <c r="AL106" s="162"/>
      <c r="AM106" s="37"/>
      <c r="AN106" s="173"/>
      <c r="AW106" s="162"/>
      <c r="BG106" s="162"/>
      <c r="BQ106" s="162"/>
    </row>
    <row r="107" customFormat="false" ht="12.75" hidden="false" customHeight="true" outlineLevel="0" collapsed="false">
      <c r="A107" s="156" t="n">
        <v>35582</v>
      </c>
      <c r="B107" s="73" t="n">
        <v>1997</v>
      </c>
      <c r="C107" s="157" t="s">
        <v>64</v>
      </c>
      <c r="D107" s="74" t="n">
        <v>65.39</v>
      </c>
      <c r="E107" s="159" t="n">
        <v>69.37</v>
      </c>
      <c r="F107" s="159" t="n">
        <v>59.86</v>
      </c>
      <c r="G107" s="159" t="n">
        <v>60.6</v>
      </c>
      <c r="H107" s="159" t="n">
        <v>13.77</v>
      </c>
      <c r="I107" s="159" t="n">
        <v>14.88</v>
      </c>
      <c r="J107" s="159"/>
      <c r="K107" s="159" t="n">
        <v>21.1510014154791</v>
      </c>
      <c r="L107" s="159"/>
      <c r="M107" s="160" t="n">
        <f aca="false">G107-F107</f>
        <v>0.740000000000002</v>
      </c>
      <c r="N107" s="77"/>
      <c r="O107" s="77" t="n">
        <v>37.100603518353</v>
      </c>
      <c r="P107" s="77" t="n">
        <v>58.1799421175651</v>
      </c>
      <c r="Q107" s="77" t="n">
        <v>100.34</v>
      </c>
      <c r="R107" s="162"/>
      <c r="S107" s="163"/>
      <c r="T107" s="164"/>
      <c r="U107" s="165"/>
      <c r="V107" s="155"/>
      <c r="W107" s="163"/>
      <c r="X107" s="163"/>
      <c r="Y107" s="172"/>
      <c r="Z107" s="163"/>
      <c r="AA107" s="172"/>
      <c r="AB107" s="162"/>
      <c r="AC107" s="163"/>
      <c r="AD107" s="164"/>
      <c r="AE107" s="163"/>
      <c r="AF107" s="155"/>
      <c r="AG107" s="163"/>
      <c r="AH107" s="155"/>
      <c r="AI107" s="155"/>
      <c r="AJ107" s="155"/>
      <c r="AK107" s="173"/>
      <c r="AL107" s="162"/>
      <c r="AM107" s="37"/>
      <c r="AN107" s="173"/>
      <c r="AW107" s="162"/>
      <c r="BG107" s="162"/>
      <c r="BQ107" s="162"/>
    </row>
    <row r="108" customFormat="false" ht="12.75" hidden="false" customHeight="true" outlineLevel="0" collapsed="false">
      <c r="A108" s="156" t="n">
        <v>35612</v>
      </c>
      <c r="B108" s="73" t="n">
        <v>1997</v>
      </c>
      <c r="C108" s="157" t="s">
        <v>65</v>
      </c>
      <c r="D108" s="74" t="n">
        <v>68.2</v>
      </c>
      <c r="E108" s="159" t="n">
        <v>72.68</v>
      </c>
      <c r="F108" s="159" t="n">
        <v>62.69</v>
      </c>
      <c r="G108" s="159" t="n">
        <v>63.44</v>
      </c>
      <c r="H108" s="159" t="n">
        <v>13.25</v>
      </c>
      <c r="I108" s="159" t="n">
        <v>14.61</v>
      </c>
      <c r="J108" s="159"/>
      <c r="K108" s="159" t="n">
        <v>21.346592702234</v>
      </c>
      <c r="L108" s="159"/>
      <c r="M108" s="160" t="n">
        <f aca="false">G108-F108</f>
        <v>0.75</v>
      </c>
      <c r="N108" s="77"/>
      <c r="O108" s="77" t="n">
        <v>37.2943345491406</v>
      </c>
      <c r="P108" s="77" t="n">
        <v>58.4837447269222</v>
      </c>
      <c r="Q108" s="77" t="n">
        <v>100.95</v>
      </c>
      <c r="R108" s="162"/>
      <c r="S108" s="163"/>
      <c r="T108" s="164"/>
      <c r="U108" s="165"/>
      <c r="V108" s="155"/>
      <c r="W108" s="163"/>
      <c r="X108" s="163"/>
      <c r="Y108" s="172"/>
      <c r="Z108" s="163"/>
      <c r="AA108" s="172"/>
      <c r="AB108" s="162"/>
      <c r="AC108" s="163"/>
      <c r="AD108" s="164"/>
      <c r="AE108" s="163"/>
      <c r="AF108" s="155"/>
      <c r="AG108" s="163"/>
      <c r="AH108" s="155"/>
      <c r="AI108" s="155"/>
      <c r="AJ108" s="155"/>
      <c r="AK108" s="173"/>
      <c r="AL108" s="162"/>
      <c r="AM108" s="37"/>
      <c r="AN108" s="173"/>
      <c r="AW108" s="162"/>
      <c r="BG108" s="162"/>
      <c r="BQ108" s="162"/>
    </row>
    <row r="109" customFormat="false" ht="12.75" hidden="false" customHeight="true" outlineLevel="0" collapsed="false">
      <c r="A109" s="156" t="n">
        <v>35643</v>
      </c>
      <c r="B109" s="73" t="n">
        <v>1997</v>
      </c>
      <c r="C109" s="157" t="s">
        <v>66</v>
      </c>
      <c r="D109" s="74" t="n">
        <v>69.51</v>
      </c>
      <c r="E109" s="159" t="n">
        <v>73.58</v>
      </c>
      <c r="F109" s="159" t="n">
        <v>64.07</v>
      </c>
      <c r="G109" s="159" t="n">
        <v>64.48</v>
      </c>
      <c r="H109" s="159" t="n">
        <v>13.86</v>
      </c>
      <c r="I109" s="159" t="n">
        <v>15.2</v>
      </c>
      <c r="J109" s="159"/>
      <c r="K109" s="159" t="n">
        <v>22.4475495207424</v>
      </c>
      <c r="L109" s="159"/>
      <c r="M109" s="160" t="n">
        <f aca="false">G109-F109</f>
        <v>0.410000000000011</v>
      </c>
      <c r="N109" s="77"/>
      <c r="O109" s="77" t="n">
        <v>39.3006527330776</v>
      </c>
      <c r="P109" s="77" t="n">
        <v>61.6299866944722</v>
      </c>
      <c r="Q109" s="77" t="n">
        <v>106.45</v>
      </c>
      <c r="R109" s="162"/>
      <c r="S109" s="163"/>
      <c r="T109" s="164"/>
      <c r="U109" s="165"/>
      <c r="V109" s="155"/>
      <c r="W109" s="163"/>
      <c r="X109" s="163"/>
      <c r="Y109" s="172"/>
      <c r="Z109" s="163"/>
      <c r="AA109" s="172"/>
      <c r="AB109" s="162"/>
      <c r="AC109" s="163"/>
      <c r="AD109" s="164"/>
      <c r="AE109" s="163"/>
      <c r="AF109" s="155"/>
      <c r="AG109" s="163"/>
      <c r="AH109" s="155"/>
      <c r="AI109" s="155"/>
      <c r="AJ109" s="155"/>
      <c r="AK109" s="173"/>
      <c r="AL109" s="162"/>
      <c r="AM109" s="37"/>
      <c r="AN109" s="173"/>
      <c r="AW109" s="162"/>
      <c r="BG109" s="162"/>
      <c r="BQ109" s="162"/>
    </row>
    <row r="110" customFormat="false" ht="12.75" hidden="false" customHeight="true" outlineLevel="0" collapsed="false">
      <c r="A110" s="156" t="n">
        <v>35674</v>
      </c>
      <c r="B110" s="73" t="n">
        <v>1997</v>
      </c>
      <c r="C110" s="157" t="s">
        <v>67</v>
      </c>
      <c r="D110" s="74" t="n">
        <v>70.28</v>
      </c>
      <c r="E110" s="159" t="n">
        <v>74.23</v>
      </c>
      <c r="F110" s="159" t="n">
        <v>64.72</v>
      </c>
      <c r="G110" s="159" t="n">
        <v>64.76</v>
      </c>
      <c r="H110" s="159" t="n">
        <v>13.48</v>
      </c>
      <c r="I110" s="159" t="n">
        <v>14.69</v>
      </c>
      <c r="J110" s="159"/>
      <c r="K110" s="159" t="n">
        <v>22.3908559802834</v>
      </c>
      <c r="L110" s="159"/>
      <c r="M110" s="160" t="n">
        <f aca="false">G110-F110</f>
        <v>0.0400000000000063</v>
      </c>
      <c r="N110" s="77"/>
      <c r="O110" s="77" t="n">
        <v>39.1403981029942</v>
      </c>
      <c r="P110" s="77" t="n">
        <v>61.378680671978</v>
      </c>
      <c r="Q110" s="77" t="n">
        <v>105.92</v>
      </c>
      <c r="R110" s="162"/>
      <c r="S110" s="163"/>
      <c r="T110" s="164"/>
      <c r="U110" s="165"/>
      <c r="V110" s="155"/>
      <c r="W110" s="163"/>
      <c r="X110" s="163"/>
      <c r="Y110" s="172"/>
      <c r="Z110" s="163"/>
      <c r="AA110" s="172"/>
      <c r="AB110" s="162"/>
      <c r="AC110" s="163"/>
      <c r="AD110" s="164"/>
      <c r="AE110" s="163"/>
      <c r="AF110" s="155"/>
      <c r="AG110" s="163"/>
      <c r="AH110" s="155"/>
      <c r="AI110" s="155"/>
      <c r="AJ110" s="155"/>
      <c r="AK110" s="173"/>
      <c r="AL110" s="162"/>
      <c r="AM110" s="37"/>
      <c r="AN110" s="173"/>
      <c r="AW110" s="162"/>
      <c r="BG110" s="162"/>
      <c r="BQ110" s="162"/>
    </row>
    <row r="111" customFormat="false" ht="12.75" hidden="false" customHeight="true" outlineLevel="0" collapsed="false">
      <c r="A111" s="156" t="n">
        <v>35704</v>
      </c>
      <c r="B111" s="73" t="n">
        <v>1997</v>
      </c>
      <c r="C111" s="157" t="s">
        <v>68</v>
      </c>
      <c r="D111" s="74" t="n">
        <v>69.75</v>
      </c>
      <c r="E111" s="159" t="n">
        <v>73.71</v>
      </c>
      <c r="F111" s="159" t="n">
        <v>64.21</v>
      </c>
      <c r="G111" s="159" t="n">
        <v>64.31</v>
      </c>
      <c r="H111" s="159" t="n">
        <v>14.27</v>
      </c>
      <c r="I111" s="159" t="n">
        <v>15.1</v>
      </c>
      <c r="J111" s="159"/>
      <c r="K111" s="159" t="n">
        <v>23.3362718105229</v>
      </c>
      <c r="L111" s="159"/>
      <c r="M111" s="160" t="n">
        <f aca="false">G111-F111</f>
        <v>0.100000000000009</v>
      </c>
      <c r="N111" s="77"/>
      <c r="O111" s="77" t="n">
        <v>40.863768370185</v>
      </c>
      <c r="P111" s="77" t="n">
        <v>64.0812130537679</v>
      </c>
      <c r="Q111" s="77" t="n">
        <v>110.7</v>
      </c>
      <c r="R111" s="162"/>
      <c r="S111" s="163"/>
      <c r="T111" s="164"/>
      <c r="U111" s="165"/>
      <c r="V111" s="155"/>
      <c r="W111" s="163"/>
      <c r="X111" s="163"/>
      <c r="Y111" s="172"/>
      <c r="Z111" s="163"/>
      <c r="AA111" s="172"/>
      <c r="AB111" s="162"/>
      <c r="AC111" s="163"/>
      <c r="AD111" s="164"/>
      <c r="AE111" s="163"/>
      <c r="AF111" s="155"/>
      <c r="AG111" s="163"/>
      <c r="AH111" s="155"/>
      <c r="AI111" s="155"/>
      <c r="AJ111" s="155"/>
      <c r="AK111" s="173"/>
      <c r="AL111" s="162"/>
      <c r="AM111" s="37"/>
      <c r="AN111" s="173"/>
      <c r="AW111" s="162"/>
      <c r="BG111" s="162"/>
      <c r="BQ111" s="162"/>
    </row>
    <row r="112" customFormat="false" ht="12.75" hidden="false" customHeight="true" outlineLevel="0" collapsed="false">
      <c r="A112" s="156" t="n">
        <v>35735</v>
      </c>
      <c r="B112" s="73" t="n">
        <v>1997</v>
      </c>
      <c r="C112" s="157" t="s">
        <v>69</v>
      </c>
      <c r="D112" s="74" t="n">
        <v>69.55</v>
      </c>
      <c r="E112" s="159" t="n">
        <v>74.02</v>
      </c>
      <c r="F112" s="159" t="n">
        <v>63.89</v>
      </c>
      <c r="G112" s="159" t="n">
        <v>64.06</v>
      </c>
      <c r="H112" s="159" t="n">
        <v>14.18</v>
      </c>
      <c r="I112" s="159" t="n">
        <v>15.28</v>
      </c>
      <c r="J112" s="159"/>
      <c r="K112" s="159" t="n">
        <v>22.018993265405</v>
      </c>
      <c r="L112" s="159"/>
      <c r="M112" s="160" t="n">
        <f aca="false">G112-F112</f>
        <v>0.170000000000002</v>
      </c>
      <c r="N112" s="77"/>
      <c r="O112" s="77" t="n">
        <v>38.5991050853351</v>
      </c>
      <c r="P112" s="77" t="n">
        <v>60.5298428243547</v>
      </c>
      <c r="Q112" s="77" t="n">
        <v>104.66</v>
      </c>
      <c r="R112" s="162"/>
      <c r="S112" s="163"/>
      <c r="T112" s="164"/>
      <c r="U112" s="165"/>
      <c r="V112" s="155"/>
      <c r="W112" s="163"/>
      <c r="X112" s="163"/>
      <c r="Y112" s="172"/>
      <c r="Z112" s="163"/>
      <c r="AA112" s="172"/>
      <c r="AB112" s="162"/>
      <c r="AC112" s="163"/>
      <c r="AD112" s="164"/>
      <c r="AE112" s="163"/>
      <c r="AF112" s="155"/>
      <c r="AG112" s="163"/>
      <c r="AH112" s="155"/>
      <c r="AI112" s="155"/>
      <c r="AJ112" s="155"/>
      <c r="AK112" s="173"/>
      <c r="AL112" s="162"/>
      <c r="AM112" s="37"/>
      <c r="AN112" s="173"/>
      <c r="AW112" s="162"/>
      <c r="BG112" s="162"/>
      <c r="BQ112" s="162"/>
    </row>
    <row r="113" customFormat="false" ht="12.75" hidden="false" customHeight="true" outlineLevel="0" collapsed="false">
      <c r="A113" s="156" t="n">
        <v>35765</v>
      </c>
      <c r="B113" s="73" t="n">
        <v>1997</v>
      </c>
      <c r="C113" s="157" t="s">
        <v>70</v>
      </c>
      <c r="D113" s="74" t="n">
        <v>69.29</v>
      </c>
      <c r="E113" s="159" t="n">
        <v>74.1</v>
      </c>
      <c r="F113" s="159" t="n">
        <v>63.53</v>
      </c>
      <c r="G113" s="159" t="n">
        <v>63.76</v>
      </c>
      <c r="H113" s="159" t="n">
        <v>13.6</v>
      </c>
      <c r="I113" s="159" t="n">
        <v>14.48</v>
      </c>
      <c r="J113" s="159" t="s">
        <v>210</v>
      </c>
      <c r="K113" s="159" t="n">
        <v>20.3246995088183</v>
      </c>
      <c r="L113" s="159"/>
      <c r="M113" s="160" t="n">
        <f aca="false">G113-F113</f>
        <v>0.229999999999997</v>
      </c>
      <c r="N113" s="77"/>
      <c r="O113" s="77" t="n">
        <v>35.6237569298755</v>
      </c>
      <c r="P113" s="77" t="n">
        <v>55.864000033452</v>
      </c>
      <c r="Q113" s="77" t="n">
        <v>96.59</v>
      </c>
      <c r="R113" s="162"/>
      <c r="S113" s="163"/>
      <c r="T113" s="164"/>
      <c r="U113" s="165"/>
      <c r="V113" s="155"/>
      <c r="W113" s="163"/>
      <c r="X113" s="163"/>
      <c r="Y113" s="172"/>
      <c r="Z113" s="163"/>
      <c r="AA113" s="172"/>
      <c r="AB113" s="162"/>
      <c r="AC113" s="163"/>
      <c r="AD113" s="164"/>
      <c r="AE113" s="163"/>
      <c r="AF113" s="155"/>
      <c r="AG113" s="163"/>
      <c r="AH113" s="155"/>
      <c r="AI113" s="155"/>
      <c r="AJ113" s="155"/>
      <c r="AK113" s="173"/>
      <c r="AL113" s="162"/>
      <c r="AM113" s="37"/>
      <c r="AN113" s="173"/>
      <c r="AW113" s="162"/>
      <c r="BG113" s="162"/>
      <c r="BQ113" s="162"/>
    </row>
    <row r="114" customFormat="false" ht="12.75" hidden="false" customHeight="true" outlineLevel="0" collapsed="false">
      <c r="A114" s="156" t="n">
        <v>35796</v>
      </c>
      <c r="B114" s="73" t="n">
        <v>1998</v>
      </c>
      <c r="C114" s="157" t="s">
        <v>59</v>
      </c>
      <c r="D114" s="74" t="n">
        <v>69.03</v>
      </c>
      <c r="E114" s="159" t="n">
        <v>73.96</v>
      </c>
      <c r="F114" s="159" t="n">
        <v>63.13</v>
      </c>
      <c r="G114" s="159" t="n">
        <v>63.34</v>
      </c>
      <c r="H114" s="159" t="n">
        <v>12.92</v>
      </c>
      <c r="I114" s="159" t="n">
        <v>13.67</v>
      </c>
      <c r="J114" s="159"/>
      <c r="K114" s="159" t="n">
        <v>18.0552564979477</v>
      </c>
      <c r="L114" s="159"/>
      <c r="M114" s="160" t="n">
        <f aca="false">G114-F114</f>
        <v>0.210000000000001</v>
      </c>
      <c r="N114" s="77"/>
      <c r="O114" s="77" t="n">
        <v>31.7034368078186</v>
      </c>
      <c r="P114" s="77" t="n">
        <v>49.7162833886064</v>
      </c>
      <c r="Q114" s="77" t="n">
        <v>86.15</v>
      </c>
      <c r="R114" s="162"/>
      <c r="S114" s="163"/>
      <c r="T114" s="164"/>
      <c r="U114" s="165"/>
      <c r="V114" s="155"/>
      <c r="W114" s="163"/>
      <c r="X114" s="163"/>
      <c r="Y114" s="172"/>
      <c r="Z114" s="163"/>
      <c r="AA114" s="172"/>
      <c r="AB114" s="162"/>
      <c r="AC114" s="163"/>
      <c r="AD114" s="164"/>
      <c r="AE114" s="163"/>
      <c r="AF114" s="155"/>
      <c r="AG114" s="163"/>
      <c r="AH114" s="155"/>
      <c r="AI114" s="155"/>
      <c r="AJ114" s="155"/>
      <c r="AK114" s="173"/>
      <c r="AL114" s="162"/>
      <c r="AM114" s="37"/>
      <c r="AN114" s="173"/>
      <c r="AW114" s="162"/>
      <c r="BG114" s="162"/>
      <c r="BQ114" s="162"/>
    </row>
    <row r="115" customFormat="false" ht="12.75" hidden="false" customHeight="true" outlineLevel="0" collapsed="false">
      <c r="A115" s="156" t="n">
        <v>35827</v>
      </c>
      <c r="B115" s="73" t="n">
        <v>1998</v>
      </c>
      <c r="C115" s="157" t="s">
        <v>60</v>
      </c>
      <c r="D115" s="74" t="n">
        <v>68.64</v>
      </c>
      <c r="E115" s="159" t="n">
        <v>73.79</v>
      </c>
      <c r="F115" s="159" t="n">
        <v>62.63</v>
      </c>
      <c r="G115" s="159" t="n">
        <v>62.84</v>
      </c>
      <c r="H115" s="159" t="n">
        <v>12.53</v>
      </c>
      <c r="I115" s="159" t="n">
        <v>13.68</v>
      </c>
      <c r="J115" s="159"/>
      <c r="K115" s="159" t="n">
        <v>16.7051680969323</v>
      </c>
      <c r="L115" s="159"/>
      <c r="M115" s="160" t="n">
        <f aca="false">G115-F115</f>
        <v>0.210000000000001</v>
      </c>
      <c r="N115" s="77"/>
      <c r="O115" s="77" t="n">
        <v>29.3169301342969</v>
      </c>
      <c r="P115" s="77" t="n">
        <v>45.97384237791</v>
      </c>
      <c r="Q115" s="77" t="n">
        <v>79.66</v>
      </c>
      <c r="R115" s="162"/>
      <c r="S115" s="163"/>
      <c r="T115" s="164"/>
      <c r="U115" s="165"/>
      <c r="V115" s="155"/>
      <c r="W115" s="163"/>
      <c r="X115" s="163"/>
      <c r="Y115" s="172"/>
      <c r="Z115" s="163"/>
      <c r="AA115" s="172"/>
      <c r="AB115" s="162"/>
      <c r="AC115" s="163"/>
      <c r="AD115" s="164"/>
      <c r="AE115" s="163"/>
      <c r="AF115" s="155"/>
      <c r="AG115" s="163"/>
      <c r="AH115" s="155"/>
      <c r="AI115" s="155"/>
      <c r="AJ115" s="155"/>
      <c r="AK115" s="173"/>
      <c r="AL115" s="162"/>
      <c r="AM115" s="37"/>
      <c r="AN115" s="173"/>
      <c r="AW115" s="162"/>
      <c r="BG115" s="162"/>
      <c r="BQ115" s="162"/>
    </row>
    <row r="116" customFormat="false" ht="12.75" hidden="false" customHeight="true" outlineLevel="0" collapsed="false">
      <c r="A116" s="156" t="n">
        <v>35855</v>
      </c>
      <c r="B116" s="73" t="n">
        <v>1998</v>
      </c>
      <c r="C116" s="157" t="s">
        <v>61</v>
      </c>
      <c r="D116" s="74" t="n">
        <v>68.2</v>
      </c>
      <c r="E116" s="159" t="n">
        <v>73.77</v>
      </c>
      <c r="F116" s="159" t="n">
        <v>62.09</v>
      </c>
      <c r="G116" s="159" t="n">
        <v>62.3</v>
      </c>
      <c r="H116" s="159" t="n">
        <v>11.61</v>
      </c>
      <c r="I116" s="159" t="n">
        <v>12.72</v>
      </c>
      <c r="J116" s="159"/>
      <c r="K116" s="159" t="n">
        <v>15.3276612574273</v>
      </c>
      <c r="L116" s="159"/>
      <c r="M116" s="160" t="n">
        <f aca="false">G116-F116</f>
        <v>0.209999999999994</v>
      </c>
      <c r="N116" s="77"/>
      <c r="O116" s="77" t="n">
        <v>26.8465606002489</v>
      </c>
      <c r="P116" s="77" t="n">
        <v>42.0998903968106</v>
      </c>
      <c r="Q116" s="77" t="n">
        <v>72.73</v>
      </c>
      <c r="R116" s="162"/>
      <c r="S116" s="163"/>
      <c r="T116" s="164"/>
      <c r="U116" s="165"/>
      <c r="V116" s="155"/>
      <c r="W116" s="163"/>
      <c r="X116" s="163"/>
      <c r="Y116" s="172"/>
      <c r="Z116" s="163"/>
      <c r="AA116" s="172"/>
      <c r="AB116" s="162"/>
      <c r="AC116" s="163"/>
      <c r="AD116" s="164"/>
      <c r="AE116" s="163"/>
      <c r="AF116" s="155"/>
      <c r="AG116" s="163"/>
      <c r="AH116" s="155"/>
      <c r="AI116" s="155"/>
      <c r="AJ116" s="155"/>
      <c r="AK116" s="173"/>
      <c r="AL116" s="162"/>
      <c r="AM116" s="37"/>
      <c r="AN116" s="173"/>
      <c r="AW116" s="162"/>
      <c r="BG116" s="162"/>
      <c r="BQ116" s="162"/>
    </row>
    <row r="117" customFormat="false" ht="12.75" hidden="false" customHeight="true" outlineLevel="0" collapsed="false">
      <c r="A117" s="156" t="n">
        <v>35886</v>
      </c>
      <c r="B117" s="73" t="n">
        <v>1998</v>
      </c>
      <c r="C117" s="157" t="s">
        <v>62</v>
      </c>
      <c r="D117" s="74" t="n">
        <v>72.38</v>
      </c>
      <c r="E117" s="159" t="n">
        <v>78.74</v>
      </c>
      <c r="F117" s="159" t="n">
        <v>65.77</v>
      </c>
      <c r="G117" s="159" t="n">
        <v>66.81</v>
      </c>
      <c r="H117" s="159" t="n">
        <v>11.67</v>
      </c>
      <c r="I117" s="159" t="n">
        <v>12.94</v>
      </c>
      <c r="J117" s="159"/>
      <c r="K117" s="159" t="n">
        <v>15.4634669858618</v>
      </c>
      <c r="L117" s="159"/>
      <c r="M117" s="160" t="n">
        <f aca="false">G117-F117</f>
        <v>1.04000000000001</v>
      </c>
      <c r="N117" s="77"/>
      <c r="O117" s="77" t="n">
        <v>27.0868108229353</v>
      </c>
      <c r="P117" s="77" t="n">
        <v>42.4766428677699</v>
      </c>
      <c r="Q117" s="77" t="n">
        <v>73.4</v>
      </c>
      <c r="R117" s="162"/>
      <c r="S117" s="163"/>
      <c r="T117" s="164"/>
      <c r="U117" s="165"/>
      <c r="V117" s="155"/>
      <c r="W117" s="163"/>
      <c r="X117" s="163"/>
      <c r="Y117" s="172"/>
      <c r="Z117" s="163"/>
      <c r="AA117" s="172"/>
      <c r="AB117" s="162"/>
      <c r="AC117" s="163"/>
      <c r="AD117" s="164"/>
      <c r="AE117" s="163"/>
      <c r="AF117" s="155"/>
      <c r="AG117" s="163"/>
      <c r="AH117" s="155"/>
      <c r="AI117" s="155"/>
      <c r="AJ117" s="155"/>
      <c r="AK117" s="173"/>
      <c r="AL117" s="162"/>
      <c r="AM117" s="37"/>
      <c r="AN117" s="173"/>
      <c r="AW117" s="162"/>
      <c r="BG117" s="162"/>
      <c r="BQ117" s="162"/>
    </row>
    <row r="118" customFormat="false" ht="12.75" hidden="false" customHeight="true" outlineLevel="0" collapsed="false">
      <c r="A118" s="156" t="n">
        <v>35916</v>
      </c>
      <c r="B118" s="73" t="n">
        <v>1998</v>
      </c>
      <c r="C118" s="157" t="s">
        <v>63</v>
      </c>
      <c r="D118" s="74" t="n">
        <v>72.41</v>
      </c>
      <c r="E118" s="159" t="n">
        <v>79.06</v>
      </c>
      <c r="F118" s="159" t="n">
        <v>65.72</v>
      </c>
      <c r="G118" s="159" t="n">
        <v>66.71</v>
      </c>
      <c r="H118" s="159" t="n">
        <v>11.64</v>
      </c>
      <c r="I118" s="159" t="n">
        <v>12.95</v>
      </c>
      <c r="J118" s="159"/>
      <c r="K118" s="159" t="n">
        <v>16.5005044237462</v>
      </c>
      <c r="L118" s="159"/>
      <c r="M118" s="160" t="n">
        <f aca="false">G118-F118</f>
        <v>0.989999999999995</v>
      </c>
      <c r="N118" s="77"/>
      <c r="O118" s="77" t="n">
        <v>28.9139221432588</v>
      </c>
      <c r="P118" s="77" t="n">
        <v>45.3418585456277</v>
      </c>
      <c r="Q118" s="77" t="n">
        <v>78.36</v>
      </c>
      <c r="R118" s="162"/>
      <c r="S118" s="163"/>
      <c r="T118" s="164"/>
      <c r="U118" s="165"/>
      <c r="V118" s="155"/>
      <c r="W118" s="163"/>
      <c r="X118" s="163"/>
      <c r="Y118" s="172"/>
      <c r="Z118" s="163"/>
      <c r="AA118" s="172"/>
      <c r="AB118" s="162"/>
      <c r="AC118" s="163"/>
      <c r="AD118" s="164"/>
      <c r="AE118" s="163"/>
      <c r="AF118" s="155"/>
      <c r="AG118" s="163"/>
      <c r="AH118" s="155"/>
      <c r="AI118" s="155"/>
      <c r="AJ118" s="155"/>
      <c r="AK118" s="173"/>
      <c r="AL118" s="162"/>
      <c r="AM118" s="37"/>
      <c r="AN118" s="173"/>
      <c r="AW118" s="162"/>
      <c r="BG118" s="162"/>
      <c r="BQ118" s="162"/>
    </row>
    <row r="119" customFormat="false" ht="12.75" hidden="false" customHeight="true" outlineLevel="0" collapsed="false">
      <c r="A119" s="156" t="n">
        <v>35947</v>
      </c>
      <c r="B119" s="73" t="n">
        <v>1998</v>
      </c>
      <c r="C119" s="157" t="s">
        <v>64</v>
      </c>
      <c r="D119" s="74" t="n">
        <v>72.21</v>
      </c>
      <c r="E119" s="159" t="n">
        <v>78.8</v>
      </c>
      <c r="F119" s="159" t="n">
        <v>65.62</v>
      </c>
      <c r="G119" s="159" t="n">
        <v>66.59</v>
      </c>
      <c r="H119" s="159" t="n">
        <v>11.15</v>
      </c>
      <c r="I119" s="159" t="n">
        <v>12.34</v>
      </c>
      <c r="J119" s="159"/>
      <c r="K119" s="159" t="n">
        <v>14.2316451231545</v>
      </c>
      <c r="L119" s="159"/>
      <c r="M119" s="160" t="n">
        <f aca="false">G119-F119</f>
        <v>0.969999999999999</v>
      </c>
      <c r="N119" s="77"/>
      <c r="O119" s="77" t="n">
        <v>25.0181596073065</v>
      </c>
      <c r="P119" s="77" t="n">
        <v>39.232652296911</v>
      </c>
      <c r="Q119" s="77" t="n">
        <v>67.82</v>
      </c>
      <c r="R119" s="162"/>
      <c r="S119" s="163"/>
      <c r="T119" s="164"/>
      <c r="U119" s="165"/>
      <c r="V119" s="155"/>
      <c r="W119" s="163"/>
      <c r="X119" s="163"/>
      <c r="Y119" s="172"/>
      <c r="Z119" s="163"/>
      <c r="AA119" s="172"/>
      <c r="AB119" s="162"/>
      <c r="AC119" s="163"/>
      <c r="AD119" s="164"/>
      <c r="AE119" s="163"/>
      <c r="AF119" s="155"/>
      <c r="AG119" s="163"/>
      <c r="AH119" s="155"/>
      <c r="AI119" s="155"/>
      <c r="AJ119" s="155"/>
      <c r="AK119" s="173"/>
      <c r="AL119" s="162"/>
      <c r="AM119" s="37"/>
      <c r="AN119" s="173"/>
      <c r="AW119" s="162"/>
      <c r="BG119" s="162"/>
      <c r="BQ119" s="162"/>
    </row>
    <row r="120" customFormat="false" ht="12.75" hidden="false" customHeight="true" outlineLevel="0" collapsed="false">
      <c r="A120" s="156" t="n">
        <v>35977</v>
      </c>
      <c r="B120" s="73" t="n">
        <v>1998</v>
      </c>
      <c r="C120" s="157" t="s">
        <v>65</v>
      </c>
      <c r="D120" s="74" t="n">
        <v>72.37</v>
      </c>
      <c r="E120" s="159" t="n">
        <v>79.34</v>
      </c>
      <c r="F120" s="159" t="n">
        <v>66.04</v>
      </c>
      <c r="G120" s="159" t="n">
        <v>66.94</v>
      </c>
      <c r="H120" s="159" t="n">
        <v>10.7</v>
      </c>
      <c r="I120" s="159" t="n">
        <v>11.99</v>
      </c>
      <c r="J120" s="159"/>
      <c r="K120" s="159" t="n">
        <v>13.5120628841916</v>
      </c>
      <c r="L120" s="159"/>
      <c r="M120" s="160" t="n">
        <f aca="false">G120-F120</f>
        <v>0.899999999999992</v>
      </c>
      <c r="N120" s="77"/>
      <c r="O120" s="77" t="n">
        <v>23.7413005620508</v>
      </c>
      <c r="P120" s="77" t="n">
        <v>37.2303240784895</v>
      </c>
      <c r="Q120" s="77" t="n">
        <v>64.34</v>
      </c>
      <c r="R120" s="162"/>
      <c r="S120" s="163"/>
      <c r="T120" s="164"/>
      <c r="U120" s="165"/>
      <c r="V120" s="155"/>
      <c r="W120" s="163"/>
      <c r="X120" s="163"/>
      <c r="Y120" s="172"/>
      <c r="Z120" s="163"/>
      <c r="AA120" s="172"/>
      <c r="AB120" s="162"/>
      <c r="AC120" s="163"/>
      <c r="AD120" s="164"/>
      <c r="AE120" s="163"/>
      <c r="AF120" s="155"/>
      <c r="AG120" s="163"/>
      <c r="AH120" s="155"/>
      <c r="AI120" s="155"/>
      <c r="AJ120" s="155"/>
      <c r="AK120" s="173"/>
      <c r="AL120" s="162"/>
      <c r="AM120" s="37"/>
      <c r="AN120" s="173"/>
      <c r="AW120" s="162"/>
      <c r="BG120" s="162"/>
      <c r="BQ120" s="162"/>
    </row>
    <row r="121" customFormat="false" ht="12.75" hidden="false" customHeight="true" outlineLevel="0" collapsed="false">
      <c r="A121" s="156" t="n">
        <v>36008</v>
      </c>
      <c r="B121" s="73" t="n">
        <v>1998</v>
      </c>
      <c r="C121" s="157" t="s">
        <v>66</v>
      </c>
      <c r="D121" s="74" t="n">
        <v>72.48</v>
      </c>
      <c r="E121" s="159" t="n">
        <v>79.39</v>
      </c>
      <c r="F121" s="159" t="n">
        <v>66.14</v>
      </c>
      <c r="G121" s="159" t="n">
        <v>66.9</v>
      </c>
      <c r="H121" s="159" t="n">
        <v>10.29</v>
      </c>
      <c r="I121" s="159" t="n">
        <v>11.72</v>
      </c>
      <c r="J121" s="159"/>
      <c r="K121" s="159" t="n">
        <v>14.0991257040376</v>
      </c>
      <c r="L121" s="159"/>
      <c r="M121" s="160" t="n">
        <f aca="false">G121-F121</f>
        <v>0.760000000000005</v>
      </c>
      <c r="N121" s="77"/>
      <c r="O121" s="77" t="n">
        <v>24.7872608604851</v>
      </c>
      <c r="P121" s="77" t="n">
        <v>38.8705645018044</v>
      </c>
      <c r="Q121" s="77" t="n">
        <v>67.54</v>
      </c>
      <c r="R121" s="162"/>
      <c r="S121" s="163"/>
      <c r="T121" s="164"/>
      <c r="U121" s="165"/>
      <c r="V121" s="155"/>
      <c r="W121" s="163"/>
      <c r="X121" s="163"/>
      <c r="Y121" s="172"/>
      <c r="Z121" s="163"/>
      <c r="AA121" s="172"/>
      <c r="AB121" s="162"/>
      <c r="AC121" s="163"/>
      <c r="AD121" s="164"/>
      <c r="AE121" s="163"/>
      <c r="AF121" s="155"/>
      <c r="AG121" s="163"/>
      <c r="AH121" s="155"/>
      <c r="AI121" s="155"/>
      <c r="AJ121" s="155"/>
      <c r="AK121" s="173"/>
      <c r="AL121" s="162"/>
      <c r="AM121" s="37"/>
      <c r="AN121" s="173"/>
      <c r="AW121" s="162"/>
      <c r="BG121" s="162"/>
      <c r="BQ121" s="162"/>
    </row>
    <row r="122" customFormat="false" ht="12.75" hidden="false" customHeight="true" outlineLevel="0" collapsed="false">
      <c r="A122" s="156" t="n">
        <v>36039</v>
      </c>
      <c r="B122" s="73" t="n">
        <v>1998</v>
      </c>
      <c r="C122" s="157" t="s">
        <v>67</v>
      </c>
      <c r="D122" s="74" t="n">
        <v>72</v>
      </c>
      <c r="E122" s="159" t="n">
        <v>79.34</v>
      </c>
      <c r="F122" s="159" t="n">
        <v>65.8</v>
      </c>
      <c r="G122" s="159" t="n">
        <v>66.48</v>
      </c>
      <c r="H122" s="159" t="n">
        <v>10.62</v>
      </c>
      <c r="I122" s="159" t="n">
        <v>12.1</v>
      </c>
      <c r="J122" s="159"/>
      <c r="K122" s="159" t="n">
        <v>15.2215397327782</v>
      </c>
      <c r="L122" s="159"/>
      <c r="M122" s="160" t="n">
        <f aca="false">G122-F122</f>
        <v>0.680000000000007</v>
      </c>
      <c r="N122" s="77"/>
      <c r="O122" s="77" t="n">
        <v>26.5544039360471</v>
      </c>
      <c r="P122" s="77" t="n">
        <v>41.6417399571792</v>
      </c>
      <c r="Q122" s="77" t="n">
        <v>71.5</v>
      </c>
      <c r="R122" s="162"/>
      <c r="S122" s="163"/>
      <c r="T122" s="164"/>
      <c r="U122" s="165"/>
      <c r="V122" s="155"/>
      <c r="W122" s="163"/>
      <c r="X122" s="163"/>
      <c r="Y122" s="172"/>
      <c r="Z122" s="163"/>
      <c r="AA122" s="172"/>
      <c r="AB122" s="162"/>
      <c r="AC122" s="163"/>
      <c r="AD122" s="164"/>
      <c r="AE122" s="163"/>
      <c r="AF122" s="155"/>
      <c r="AG122" s="163"/>
      <c r="AH122" s="155"/>
      <c r="AI122" s="155"/>
      <c r="AJ122" s="155"/>
      <c r="AK122" s="173"/>
      <c r="AL122" s="162"/>
      <c r="AM122" s="37"/>
      <c r="AN122" s="173"/>
      <c r="AW122" s="162"/>
      <c r="BG122" s="162"/>
      <c r="BQ122" s="162"/>
    </row>
    <row r="123" customFormat="false" ht="12.75" hidden="false" customHeight="true" outlineLevel="0" collapsed="false">
      <c r="A123" s="156" t="n">
        <v>36069</v>
      </c>
      <c r="B123" s="73" t="n">
        <v>1998</v>
      </c>
      <c r="C123" s="157" t="s">
        <v>68</v>
      </c>
      <c r="D123" s="74" t="n">
        <v>71.78</v>
      </c>
      <c r="E123" s="159" t="n">
        <v>79.09</v>
      </c>
      <c r="F123" s="159" t="n">
        <v>65.75</v>
      </c>
      <c r="G123" s="159" t="n">
        <v>66.59</v>
      </c>
      <c r="H123" s="159" t="n">
        <v>10.88</v>
      </c>
      <c r="I123" s="159" t="n">
        <v>12.31</v>
      </c>
      <c r="J123" s="159"/>
      <c r="K123" s="159" t="n">
        <v>14.308558421659</v>
      </c>
      <c r="L123" s="159"/>
      <c r="M123" s="160" t="n">
        <f aca="false">G123-F123</f>
        <v>0.840000000000003</v>
      </c>
      <c r="N123" s="77"/>
      <c r="O123" s="77" t="n">
        <v>25.1933202305205</v>
      </c>
      <c r="P123" s="77" t="n">
        <v>39.5073334059347</v>
      </c>
      <c r="Q123" s="77" t="n">
        <v>68.73</v>
      </c>
      <c r="R123" s="162"/>
      <c r="S123" s="163"/>
      <c r="T123" s="164"/>
      <c r="U123" s="165"/>
      <c r="V123" s="155"/>
      <c r="W123" s="163"/>
      <c r="X123" s="163"/>
      <c r="Y123" s="172"/>
      <c r="Z123" s="163"/>
      <c r="AA123" s="172"/>
      <c r="AB123" s="162"/>
      <c r="AC123" s="163"/>
      <c r="AD123" s="164"/>
      <c r="AE123" s="163"/>
      <c r="AF123" s="155"/>
      <c r="AG123" s="163"/>
      <c r="AH123" s="155"/>
      <c r="AI123" s="155"/>
      <c r="AJ123" s="155"/>
      <c r="AK123" s="173"/>
      <c r="AL123" s="162"/>
      <c r="AM123" s="37"/>
      <c r="AN123" s="173"/>
      <c r="AW123" s="162"/>
      <c r="BG123" s="162"/>
      <c r="BQ123" s="162"/>
    </row>
    <row r="124" customFormat="false" ht="12.75" hidden="false" customHeight="true" outlineLevel="0" collapsed="false">
      <c r="A124" s="156" t="n">
        <v>36100</v>
      </c>
      <c r="B124" s="73" t="n">
        <v>1998</v>
      </c>
      <c r="C124" s="157" t="s">
        <v>69</v>
      </c>
      <c r="D124" s="74" t="n">
        <v>71.33</v>
      </c>
      <c r="E124" s="159" t="n">
        <v>79.15</v>
      </c>
      <c r="F124" s="159" t="n">
        <v>65.02</v>
      </c>
      <c r="G124" s="159" t="n">
        <v>65.77</v>
      </c>
      <c r="H124" s="159" t="n">
        <v>10.61</v>
      </c>
      <c r="I124" s="159" t="n">
        <v>11.71</v>
      </c>
      <c r="J124" s="159"/>
      <c r="K124" s="159" t="n">
        <v>12.6185989866156</v>
      </c>
      <c r="L124" s="159"/>
      <c r="M124" s="160" t="n">
        <f aca="false">G124-F124</f>
        <v>0.75</v>
      </c>
      <c r="N124" s="77"/>
      <c r="O124" s="77" t="n">
        <v>22.2061962390252</v>
      </c>
      <c r="P124" s="77" t="n">
        <v>34.8230241375634</v>
      </c>
      <c r="Q124" s="77" t="n">
        <v>60.54</v>
      </c>
      <c r="R124" s="162"/>
      <c r="S124" s="163"/>
      <c r="T124" s="164"/>
      <c r="U124" s="165"/>
      <c r="V124" s="155"/>
      <c r="W124" s="163"/>
      <c r="X124" s="163"/>
      <c r="Y124" s="172"/>
      <c r="Z124" s="163"/>
      <c r="AA124" s="172"/>
      <c r="AB124" s="162"/>
      <c r="AC124" s="163"/>
      <c r="AD124" s="164"/>
      <c r="AE124" s="163"/>
      <c r="AF124" s="155"/>
      <c r="AG124" s="163"/>
      <c r="AH124" s="155"/>
      <c r="AI124" s="155"/>
      <c r="AJ124" s="155"/>
      <c r="AK124" s="173"/>
      <c r="AL124" s="162"/>
      <c r="AM124" s="37"/>
      <c r="AN124" s="173"/>
      <c r="AW124" s="162"/>
      <c r="BG124" s="162"/>
      <c r="BQ124" s="162"/>
    </row>
    <row r="125" customFormat="false" ht="12.75" hidden="false" customHeight="true" outlineLevel="0" collapsed="false">
      <c r="A125" s="156" t="n">
        <v>36130</v>
      </c>
      <c r="B125" s="73" t="n">
        <v>1998</v>
      </c>
      <c r="C125" s="157" t="s">
        <v>70</v>
      </c>
      <c r="D125" s="74" t="n">
        <v>70.45</v>
      </c>
      <c r="E125" s="159" t="n">
        <v>79.13</v>
      </c>
      <c r="F125" s="159" t="n">
        <v>63.84</v>
      </c>
      <c r="G125" s="159" t="n">
        <v>64.77</v>
      </c>
      <c r="H125" s="159" t="n">
        <v>10.35</v>
      </c>
      <c r="I125" s="159" t="n">
        <v>11.49</v>
      </c>
      <c r="J125" s="159"/>
      <c r="K125" s="159" t="n">
        <v>11.5309097490262</v>
      </c>
      <c r="L125" s="159"/>
      <c r="M125" s="160" t="n">
        <f aca="false">G125-F125</f>
        <v>0.929999999999993</v>
      </c>
      <c r="N125" s="77"/>
      <c r="O125" s="77" t="n">
        <v>20.2348156606382</v>
      </c>
      <c r="P125" s="77" t="n">
        <v>31.731570170096</v>
      </c>
      <c r="Q125" s="77" t="n">
        <v>55.03</v>
      </c>
      <c r="R125" s="162"/>
      <c r="S125" s="163"/>
      <c r="T125" s="164"/>
      <c r="U125" s="165"/>
      <c r="V125" s="155"/>
      <c r="W125" s="163"/>
      <c r="X125" s="163"/>
      <c r="Y125" s="172"/>
      <c r="Z125" s="163"/>
      <c r="AA125" s="172"/>
      <c r="AB125" s="162"/>
      <c r="AC125" s="163"/>
      <c r="AD125" s="164"/>
      <c r="AE125" s="163"/>
      <c r="AF125" s="155"/>
      <c r="AG125" s="163"/>
      <c r="AH125" s="155"/>
      <c r="AI125" s="155"/>
      <c r="AJ125" s="155"/>
      <c r="AK125" s="173"/>
      <c r="AL125" s="162"/>
      <c r="AM125" s="37"/>
      <c r="AN125" s="173"/>
      <c r="AW125" s="162"/>
      <c r="BG125" s="162"/>
      <c r="BQ125" s="162"/>
    </row>
    <row r="126" customFormat="false" ht="12.75" hidden="false" customHeight="true" outlineLevel="0" collapsed="false">
      <c r="A126" s="156" t="n">
        <v>36161</v>
      </c>
      <c r="B126" s="73" t="n">
        <v>1999</v>
      </c>
      <c r="C126" s="157" t="s">
        <v>59</v>
      </c>
      <c r="D126" s="74" t="n">
        <v>69.61</v>
      </c>
      <c r="E126" s="159" t="n">
        <v>79.23</v>
      </c>
      <c r="F126" s="159" t="n">
        <v>62.87</v>
      </c>
      <c r="G126" s="159" t="n">
        <v>63.95</v>
      </c>
      <c r="H126" s="159" t="n">
        <v>9.89</v>
      </c>
      <c r="I126" s="159" t="n">
        <v>11.36</v>
      </c>
      <c r="J126" s="159"/>
      <c r="K126" s="159" t="n">
        <v>13.2415487362408</v>
      </c>
      <c r="L126" s="159"/>
      <c r="M126" s="160" t="n">
        <f aca="false">G126-F126</f>
        <v>1.08000000000001</v>
      </c>
      <c r="N126" s="77"/>
      <c r="O126" s="77" t="n">
        <v>23.1013396516026</v>
      </c>
      <c r="P126" s="77" t="n">
        <v>36.2267584974347</v>
      </c>
      <c r="Q126" s="77" t="n">
        <v>62.16</v>
      </c>
      <c r="R126" s="162"/>
      <c r="S126" s="163"/>
      <c r="T126" s="164"/>
      <c r="U126" s="165"/>
      <c r="V126" s="155"/>
      <c r="W126" s="163"/>
      <c r="X126" s="163"/>
      <c r="Y126" s="172"/>
      <c r="Z126" s="163"/>
      <c r="AA126" s="172"/>
      <c r="AB126" s="162"/>
      <c r="AC126" s="163"/>
      <c r="AD126" s="164"/>
      <c r="AE126" s="163"/>
      <c r="AF126" s="155"/>
      <c r="AG126" s="163"/>
      <c r="AH126" s="155"/>
      <c r="AI126" s="155"/>
      <c r="AJ126" s="155"/>
      <c r="AK126" s="173"/>
      <c r="AL126" s="162"/>
      <c r="AM126" s="37"/>
      <c r="AN126" s="173"/>
      <c r="AW126" s="162"/>
      <c r="BG126" s="162"/>
      <c r="BQ126" s="162"/>
    </row>
    <row r="127" customFormat="false" ht="12.75" hidden="false" customHeight="true" outlineLevel="0" collapsed="false">
      <c r="A127" s="156" t="n">
        <v>36192</v>
      </c>
      <c r="B127" s="73" t="n">
        <v>1999</v>
      </c>
      <c r="C127" s="157" t="s">
        <v>60</v>
      </c>
      <c r="D127" s="74" t="n">
        <v>69.78</v>
      </c>
      <c r="E127" s="159" t="n">
        <v>78.26</v>
      </c>
      <c r="F127" s="159" t="n">
        <v>63.02</v>
      </c>
      <c r="G127" s="159" t="n">
        <v>64.17</v>
      </c>
      <c r="H127" s="159" t="n">
        <v>10.22</v>
      </c>
      <c r="I127" s="159" t="n">
        <v>11.33</v>
      </c>
      <c r="J127" s="159"/>
      <c r="K127" s="159" t="n">
        <v>12.479589348558</v>
      </c>
      <c r="L127" s="159"/>
      <c r="M127" s="160" t="n">
        <f aca="false">G127-F127</f>
        <v>1.15</v>
      </c>
      <c r="N127" s="77"/>
      <c r="O127" s="77" t="n">
        <v>21.7930223490784</v>
      </c>
      <c r="P127" s="77" t="n">
        <v>34.1750984780873</v>
      </c>
      <c r="Q127" s="77" t="n">
        <v>58.8</v>
      </c>
      <c r="R127" s="162"/>
      <c r="S127" s="163"/>
      <c r="T127" s="164"/>
      <c r="U127" s="165"/>
      <c r="V127" s="155"/>
      <c r="W127" s="163"/>
      <c r="X127" s="163"/>
      <c r="Y127" s="172"/>
      <c r="Z127" s="163"/>
      <c r="AA127" s="172"/>
      <c r="AB127" s="162"/>
      <c r="AC127" s="163"/>
      <c r="AD127" s="164"/>
      <c r="AE127" s="163"/>
      <c r="AF127" s="155"/>
      <c r="AG127" s="163"/>
      <c r="AH127" s="155"/>
      <c r="AI127" s="155"/>
      <c r="AJ127" s="155"/>
      <c r="AK127" s="173"/>
      <c r="AL127" s="162"/>
      <c r="AM127" s="37"/>
      <c r="AN127" s="173"/>
      <c r="AW127" s="162"/>
      <c r="BG127" s="162"/>
      <c r="BQ127" s="162"/>
    </row>
    <row r="128" customFormat="false" ht="12.75" hidden="false" customHeight="true" outlineLevel="0" collapsed="false">
      <c r="A128" s="156" t="n">
        <v>36220</v>
      </c>
      <c r="B128" s="73" t="n">
        <v>1999</v>
      </c>
      <c r="C128" s="157" t="s">
        <v>61</v>
      </c>
      <c r="D128" s="74" t="n">
        <v>73.85</v>
      </c>
      <c r="E128" s="159" t="n">
        <v>82.24</v>
      </c>
      <c r="F128" s="159" t="n">
        <v>66.51</v>
      </c>
      <c r="G128" s="159" t="n">
        <v>69.94</v>
      </c>
      <c r="H128" s="159" t="n">
        <v>10.52</v>
      </c>
      <c r="I128" s="159" t="n">
        <v>12.06</v>
      </c>
      <c r="J128" s="159"/>
      <c r="K128" s="159" t="n">
        <v>14.7421891853132</v>
      </c>
      <c r="L128" s="159"/>
      <c r="M128" s="160" t="n">
        <f aca="false">G128-F128</f>
        <v>3.42999999999999</v>
      </c>
      <c r="N128" s="77"/>
      <c r="O128" s="77" t="n">
        <v>25.7438018195825</v>
      </c>
      <c r="P128" s="77" t="n">
        <v>40.3705804680092</v>
      </c>
      <c r="Q128" s="77" t="n">
        <v>69.46</v>
      </c>
      <c r="R128" s="162"/>
      <c r="S128" s="163"/>
      <c r="T128" s="164"/>
      <c r="U128" s="165"/>
      <c r="V128" s="155"/>
      <c r="W128" s="163"/>
      <c r="X128" s="163"/>
      <c r="Y128" s="172"/>
      <c r="Z128" s="163"/>
      <c r="AA128" s="172"/>
      <c r="AB128" s="162"/>
      <c r="AC128" s="163"/>
      <c r="AD128" s="164"/>
      <c r="AE128" s="163"/>
      <c r="AF128" s="155"/>
      <c r="AG128" s="163"/>
      <c r="AH128" s="155"/>
      <c r="AI128" s="155"/>
      <c r="AJ128" s="155"/>
      <c r="AK128" s="173"/>
      <c r="AL128" s="162"/>
      <c r="AM128" s="37"/>
      <c r="AN128" s="173"/>
      <c r="AW128" s="162"/>
      <c r="BG128" s="162"/>
      <c r="BQ128" s="162"/>
    </row>
    <row r="129" customFormat="false" ht="12.75" hidden="false" customHeight="true" outlineLevel="0" collapsed="false">
      <c r="A129" s="156" t="n">
        <v>36251</v>
      </c>
      <c r="B129" s="73" t="n">
        <v>1999</v>
      </c>
      <c r="C129" s="157" t="s">
        <v>62</v>
      </c>
      <c r="D129" s="74" t="n">
        <v>77.83</v>
      </c>
      <c r="E129" s="159" t="n">
        <v>83.39</v>
      </c>
      <c r="F129" s="159" t="n">
        <v>70.2</v>
      </c>
      <c r="G129" s="159" t="n">
        <v>73.23</v>
      </c>
      <c r="H129" s="159" t="n">
        <v>12</v>
      </c>
      <c r="I129" s="159" t="n">
        <v>12.64</v>
      </c>
      <c r="J129" s="159"/>
      <c r="K129" s="159" t="n">
        <v>18.3530388022278</v>
      </c>
      <c r="L129" s="159"/>
      <c r="M129" s="160" t="n">
        <f aca="false">G129-F129</f>
        <v>3.03</v>
      </c>
      <c r="N129" s="77"/>
      <c r="O129" s="77" t="n">
        <v>32.0161525151813</v>
      </c>
      <c r="P129" s="77" t="n">
        <v>50.2066738412743</v>
      </c>
      <c r="Q129" s="77" t="n">
        <v>86.26</v>
      </c>
      <c r="R129" s="162"/>
      <c r="S129" s="163"/>
      <c r="T129" s="164"/>
      <c r="U129" s="165"/>
      <c r="V129" s="155"/>
      <c r="W129" s="163"/>
      <c r="X129" s="163"/>
      <c r="Y129" s="172"/>
      <c r="Z129" s="163"/>
      <c r="AA129" s="172"/>
      <c r="AB129" s="162"/>
      <c r="AC129" s="163"/>
      <c r="AD129" s="164"/>
      <c r="AE129" s="163"/>
      <c r="AF129" s="155"/>
      <c r="AG129" s="163"/>
      <c r="AH129" s="155"/>
      <c r="AI129" s="155"/>
      <c r="AJ129" s="155"/>
      <c r="AK129" s="173"/>
      <c r="AL129" s="162"/>
      <c r="AM129" s="37"/>
      <c r="AN129" s="173"/>
      <c r="AW129" s="162"/>
      <c r="BG129" s="162"/>
      <c r="BQ129" s="162"/>
    </row>
    <row r="130" customFormat="false" ht="12.75" hidden="false" customHeight="true" outlineLevel="0" collapsed="false">
      <c r="A130" s="156" t="n">
        <v>36281</v>
      </c>
      <c r="B130" s="73" t="n">
        <v>1999</v>
      </c>
      <c r="C130" s="157" t="s">
        <v>63</v>
      </c>
      <c r="D130" s="74" t="n">
        <v>77.61</v>
      </c>
      <c r="E130" s="159" t="n">
        <v>83.82</v>
      </c>
      <c r="F130" s="159" t="n">
        <v>70.04</v>
      </c>
      <c r="G130" s="159" t="n">
        <v>73.09</v>
      </c>
      <c r="H130" s="159" t="n">
        <v>11.89</v>
      </c>
      <c r="I130" s="159" t="n">
        <v>12.9</v>
      </c>
      <c r="J130" s="159"/>
      <c r="K130" s="159" t="n">
        <v>18.0804469409815</v>
      </c>
      <c r="L130" s="159"/>
      <c r="M130" s="160" t="n">
        <f aca="false">G130-F130</f>
        <v>3.05</v>
      </c>
      <c r="N130" s="77"/>
      <c r="O130" s="77" t="n">
        <v>31.6384071163265</v>
      </c>
      <c r="P130" s="77" t="n">
        <v>49.6143059723883</v>
      </c>
      <c r="Q130" s="77" t="n">
        <v>85.66</v>
      </c>
      <c r="R130" s="162"/>
      <c r="S130" s="163"/>
      <c r="T130" s="164"/>
      <c r="U130" s="165"/>
      <c r="V130" s="155"/>
      <c r="W130" s="163"/>
      <c r="X130" s="163"/>
      <c r="Y130" s="172"/>
      <c r="Z130" s="163"/>
      <c r="AA130" s="172"/>
      <c r="AB130" s="162"/>
      <c r="AC130" s="163"/>
      <c r="AD130" s="164"/>
      <c r="AE130" s="163"/>
      <c r="AF130" s="155"/>
      <c r="AG130" s="163"/>
      <c r="AH130" s="155"/>
      <c r="AI130" s="155"/>
      <c r="AJ130" s="155"/>
      <c r="AK130" s="173"/>
      <c r="AL130" s="162"/>
      <c r="AM130" s="37"/>
      <c r="AN130" s="173"/>
      <c r="AW130" s="162"/>
      <c r="BG130" s="162"/>
      <c r="BQ130" s="162"/>
    </row>
    <row r="131" customFormat="false" ht="12.75" hidden="false" customHeight="true" outlineLevel="0" collapsed="false">
      <c r="A131" s="156" t="n">
        <v>36312</v>
      </c>
      <c r="B131" s="73" t="n">
        <v>1999</v>
      </c>
      <c r="C131" s="157" t="s">
        <v>64</v>
      </c>
      <c r="D131" s="74" t="n">
        <v>77.32</v>
      </c>
      <c r="E131" s="159" t="n">
        <v>83.74</v>
      </c>
      <c r="F131" s="159" t="n">
        <v>69.8</v>
      </c>
      <c r="G131" s="159" t="n">
        <v>72.78</v>
      </c>
      <c r="H131" s="159" t="n">
        <v>11.54</v>
      </c>
      <c r="I131" s="159" t="n">
        <v>12.79</v>
      </c>
      <c r="J131" s="159"/>
      <c r="K131" s="159" t="n">
        <v>18.9828754847567</v>
      </c>
      <c r="L131" s="159"/>
      <c r="M131" s="160" t="n">
        <f aca="false">G131-F131</f>
        <v>2.98</v>
      </c>
      <c r="N131" s="77"/>
      <c r="O131" s="77" t="n">
        <v>33.2177015949131</v>
      </c>
      <c r="P131" s="77" t="n">
        <v>52.0909034569901</v>
      </c>
      <c r="Q131" s="77" t="n">
        <v>89.91</v>
      </c>
      <c r="R131" s="162"/>
      <c r="S131" s="163"/>
      <c r="T131" s="164"/>
      <c r="U131" s="165"/>
      <c r="V131" s="155"/>
      <c r="W131" s="163"/>
      <c r="X131" s="163"/>
      <c r="Y131" s="172"/>
      <c r="Z131" s="163"/>
      <c r="AA131" s="172"/>
      <c r="AB131" s="162"/>
      <c r="AC131" s="163"/>
      <c r="AD131" s="164"/>
      <c r="AE131" s="163"/>
      <c r="AF131" s="155"/>
      <c r="AG131" s="163"/>
      <c r="AH131" s="155"/>
      <c r="AI131" s="155"/>
      <c r="AJ131" s="155"/>
      <c r="AK131" s="173"/>
      <c r="AL131" s="162"/>
      <c r="AM131" s="37"/>
      <c r="AN131" s="173"/>
      <c r="AW131" s="162"/>
      <c r="BG131" s="162"/>
      <c r="BQ131" s="162"/>
    </row>
    <row r="132" customFormat="false" ht="12.75" hidden="false" customHeight="true" outlineLevel="0" collapsed="false">
      <c r="A132" s="156" t="n">
        <v>36342</v>
      </c>
      <c r="B132" s="73" t="n">
        <v>1999</v>
      </c>
      <c r="C132" s="157" t="s">
        <v>65</v>
      </c>
      <c r="D132" s="74" t="n">
        <v>78.26</v>
      </c>
      <c r="E132" s="159" t="n">
        <v>83.87</v>
      </c>
      <c r="F132" s="159" t="n">
        <v>70.98</v>
      </c>
      <c r="G132" s="159" t="n">
        <v>73.81</v>
      </c>
      <c r="H132" s="159" t="n">
        <v>12.74</v>
      </c>
      <c r="I132" s="159" t="n">
        <v>13.96</v>
      </c>
      <c r="J132" s="159"/>
      <c r="K132" s="159" t="n">
        <v>23.0687698744932</v>
      </c>
      <c r="L132" s="159"/>
      <c r="M132" s="160" t="n">
        <f aca="false">G132-F132</f>
        <v>2.83</v>
      </c>
      <c r="N132" s="77"/>
      <c r="O132" s="77" t="n">
        <v>40.3865491462596</v>
      </c>
      <c r="P132" s="77" t="n">
        <v>63.3328536150425</v>
      </c>
      <c r="Q132" s="77" t="n">
        <v>109.38</v>
      </c>
      <c r="R132" s="162"/>
      <c r="S132" s="163"/>
      <c r="T132" s="164"/>
      <c r="U132" s="165"/>
      <c r="V132" s="155"/>
      <c r="W132" s="163"/>
      <c r="X132" s="163"/>
      <c r="Y132" s="172"/>
      <c r="Z132" s="163"/>
      <c r="AA132" s="172"/>
      <c r="AB132" s="162"/>
      <c r="AC132" s="163"/>
      <c r="AD132" s="164"/>
      <c r="AE132" s="163"/>
      <c r="AF132" s="155"/>
      <c r="AG132" s="163"/>
      <c r="AH132" s="155"/>
      <c r="AI132" s="155"/>
      <c r="AJ132" s="155"/>
      <c r="AK132" s="173"/>
      <c r="AL132" s="162"/>
      <c r="AM132" s="37"/>
      <c r="AN132" s="173"/>
      <c r="AW132" s="162"/>
      <c r="BG132" s="162"/>
      <c r="BQ132" s="162"/>
    </row>
    <row r="133" customFormat="false" ht="12.75" hidden="false" customHeight="true" outlineLevel="0" collapsed="false">
      <c r="A133" s="156" t="n">
        <v>36373</v>
      </c>
      <c r="B133" s="73" t="n">
        <v>1999</v>
      </c>
      <c r="C133" s="157" t="s">
        <v>66</v>
      </c>
      <c r="D133" s="74" t="n">
        <v>79.76</v>
      </c>
      <c r="E133" s="159" t="n">
        <v>84.57</v>
      </c>
      <c r="F133" s="159" t="n">
        <v>72.87</v>
      </c>
      <c r="G133" s="159" t="n">
        <v>75.21</v>
      </c>
      <c r="H133" s="159" t="n">
        <v>13.31</v>
      </c>
      <c r="I133" s="159" t="n">
        <v>14.48</v>
      </c>
      <c r="J133" s="159"/>
      <c r="K133" s="159" t="n">
        <v>24.4053618880244</v>
      </c>
      <c r="L133" s="159"/>
      <c r="M133" s="160" t="n">
        <f aca="false">G133-F133</f>
        <v>2.33999999999999</v>
      </c>
      <c r="N133" s="77"/>
      <c r="O133" s="77" t="n">
        <v>42.7264229609941</v>
      </c>
      <c r="P133" s="77" t="n">
        <v>67.0021665154733</v>
      </c>
      <c r="Q133" s="77" t="n">
        <v>115.71</v>
      </c>
      <c r="R133" s="162"/>
      <c r="S133" s="163"/>
      <c r="T133" s="164"/>
      <c r="U133" s="165"/>
      <c r="V133" s="155"/>
      <c r="W133" s="163"/>
      <c r="X133" s="163"/>
      <c r="Y133" s="172"/>
      <c r="Z133" s="163"/>
      <c r="AA133" s="172"/>
      <c r="AB133" s="162"/>
      <c r="AC133" s="163"/>
      <c r="AD133" s="164"/>
      <c r="AE133" s="163"/>
      <c r="AF133" s="155"/>
      <c r="AG133" s="163"/>
      <c r="AH133" s="155"/>
      <c r="AI133" s="155"/>
      <c r="AJ133" s="155"/>
      <c r="AK133" s="173"/>
      <c r="AL133" s="162"/>
      <c r="AM133" s="37"/>
      <c r="AN133" s="173"/>
      <c r="AW133" s="162"/>
      <c r="BG133" s="162"/>
      <c r="BQ133" s="162"/>
    </row>
    <row r="134" customFormat="false" ht="12.75" hidden="false" customHeight="true" outlineLevel="0" collapsed="false">
      <c r="A134" s="156" t="n">
        <v>36404</v>
      </c>
      <c r="B134" s="73" t="n">
        <v>1999</v>
      </c>
      <c r="C134" s="157" t="s">
        <v>67</v>
      </c>
      <c r="D134" s="74" t="n">
        <v>80.05</v>
      </c>
      <c r="E134" s="159" t="n">
        <v>85.11</v>
      </c>
      <c r="F134" s="159" t="n">
        <v>73.02</v>
      </c>
      <c r="G134" s="159" t="n">
        <v>74.96</v>
      </c>
      <c r="H134" s="159" t="n">
        <v>14.31</v>
      </c>
      <c r="I134" s="159" t="n">
        <v>15.45</v>
      </c>
      <c r="J134" s="159"/>
      <c r="K134" s="159" t="n">
        <v>26.0147109290416</v>
      </c>
      <c r="L134" s="159"/>
      <c r="M134" s="160" t="n">
        <f aca="false">G134-F134</f>
        <v>1.94</v>
      </c>
      <c r="N134" s="77"/>
      <c r="O134" s="77" t="n">
        <v>45.6333947421795</v>
      </c>
      <c r="P134" s="77" t="n">
        <v>71.5607837326593</v>
      </c>
      <c r="Q134" s="77" t="n">
        <v>123.78</v>
      </c>
      <c r="R134" s="162"/>
      <c r="S134" s="163"/>
      <c r="T134" s="164"/>
      <c r="U134" s="165"/>
      <c r="V134" s="155"/>
      <c r="W134" s="163"/>
      <c r="X134" s="163"/>
      <c r="Y134" s="172"/>
      <c r="Z134" s="163"/>
      <c r="AA134" s="172"/>
      <c r="AB134" s="162"/>
      <c r="AC134" s="163"/>
      <c r="AD134" s="164"/>
      <c r="AE134" s="163"/>
      <c r="AF134" s="155"/>
      <c r="AG134" s="163"/>
      <c r="AH134" s="155"/>
      <c r="AI134" s="155"/>
      <c r="AJ134" s="155"/>
      <c r="AK134" s="173"/>
      <c r="AL134" s="162"/>
      <c r="AM134" s="37"/>
      <c r="AN134" s="173"/>
      <c r="AW134" s="162"/>
      <c r="BG134" s="162"/>
      <c r="BQ134" s="162"/>
    </row>
    <row r="135" customFormat="false" ht="12.75" hidden="false" customHeight="true" outlineLevel="0" collapsed="false">
      <c r="A135" s="156" t="n">
        <v>36434</v>
      </c>
      <c r="B135" s="73" t="n">
        <v>1999</v>
      </c>
      <c r="C135" s="157" t="s">
        <v>68</v>
      </c>
      <c r="D135" s="74" t="n">
        <v>80.99</v>
      </c>
      <c r="E135" s="159" t="n">
        <v>83.9</v>
      </c>
      <c r="F135" s="159" t="n">
        <v>73.85</v>
      </c>
      <c r="G135" s="159" t="n">
        <v>75.81</v>
      </c>
      <c r="H135" s="159" t="n">
        <v>14.27</v>
      </c>
      <c r="I135" s="159" t="n">
        <v>15.74</v>
      </c>
      <c r="J135" s="159"/>
      <c r="K135" s="159" t="n">
        <v>25.9739875650285</v>
      </c>
      <c r="L135" s="159"/>
      <c r="M135" s="160" t="n">
        <f aca="false">G135-F135</f>
        <v>1.96000000000001</v>
      </c>
      <c r="N135" s="77"/>
      <c r="O135" s="77" t="n">
        <v>45.3833923955755</v>
      </c>
      <c r="P135" s="77" t="n">
        <v>71.1687383027925</v>
      </c>
      <c r="Q135" s="77" t="n">
        <v>122.56</v>
      </c>
      <c r="R135" s="162"/>
      <c r="S135" s="163"/>
      <c r="T135" s="164"/>
      <c r="U135" s="165"/>
      <c r="V135" s="155"/>
      <c r="W135" s="163"/>
      <c r="X135" s="163"/>
      <c r="Y135" s="172"/>
      <c r="Z135" s="163"/>
      <c r="AA135" s="172"/>
      <c r="AB135" s="162"/>
      <c r="AC135" s="163"/>
      <c r="AD135" s="164"/>
      <c r="AE135" s="163"/>
      <c r="AF135" s="155"/>
      <c r="AG135" s="163"/>
      <c r="AH135" s="155"/>
      <c r="AI135" s="155"/>
      <c r="AJ135" s="155"/>
      <c r="AK135" s="173"/>
      <c r="AL135" s="162"/>
      <c r="AM135" s="37"/>
      <c r="AN135" s="173"/>
      <c r="AW135" s="162"/>
      <c r="BG135" s="162"/>
      <c r="BQ135" s="162"/>
    </row>
    <row r="136" customFormat="false" ht="12.75" hidden="false" customHeight="true" outlineLevel="0" collapsed="false">
      <c r="A136" s="156" t="n">
        <v>36465</v>
      </c>
      <c r="B136" s="73" t="n">
        <v>1999</v>
      </c>
      <c r="C136" s="157" t="s">
        <v>69</v>
      </c>
      <c r="D136" s="74" t="n">
        <v>80.35</v>
      </c>
      <c r="E136" s="159" t="n">
        <v>83.4</v>
      </c>
      <c r="F136" s="159" t="n">
        <v>73.36</v>
      </c>
      <c r="G136" s="159" t="n">
        <v>75.23</v>
      </c>
      <c r="H136" s="159" t="n">
        <v>14.95</v>
      </c>
      <c r="I136" s="159" t="n">
        <v>16.27</v>
      </c>
      <c r="J136" s="159"/>
      <c r="K136" s="159" t="n">
        <v>29.304145825862</v>
      </c>
      <c r="L136" s="159"/>
      <c r="M136" s="160" t="n">
        <f aca="false">G136-F136</f>
        <v>1.87</v>
      </c>
      <c r="N136" s="77"/>
      <c r="O136" s="77" t="n">
        <v>51.3265473036463</v>
      </c>
      <c r="P136" s="77" t="n">
        <v>80.4885977055171</v>
      </c>
      <c r="Q136" s="77" t="n">
        <v>139.07</v>
      </c>
      <c r="R136" s="162"/>
      <c r="S136" s="163"/>
      <c r="T136" s="164"/>
      <c r="U136" s="165"/>
      <c r="V136" s="155"/>
      <c r="W136" s="163"/>
      <c r="X136" s="163"/>
      <c r="Y136" s="172"/>
      <c r="Z136" s="163"/>
      <c r="AA136" s="172"/>
      <c r="AB136" s="162"/>
      <c r="AC136" s="163"/>
      <c r="AD136" s="164"/>
      <c r="AE136" s="163"/>
      <c r="AF136" s="155"/>
      <c r="AG136" s="163"/>
      <c r="AH136" s="155"/>
      <c r="AI136" s="155"/>
      <c r="AJ136" s="155"/>
      <c r="AK136" s="173"/>
      <c r="AL136" s="162"/>
      <c r="AM136" s="37"/>
      <c r="AN136" s="173"/>
      <c r="AW136" s="162"/>
      <c r="BG136" s="162"/>
      <c r="BQ136" s="162"/>
    </row>
    <row r="137" customFormat="false" ht="12.75" hidden="false" customHeight="true" outlineLevel="0" collapsed="false">
      <c r="A137" s="156" t="n">
        <v>36495</v>
      </c>
      <c r="B137" s="73" t="n">
        <v>1999</v>
      </c>
      <c r="C137" s="157" t="s">
        <v>70</v>
      </c>
      <c r="D137" s="74" t="n">
        <v>81.02</v>
      </c>
      <c r="E137" s="159" t="n">
        <v>83.54</v>
      </c>
      <c r="F137" s="159" t="n">
        <v>75.42</v>
      </c>
      <c r="G137" s="159" t="n">
        <v>77.65</v>
      </c>
      <c r="H137" s="159" t="n">
        <v>17.11</v>
      </c>
      <c r="I137" s="159" t="n">
        <v>17.73</v>
      </c>
      <c r="J137" s="159"/>
      <c r="K137" s="159" t="n">
        <v>31.0323086196914</v>
      </c>
      <c r="L137" s="159"/>
      <c r="M137" s="160" t="n">
        <f aca="false">G137-F137</f>
        <v>2.23</v>
      </c>
      <c r="N137" s="77"/>
      <c r="O137" s="77" t="n">
        <v>54.2265029142675</v>
      </c>
      <c r="P137" s="77" t="n">
        <v>85.0362123955582</v>
      </c>
      <c r="Q137" s="77" t="n">
        <v>146.54</v>
      </c>
      <c r="R137" s="162"/>
      <c r="S137" s="163"/>
      <c r="T137" s="164"/>
      <c r="U137" s="165"/>
      <c r="V137" s="155"/>
      <c r="W137" s="163"/>
      <c r="X137" s="163"/>
      <c r="Y137" s="172"/>
      <c r="Z137" s="163"/>
      <c r="AA137" s="172"/>
      <c r="AB137" s="162"/>
      <c r="AC137" s="163"/>
      <c r="AD137" s="164"/>
      <c r="AE137" s="163"/>
      <c r="AF137" s="155"/>
      <c r="AG137" s="163"/>
      <c r="AH137" s="155"/>
      <c r="AI137" s="155"/>
      <c r="AJ137" s="155"/>
      <c r="AK137" s="173"/>
      <c r="AL137" s="162"/>
      <c r="AM137" s="37"/>
      <c r="AN137" s="173"/>
      <c r="AW137" s="162"/>
      <c r="BG137" s="162"/>
      <c r="BQ137" s="162"/>
    </row>
    <row r="138" customFormat="false" ht="12.75" hidden="false" customHeight="true" outlineLevel="0" collapsed="false">
      <c r="A138" s="156" t="n">
        <v>36526</v>
      </c>
      <c r="B138" s="73" t="n">
        <v>2000</v>
      </c>
      <c r="C138" s="157" t="s">
        <v>59</v>
      </c>
      <c r="D138" s="74" t="n">
        <v>80.84</v>
      </c>
      <c r="E138" s="159" t="n">
        <v>84.15</v>
      </c>
      <c r="F138" s="159" t="n">
        <v>75.38</v>
      </c>
      <c r="G138" s="159" t="n">
        <v>77.75</v>
      </c>
      <c r="H138" s="159" t="n">
        <v>17.84</v>
      </c>
      <c r="I138" s="159" t="n">
        <v>18.15</v>
      </c>
      <c r="J138" s="159"/>
      <c r="K138" s="159" t="n">
        <v>30.4212323421435</v>
      </c>
      <c r="L138" s="159"/>
      <c r="M138" s="160" t="n">
        <f aca="false">G138-F138</f>
        <v>2.37</v>
      </c>
      <c r="N138" s="77"/>
      <c r="O138" s="77" t="n">
        <v>53.2489203747521</v>
      </c>
      <c r="P138" s="77" t="n">
        <v>83.5031997173138</v>
      </c>
      <c r="Q138" s="77" t="n">
        <v>144.23</v>
      </c>
      <c r="R138" s="162"/>
      <c r="S138" s="163"/>
      <c r="T138" s="164"/>
      <c r="U138" s="165"/>
      <c r="V138" s="155"/>
      <c r="W138" s="163"/>
      <c r="X138" s="163"/>
      <c r="Y138" s="172"/>
      <c r="Z138" s="163"/>
      <c r="AA138" s="172"/>
      <c r="AB138" s="162"/>
      <c r="AC138" s="163"/>
      <c r="AD138" s="164"/>
      <c r="AE138" s="163"/>
      <c r="AF138" s="155"/>
      <c r="AG138" s="163"/>
      <c r="AH138" s="155"/>
      <c r="AI138" s="155"/>
      <c r="AJ138" s="155"/>
      <c r="AK138" s="173"/>
      <c r="AL138" s="162"/>
      <c r="AM138" s="37"/>
      <c r="AN138" s="57" t="n">
        <f aca="false">IF(ABS(E138-E137)&lt;0.05,0,E138-E137)</f>
        <v>0.609999999999999</v>
      </c>
      <c r="AO138" s="164" t="n">
        <f aca="false">IF((E138/E137-1)&lt;0.05,0,(E138/E137-1))</f>
        <v>0</v>
      </c>
      <c r="AP138" s="163" t="n">
        <f aca="false">IF(ABS(E138-E126)&lt;0.05,0,E138-E126)</f>
        <v>4.92</v>
      </c>
      <c r="AQ138" s="164" t="n">
        <f aca="false">IF(ABS(E138/E126-1)&lt;0.05,0,(E138/E126-1))</f>
        <v>0.0620976902688375</v>
      </c>
      <c r="AR138" s="57" t="n">
        <f aca="false">(E138/1.2)-57.95</f>
        <v>12.175</v>
      </c>
      <c r="AW138" s="162"/>
      <c r="BG138" s="162"/>
      <c r="BQ138" s="162"/>
    </row>
    <row r="139" customFormat="false" ht="12.75" hidden="false" customHeight="true" outlineLevel="0" collapsed="false">
      <c r="A139" s="156" t="n">
        <v>36557</v>
      </c>
      <c r="B139" s="73" t="n">
        <v>2000</v>
      </c>
      <c r="C139" s="157" t="s">
        <v>60</v>
      </c>
      <c r="D139" s="74" t="n">
        <v>80.75</v>
      </c>
      <c r="E139" s="159" t="n">
        <v>83.42</v>
      </c>
      <c r="F139" s="159" t="n">
        <v>75.14</v>
      </c>
      <c r="G139" s="159" t="n">
        <v>77.68</v>
      </c>
      <c r="H139" s="159" t="n">
        <v>17.92</v>
      </c>
      <c r="I139" s="159" t="n">
        <v>18.5</v>
      </c>
      <c r="J139" s="159"/>
      <c r="K139" s="159" t="n">
        <v>33.8675430016267</v>
      </c>
      <c r="L139" s="159"/>
      <c r="M139" s="160" t="n">
        <f aca="false">G139-F139</f>
        <v>2.54000000000001</v>
      </c>
      <c r="N139" s="77"/>
      <c r="O139" s="77" t="n">
        <v>59.2573142988531</v>
      </c>
      <c r="P139" s="77" t="n">
        <v>92.9253647920896</v>
      </c>
      <c r="Q139" s="77" t="n">
        <v>160.44</v>
      </c>
      <c r="R139" s="162"/>
      <c r="S139" s="163"/>
      <c r="T139" s="164"/>
      <c r="U139" s="165"/>
      <c r="V139" s="155"/>
      <c r="W139" s="163"/>
      <c r="X139" s="163"/>
      <c r="Y139" s="172"/>
      <c r="Z139" s="163"/>
      <c r="AA139" s="172"/>
      <c r="AB139" s="162"/>
      <c r="AC139" s="163"/>
      <c r="AD139" s="164"/>
      <c r="AE139" s="163"/>
      <c r="AF139" s="155"/>
      <c r="AG139" s="163"/>
      <c r="AH139" s="155"/>
      <c r="AI139" s="155"/>
      <c r="AJ139" s="155"/>
      <c r="AK139" s="173"/>
      <c r="AL139" s="162"/>
      <c r="AM139" s="37"/>
      <c r="AN139" s="57" t="n">
        <f aca="false">IF(ABS(E139-E138)&lt;0.05,0,E139-E138)</f>
        <v>-0.730000000000004</v>
      </c>
      <c r="AO139" s="164" t="n">
        <f aca="false">IF((E139/E138-1)&lt;0.05,0,(E139/E138-1))</f>
        <v>0</v>
      </c>
      <c r="AP139" s="163" t="n">
        <f aca="false">IF(ABS(E139-E127)&lt;0.05,0,E139-E127)</f>
        <v>5.16</v>
      </c>
      <c r="AQ139" s="164" t="n">
        <f aca="false">IF(ABS(E139/E127-1)&lt;0.05,0,(E139/E127-1))</f>
        <v>0.0659340659340659</v>
      </c>
      <c r="AR139" s="57" t="n">
        <f aca="false">(E139/1.2)-57.95</f>
        <v>11.5666666666667</v>
      </c>
      <c r="AW139" s="162"/>
      <c r="BG139" s="162"/>
      <c r="BQ139" s="162"/>
    </row>
    <row r="140" customFormat="false" ht="12.75" hidden="false" customHeight="true" outlineLevel="0" collapsed="false">
      <c r="A140" s="156" t="n">
        <v>36586</v>
      </c>
      <c r="B140" s="73" t="n">
        <v>2000</v>
      </c>
      <c r="C140" s="157" t="s">
        <v>61</v>
      </c>
      <c r="D140" s="74" t="n">
        <v>82.99</v>
      </c>
      <c r="E140" s="159" t="n">
        <v>85.24</v>
      </c>
      <c r="F140" s="159" t="n">
        <v>78.32</v>
      </c>
      <c r="G140" s="159" t="n">
        <v>79.82</v>
      </c>
      <c r="H140" s="159" t="n">
        <v>18.63</v>
      </c>
      <c r="I140" s="159" t="n">
        <v>19.06</v>
      </c>
      <c r="J140" s="159"/>
      <c r="K140" s="159" t="n">
        <v>33.6298202967825</v>
      </c>
      <c r="L140" s="159"/>
      <c r="M140" s="160" t="n">
        <f aca="false">G140-F140</f>
        <v>1.5</v>
      </c>
      <c r="N140" s="77"/>
      <c r="O140" s="77" t="n">
        <v>58.8580024559298</v>
      </c>
      <c r="P140" s="77" t="n">
        <v>92.299177137308</v>
      </c>
      <c r="Q140" s="77" t="n">
        <v>159.39</v>
      </c>
      <c r="R140" s="162"/>
      <c r="S140" s="163"/>
      <c r="T140" s="164"/>
      <c r="U140" s="165"/>
      <c r="V140" s="155"/>
      <c r="W140" s="163"/>
      <c r="X140" s="163"/>
      <c r="Y140" s="172"/>
      <c r="Z140" s="163"/>
      <c r="AA140" s="172"/>
      <c r="AB140" s="162"/>
      <c r="AC140" s="163"/>
      <c r="AD140" s="164"/>
      <c r="AE140" s="163"/>
      <c r="AF140" s="155"/>
      <c r="AG140" s="163"/>
      <c r="AH140" s="155"/>
      <c r="AI140" s="155"/>
      <c r="AJ140" s="155"/>
      <c r="AK140" s="173"/>
      <c r="AL140" s="162"/>
      <c r="AM140" s="37"/>
      <c r="AN140" s="57" t="n">
        <f aca="false">IF(ABS(E140-E139)&lt;0.05,0,E140-E139)</f>
        <v>1.81999999999999</v>
      </c>
      <c r="AO140" s="164" t="n">
        <f aca="false">IF((E140/E139-1)&lt;0.05,0,(E140/E139-1))</f>
        <v>0</v>
      </c>
      <c r="AP140" s="163" t="n">
        <f aca="false">IF(ABS(E140-E128)&lt;0.05,0,E140-E128)</f>
        <v>3</v>
      </c>
      <c r="AQ140" s="164" t="n">
        <f aca="false">IF(ABS(E140/E128-1)&lt;0.05,0,(E140/E128-1))</f>
        <v>0</v>
      </c>
      <c r="AR140" s="57" t="n">
        <f aca="false">(E140/1.2)-57.95</f>
        <v>13.0833333333333</v>
      </c>
      <c r="AW140" s="162"/>
      <c r="BG140" s="162"/>
      <c r="BQ140" s="162"/>
    </row>
    <row r="141" customFormat="false" ht="12.75" hidden="false" customHeight="true" outlineLevel="0" collapsed="false">
      <c r="A141" s="156" t="n">
        <v>36617</v>
      </c>
      <c r="B141" s="73" t="n">
        <v>2000</v>
      </c>
      <c r="C141" s="157" t="s">
        <v>62</v>
      </c>
      <c r="D141" s="74" t="n">
        <v>84.45</v>
      </c>
      <c r="E141" s="159" t="n">
        <v>87.18</v>
      </c>
      <c r="F141" s="159" t="n">
        <v>79.96</v>
      </c>
      <c r="G141" s="159" t="n">
        <v>81.07</v>
      </c>
      <c r="H141" s="159" t="n">
        <v>18.33</v>
      </c>
      <c r="I141" s="159" t="n">
        <v>18.61</v>
      </c>
      <c r="J141" s="159"/>
      <c r="K141" s="159" t="n">
        <v>28.3772694244054</v>
      </c>
      <c r="L141" s="159"/>
      <c r="M141" s="160" t="n">
        <f aca="false">G141-F141</f>
        <v>1.11</v>
      </c>
      <c r="N141" s="77"/>
      <c r="O141" s="77" t="n">
        <v>49.6710133925649</v>
      </c>
      <c r="P141" s="77" t="n">
        <v>77.8924440587783</v>
      </c>
      <c r="Q141" s="77" t="n">
        <v>134.56</v>
      </c>
      <c r="R141" s="162"/>
      <c r="S141" s="163"/>
      <c r="T141" s="164"/>
      <c r="U141" s="165"/>
      <c r="V141" s="155"/>
      <c r="W141" s="163"/>
      <c r="X141" s="163"/>
      <c r="Y141" s="172"/>
      <c r="Z141" s="163"/>
      <c r="AA141" s="172"/>
      <c r="AB141" s="162"/>
      <c r="AC141" s="163"/>
      <c r="AD141" s="164"/>
      <c r="AE141" s="163"/>
      <c r="AF141" s="155"/>
      <c r="AG141" s="163"/>
      <c r="AH141" s="155"/>
      <c r="AI141" s="155"/>
      <c r="AJ141" s="155"/>
      <c r="AK141" s="173"/>
      <c r="AL141" s="162"/>
      <c r="AM141" s="37"/>
      <c r="AN141" s="57" t="n">
        <f aca="false">IF(ABS(E141-E140)&lt;0.05,0,E141-E140)</f>
        <v>1.94000000000001</v>
      </c>
      <c r="AO141" s="164" t="n">
        <f aca="false">IF((E141/E140-1)&lt;0.05,0,(E141/E140-1))</f>
        <v>0</v>
      </c>
      <c r="AP141" s="163" t="n">
        <f aca="false">IF(ABS(E141-E129)&lt;0.05,0,E141-E129)</f>
        <v>3.79000000000001</v>
      </c>
      <c r="AQ141" s="164" t="n">
        <f aca="false">IF(ABS(E141/E129-1)&lt;0.05,0,(E141/E129-1))</f>
        <v>0</v>
      </c>
      <c r="AR141" s="57" t="n">
        <f aca="false">(E141/1.2)-57.95</f>
        <v>14.7</v>
      </c>
      <c r="AW141" s="162"/>
      <c r="BG141" s="162"/>
      <c r="BQ141" s="162"/>
    </row>
    <row r="142" customFormat="false" ht="12.75" hidden="false" customHeight="true" outlineLevel="0" collapsed="false">
      <c r="A142" s="156" t="n">
        <v>36647</v>
      </c>
      <c r="B142" s="73" t="n">
        <v>2000</v>
      </c>
      <c r="C142" s="157" t="s">
        <v>63</v>
      </c>
      <c r="D142" s="74" t="n">
        <v>84.04</v>
      </c>
      <c r="E142" s="159" t="n">
        <v>86.93</v>
      </c>
      <c r="F142" s="159" t="n">
        <v>79.54</v>
      </c>
      <c r="G142" s="159" t="n">
        <v>80.56</v>
      </c>
      <c r="H142" s="159" t="n">
        <v>17.8</v>
      </c>
      <c r="I142" s="159" t="n">
        <v>19.17</v>
      </c>
      <c r="J142" s="159"/>
      <c r="K142" s="159" t="n">
        <v>35.2387004661362</v>
      </c>
      <c r="L142" s="159"/>
      <c r="M142" s="160" t="n">
        <f aca="false">G142-F142</f>
        <v>1.02</v>
      </c>
      <c r="N142" s="77"/>
      <c r="O142" s="77" t="n">
        <v>61.5385535388853</v>
      </c>
      <c r="P142" s="77" t="n">
        <v>96.5027288874131</v>
      </c>
      <c r="Q142" s="77" t="n">
        <v>166.83</v>
      </c>
      <c r="R142" s="162"/>
      <c r="S142" s="163"/>
      <c r="T142" s="164"/>
      <c r="U142" s="165"/>
      <c r="V142" s="155"/>
      <c r="W142" s="163"/>
      <c r="X142" s="163"/>
      <c r="Y142" s="172"/>
      <c r="Z142" s="163"/>
      <c r="AA142" s="172"/>
      <c r="AB142" s="162"/>
      <c r="AC142" s="163"/>
      <c r="AD142" s="164"/>
      <c r="AE142" s="163"/>
      <c r="AF142" s="155"/>
      <c r="AG142" s="163"/>
      <c r="AH142" s="155"/>
      <c r="AI142" s="155"/>
      <c r="AJ142" s="155"/>
      <c r="AK142" s="173"/>
      <c r="AL142" s="162"/>
      <c r="AM142" s="37"/>
      <c r="AN142" s="57" t="n">
        <f aca="false">IF(ABS(E142-E141)&lt;0.05,0,E142-E141)</f>
        <v>-0.25</v>
      </c>
      <c r="AO142" s="164" t="n">
        <f aca="false">IF((E142/E141-1)&lt;0.05,0,(E142/E141-1))</f>
        <v>0</v>
      </c>
      <c r="AP142" s="163" t="n">
        <f aca="false">IF(ABS(E142-E130)&lt;0.05,0,E142-E130)</f>
        <v>3.11000000000001</v>
      </c>
      <c r="AQ142" s="164" t="n">
        <f aca="false">IF(ABS(E142/E130-1)&lt;0.05,0,(E142/E130-1))</f>
        <v>0</v>
      </c>
      <c r="AR142" s="57" t="n">
        <f aca="false">(E142/1.2)-57.95</f>
        <v>14.4916666666667</v>
      </c>
      <c r="AW142" s="162"/>
      <c r="BG142" s="162"/>
      <c r="BQ142" s="162"/>
    </row>
    <row r="143" customFormat="false" ht="12.75" hidden="false" customHeight="true" outlineLevel="0" collapsed="false">
      <c r="A143" s="156" t="n">
        <v>36678</v>
      </c>
      <c r="B143" s="73" t="n">
        <v>2000</v>
      </c>
      <c r="C143" s="157" t="s">
        <v>64</v>
      </c>
      <c r="D143" s="74" t="n">
        <v>88.34</v>
      </c>
      <c r="E143" s="159" t="n">
        <v>89.86</v>
      </c>
      <c r="F143" s="159" t="n">
        <v>84.28</v>
      </c>
      <c r="G143" s="159" t="n">
        <v>82.92</v>
      </c>
      <c r="H143" s="159" t="n">
        <v>18.96</v>
      </c>
      <c r="I143" s="159" t="n">
        <v>19.99</v>
      </c>
      <c r="J143" s="159"/>
      <c r="K143" s="159" t="n">
        <v>38.4088843136059</v>
      </c>
      <c r="L143" s="159"/>
      <c r="M143" s="160" t="n">
        <f aca="false">G143-F143</f>
        <v>-1.36</v>
      </c>
      <c r="N143" s="77"/>
      <c r="O143" s="77" t="n">
        <v>67.2001738204917</v>
      </c>
      <c r="P143" s="77" t="n">
        <v>105.381094979559</v>
      </c>
      <c r="Q143" s="77" t="n">
        <v>181.95</v>
      </c>
      <c r="R143" s="162"/>
      <c r="S143" s="163"/>
      <c r="T143" s="164"/>
      <c r="U143" s="165"/>
      <c r="V143" s="155"/>
      <c r="W143" s="163"/>
      <c r="X143" s="163"/>
      <c r="Y143" s="172"/>
      <c r="Z143" s="163"/>
      <c r="AA143" s="172"/>
      <c r="AB143" s="162"/>
      <c r="AC143" s="163"/>
      <c r="AD143" s="164"/>
      <c r="AE143" s="163"/>
      <c r="AF143" s="155"/>
      <c r="AG143" s="163"/>
      <c r="AH143" s="155"/>
      <c r="AI143" s="155"/>
      <c r="AJ143" s="155"/>
      <c r="AK143" s="173"/>
      <c r="AL143" s="162"/>
      <c r="AM143" s="37"/>
      <c r="AN143" s="57" t="n">
        <f aca="false">IF(ABS(E143-E142)&lt;0.05,0,E143-E142)</f>
        <v>2.92999999999999</v>
      </c>
      <c r="AO143" s="164" t="n">
        <f aca="false">IF((E143/E142-1)&lt;0.05,0,(E143/E142-1))</f>
        <v>0</v>
      </c>
      <c r="AP143" s="163" t="n">
        <f aca="false">IF(ABS(E143-E131)&lt;0.05,0,E143-E131)</f>
        <v>6.12</v>
      </c>
      <c r="AQ143" s="164" t="n">
        <f aca="false">IF(ABS(E143/E131-1)&lt;0.05,0,(E143/E131-1))</f>
        <v>0.0730833532362074</v>
      </c>
      <c r="AR143" s="57" t="n">
        <f aca="false">(E143/1.2)-57.95</f>
        <v>16.9333333333333</v>
      </c>
      <c r="AW143" s="162"/>
      <c r="BG143" s="162"/>
      <c r="BQ143" s="162"/>
    </row>
    <row r="144" customFormat="false" ht="12.75" hidden="false" customHeight="true" outlineLevel="0" collapsed="false">
      <c r="A144" s="156" t="n">
        <v>36708</v>
      </c>
      <c r="B144" s="73" t="n">
        <v>2000</v>
      </c>
      <c r="C144" s="157" t="s">
        <v>65</v>
      </c>
      <c r="D144" s="74" t="n">
        <v>88.76</v>
      </c>
      <c r="E144" s="159" t="n">
        <v>89.94</v>
      </c>
      <c r="F144" s="159" t="n">
        <v>84.65</v>
      </c>
      <c r="G144" s="159" t="n">
        <v>83.18</v>
      </c>
      <c r="H144" s="159" t="n">
        <v>19.86</v>
      </c>
      <c r="I144" s="159" t="n">
        <v>20.81</v>
      </c>
      <c r="J144" s="159"/>
      <c r="K144" s="159" t="n">
        <v>36.3874504951897</v>
      </c>
      <c r="L144" s="159"/>
      <c r="M144" s="160" t="n">
        <f aca="false">G144-F144</f>
        <v>-1.47</v>
      </c>
      <c r="N144" s="77"/>
      <c r="O144" s="77" t="n">
        <v>63.5594142370983</v>
      </c>
      <c r="P144" s="77" t="n">
        <v>99.6717759459477</v>
      </c>
      <c r="Q144" s="77" t="n">
        <v>172.28</v>
      </c>
      <c r="R144" s="162"/>
      <c r="S144" s="163"/>
      <c r="T144" s="164"/>
      <c r="U144" s="165"/>
      <c r="V144" s="155"/>
      <c r="W144" s="163"/>
      <c r="X144" s="163"/>
      <c r="Y144" s="172"/>
      <c r="Z144" s="163"/>
      <c r="AA144" s="172"/>
      <c r="AB144" s="162"/>
      <c r="AC144" s="163"/>
      <c r="AD144" s="164"/>
      <c r="AE144" s="163"/>
      <c r="AF144" s="155"/>
      <c r="AG144" s="163"/>
      <c r="AH144" s="155"/>
      <c r="AI144" s="155"/>
      <c r="AJ144" s="155"/>
      <c r="AK144" s="173"/>
      <c r="AL144" s="162"/>
      <c r="AM144" s="37"/>
      <c r="AN144" s="57" t="n">
        <f aca="false">IF(ABS(E144-E143)&lt;0.05,0,E144-E143)</f>
        <v>0.0799999999999983</v>
      </c>
      <c r="AO144" s="164" t="n">
        <f aca="false">IF((E144/E143-1)&lt;0.05,0,(E144/E143-1))</f>
        <v>0</v>
      </c>
      <c r="AP144" s="163" t="n">
        <f aca="false">IF(ABS(E144-E132)&lt;0.05,0,E144-E132)</f>
        <v>6.06999999999999</v>
      </c>
      <c r="AQ144" s="164" t="n">
        <f aca="false">IF(ABS(E144/E132-1)&lt;0.05,0,(E144/E132-1))</f>
        <v>0.0723739120066769</v>
      </c>
      <c r="AR144" s="57" t="n">
        <f aca="false">(E144/1.2)-57.95</f>
        <v>17</v>
      </c>
      <c r="AW144" s="162"/>
      <c r="BG144" s="162"/>
      <c r="BQ144" s="162"/>
    </row>
    <row r="145" customFormat="false" ht="12.75" hidden="false" customHeight="true" outlineLevel="0" collapsed="false">
      <c r="A145" s="156" t="n">
        <v>36739</v>
      </c>
      <c r="B145" s="73" t="n">
        <v>2000</v>
      </c>
      <c r="C145" s="157" t="s">
        <v>66</v>
      </c>
      <c r="D145" s="74" t="n">
        <v>85.86</v>
      </c>
      <c r="E145" s="159" t="n">
        <v>87.87</v>
      </c>
      <c r="F145" s="159" t="n">
        <v>80.34</v>
      </c>
      <c r="G145" s="159" t="n">
        <v>80.7</v>
      </c>
      <c r="H145" s="159" t="n">
        <v>20.83</v>
      </c>
      <c r="I145" s="159" t="n">
        <v>21.77</v>
      </c>
      <c r="J145" s="159"/>
      <c r="K145" s="159" t="n">
        <v>38.4224156292227</v>
      </c>
      <c r="L145" s="159"/>
      <c r="M145" s="160" t="n">
        <f aca="false">G145-F145</f>
        <v>0.359999999999999</v>
      </c>
      <c r="N145" s="77"/>
      <c r="O145" s="77" t="n">
        <v>67.1482225948599</v>
      </c>
      <c r="P145" s="77" t="n">
        <v>105.299626781914</v>
      </c>
      <c r="Q145" s="77" t="n">
        <v>181.83</v>
      </c>
      <c r="R145" s="162"/>
      <c r="S145" s="163"/>
      <c r="T145" s="164"/>
      <c r="U145" s="165"/>
      <c r="V145" s="155"/>
      <c r="W145" s="163"/>
      <c r="X145" s="163"/>
      <c r="Y145" s="172"/>
      <c r="Z145" s="163"/>
      <c r="AA145" s="172"/>
      <c r="AB145" s="162"/>
      <c r="AC145" s="163"/>
      <c r="AD145" s="164"/>
      <c r="AE145" s="163"/>
      <c r="AF145" s="155"/>
      <c r="AG145" s="163"/>
      <c r="AH145" s="155"/>
      <c r="AI145" s="155"/>
      <c r="AJ145" s="155"/>
      <c r="AK145" s="173"/>
      <c r="AL145" s="162"/>
      <c r="AM145" s="37"/>
      <c r="AN145" s="57" t="n">
        <f aca="false">IF(ABS(E145-E144)&lt;0.05,0,E145-E144)</f>
        <v>-2.06999999999999</v>
      </c>
      <c r="AO145" s="164" t="n">
        <f aca="false">IF((E145/E144-1)&lt;0.05,0,(E145/E144-1))</f>
        <v>0</v>
      </c>
      <c r="AP145" s="163" t="n">
        <f aca="false">IF(ABS(E145-E133)&lt;0.05,0,E145-E133)</f>
        <v>3.30000000000001</v>
      </c>
      <c r="AQ145" s="164" t="n">
        <f aca="false">IF(ABS(E145/E133-1)&lt;0.05,0,(E145/E133-1))</f>
        <v>0</v>
      </c>
      <c r="AR145" s="57" t="n">
        <f aca="false">(E145/1.2)-57.95</f>
        <v>15.275</v>
      </c>
      <c r="AW145" s="162"/>
      <c r="BG145" s="162"/>
      <c r="BQ145" s="162"/>
    </row>
    <row r="146" customFormat="false" ht="12.75" hidden="false" customHeight="true" outlineLevel="0" collapsed="false">
      <c r="A146" s="156" t="n">
        <v>36770</v>
      </c>
      <c r="B146" s="73" t="n">
        <v>2000</v>
      </c>
      <c r="C146" s="157" t="s">
        <v>67</v>
      </c>
      <c r="D146" s="74" t="n">
        <v>85.7</v>
      </c>
      <c r="E146" s="159" t="n">
        <v>88.39</v>
      </c>
      <c r="F146" s="159" t="n">
        <v>80.17</v>
      </c>
      <c r="G146" s="159" t="n">
        <v>82.31</v>
      </c>
      <c r="H146" s="159" t="n">
        <v>24.77</v>
      </c>
      <c r="I146" s="159" t="n">
        <v>26.4</v>
      </c>
      <c r="J146" s="159"/>
      <c r="K146" s="159" t="n">
        <v>42.991465215619</v>
      </c>
      <c r="L146" s="159"/>
      <c r="M146" s="160" t="n">
        <f aca="false">G146-F146</f>
        <v>2.14</v>
      </c>
      <c r="N146" s="77"/>
      <c r="O146" s="77" t="n">
        <v>75.2603277534362</v>
      </c>
      <c r="P146" s="77" t="n">
        <v>118.020762392123</v>
      </c>
      <c r="Q146" s="77" t="n">
        <v>203.84</v>
      </c>
      <c r="R146" s="162"/>
      <c r="S146" s="163"/>
      <c r="T146" s="164"/>
      <c r="U146" s="165"/>
      <c r="V146" s="155"/>
      <c r="W146" s="163"/>
      <c r="X146" s="163"/>
      <c r="Y146" s="172"/>
      <c r="Z146" s="163"/>
      <c r="AA146" s="172"/>
      <c r="AB146" s="162"/>
      <c r="AC146" s="163"/>
      <c r="AD146" s="164"/>
      <c r="AE146" s="163"/>
      <c r="AF146" s="155"/>
      <c r="AG146" s="163"/>
      <c r="AH146" s="155"/>
      <c r="AI146" s="155"/>
      <c r="AJ146" s="155"/>
      <c r="AK146" s="173"/>
      <c r="AL146" s="162"/>
      <c r="AM146" s="37"/>
      <c r="AN146" s="57" t="n">
        <f aca="false">IF(ABS(E146-E145)&lt;0.05,0,E146-E145)</f>
        <v>0.519999999999996</v>
      </c>
      <c r="AO146" s="164" t="n">
        <f aca="false">IF((E146/E145-1)&lt;0.05,0,(E146/E145-1))</f>
        <v>0</v>
      </c>
      <c r="AP146" s="163" t="n">
        <f aca="false">IF(ABS(E146-E134)&lt;0.05,0,E146-E134)</f>
        <v>3.28</v>
      </c>
      <c r="AQ146" s="164" t="n">
        <f aca="false">IF(ABS(E146/E134-1)&lt;0.05,0,(E146/E134-1))</f>
        <v>0</v>
      </c>
      <c r="AR146" s="57" t="n">
        <f aca="false">(E146/1.2)-57.95</f>
        <v>15.7083333333333</v>
      </c>
      <c r="AW146" s="162"/>
      <c r="BG146" s="162"/>
      <c r="BQ146" s="162"/>
    </row>
    <row r="147" customFormat="false" ht="12.75" hidden="false" customHeight="true" outlineLevel="0" collapsed="false">
      <c r="A147" s="156" t="n">
        <v>36800</v>
      </c>
      <c r="B147" s="73" t="n">
        <v>2000</v>
      </c>
      <c r="C147" s="157" t="s">
        <v>68</v>
      </c>
      <c r="D147" s="74" t="n">
        <v>85.07</v>
      </c>
      <c r="E147" s="159" t="n">
        <v>87.82</v>
      </c>
      <c r="F147" s="159" t="n">
        <v>79.46</v>
      </c>
      <c r="G147" s="159" t="n">
        <v>81.35</v>
      </c>
      <c r="H147" s="159" t="n">
        <v>24.99</v>
      </c>
      <c r="I147" s="159" t="n">
        <v>26.13</v>
      </c>
      <c r="J147" s="159"/>
      <c r="K147" s="159" t="n">
        <v>41.1812361024103</v>
      </c>
      <c r="L147" s="159"/>
      <c r="M147" s="160" t="n">
        <f aca="false">G147-F147</f>
        <v>1.89</v>
      </c>
      <c r="N147" s="77"/>
      <c r="O147" s="77" t="n">
        <v>72.1384967779018</v>
      </c>
      <c r="P147" s="77" t="n">
        <v>113.125210076712</v>
      </c>
      <c r="Q147" s="77" t="n">
        <v>195.44</v>
      </c>
      <c r="R147" s="162"/>
      <c r="S147" s="163"/>
      <c r="T147" s="164"/>
      <c r="U147" s="165"/>
      <c r="V147" s="155"/>
      <c r="W147" s="163"/>
      <c r="X147" s="163"/>
      <c r="Y147" s="172"/>
      <c r="Z147" s="163"/>
      <c r="AA147" s="172"/>
      <c r="AB147" s="162"/>
      <c r="AC147" s="163"/>
      <c r="AD147" s="164"/>
      <c r="AE147" s="163"/>
      <c r="AF147" s="155"/>
      <c r="AG147" s="163"/>
      <c r="AH147" s="155"/>
      <c r="AI147" s="155"/>
      <c r="AJ147" s="155"/>
      <c r="AK147" s="173"/>
      <c r="AL147" s="162"/>
      <c r="AM147" s="37"/>
      <c r="AN147" s="57" t="n">
        <f aca="false">IF(ABS(E147-E146)&lt;0.05,0,E147-E146)</f>
        <v>-0.570000000000007</v>
      </c>
      <c r="AO147" s="164" t="n">
        <f aca="false">IF((E147/E146-1)&lt;0.05,0,(E147/E146-1))</f>
        <v>0</v>
      </c>
      <c r="AP147" s="163" t="n">
        <f aca="false">IF(ABS(E147-E135)&lt;0.05,0,E147-E135)</f>
        <v>3.91999999999999</v>
      </c>
      <c r="AQ147" s="164" t="n">
        <f aca="false">IF(ABS(E147/E135-1)&lt;0.05,0,(E147/E135-1))</f>
        <v>0</v>
      </c>
      <c r="AR147" s="57" t="n">
        <f aca="false">(E147/1.2)-57.95</f>
        <v>15.2333333333333</v>
      </c>
      <c r="AW147" s="162"/>
      <c r="BG147" s="162"/>
      <c r="BQ147" s="162"/>
    </row>
    <row r="148" customFormat="false" ht="12.75" hidden="false" customHeight="true" outlineLevel="0" collapsed="false">
      <c r="A148" s="156" t="n">
        <v>36831</v>
      </c>
      <c r="B148" s="73" t="n">
        <v>2000</v>
      </c>
      <c r="C148" s="157" t="s">
        <v>69</v>
      </c>
      <c r="D148" s="74" t="n">
        <v>86.92</v>
      </c>
      <c r="E148" s="159" t="n">
        <v>88.83</v>
      </c>
      <c r="F148" s="159" t="n">
        <v>82.05</v>
      </c>
      <c r="G148" s="159" t="n">
        <v>84.22</v>
      </c>
      <c r="H148" s="159" t="n">
        <v>24.54</v>
      </c>
      <c r="I148" s="159" t="n">
        <v>25.73</v>
      </c>
      <c r="J148" s="159"/>
      <c r="K148" s="159" t="n">
        <v>43.9644808394241</v>
      </c>
      <c r="L148" s="159"/>
      <c r="M148" s="160" t="n">
        <f aca="false">G148-F148</f>
        <v>2.17</v>
      </c>
      <c r="N148" s="77"/>
      <c r="O148" s="77" t="n">
        <v>76.936334625149</v>
      </c>
      <c r="P148" s="77" t="n">
        <v>120.649021060116</v>
      </c>
      <c r="Q148" s="77" t="n">
        <v>208.4</v>
      </c>
      <c r="R148" s="162"/>
      <c r="S148" s="163"/>
      <c r="T148" s="164"/>
      <c r="U148" s="165"/>
      <c r="V148" s="155"/>
      <c r="W148" s="163"/>
      <c r="X148" s="163"/>
      <c r="Y148" s="172"/>
      <c r="Z148" s="163"/>
      <c r="AA148" s="172"/>
      <c r="AB148" s="162"/>
      <c r="AC148" s="163"/>
      <c r="AD148" s="164"/>
      <c r="AE148" s="163"/>
      <c r="AF148" s="155"/>
      <c r="AG148" s="163"/>
      <c r="AH148" s="155"/>
      <c r="AI148" s="155"/>
      <c r="AJ148" s="155"/>
      <c r="AK148" s="173"/>
      <c r="AL148" s="162"/>
      <c r="AM148" s="37"/>
      <c r="AN148" s="57" t="n">
        <f aca="false">IF(ABS(E148-E147)&lt;0.05,0,E148-E147)</f>
        <v>1.01000000000001</v>
      </c>
      <c r="AO148" s="164" t="n">
        <f aca="false">IF((E148/E147-1)&lt;0.05,0,(E148/E147-1))</f>
        <v>0</v>
      </c>
      <c r="AP148" s="163" t="n">
        <f aca="false">IF(ABS(E148-E136)&lt;0.05,0,E148-E136)</f>
        <v>5.42999999999999</v>
      </c>
      <c r="AQ148" s="164" t="n">
        <f aca="false">IF(ABS(E148/E136-1)&lt;0.05,0,(E148/E136-1))</f>
        <v>0.0651079136690647</v>
      </c>
      <c r="AR148" s="57" t="n">
        <f aca="false">(E148/1.2)-57.95</f>
        <v>16.075</v>
      </c>
      <c r="AW148" s="162"/>
      <c r="BG148" s="162"/>
      <c r="BQ148" s="162"/>
    </row>
    <row r="149" customFormat="false" ht="12.75" hidden="false" customHeight="true" outlineLevel="0" collapsed="false">
      <c r="A149" s="156" t="n">
        <v>36861</v>
      </c>
      <c r="B149" s="73" t="n">
        <v>2000</v>
      </c>
      <c r="C149" s="157" t="s">
        <v>70</v>
      </c>
      <c r="D149" s="74" t="n">
        <v>84.99</v>
      </c>
      <c r="E149" s="159" t="n">
        <v>88.16</v>
      </c>
      <c r="F149" s="159" t="n">
        <v>79.83</v>
      </c>
      <c r="G149" s="159" t="n">
        <v>84.56</v>
      </c>
      <c r="H149" s="159" t="n">
        <v>22.4</v>
      </c>
      <c r="I149" s="159" t="n">
        <v>23.81</v>
      </c>
      <c r="J149" s="159"/>
      <c r="K149" s="159" t="n">
        <v>34.5528738592552</v>
      </c>
      <c r="L149" s="159"/>
      <c r="M149" s="160" t="n">
        <f aca="false">G149-F149</f>
        <v>4.73</v>
      </c>
      <c r="N149" s="77"/>
      <c r="O149" s="77" t="n">
        <v>60.3924991978884</v>
      </c>
      <c r="P149" s="77" t="n">
        <v>94.705524289655</v>
      </c>
      <c r="Q149" s="77" t="n">
        <v>163.68</v>
      </c>
      <c r="R149" s="162"/>
      <c r="S149" s="163"/>
      <c r="T149" s="164"/>
      <c r="U149" s="165"/>
      <c r="V149" s="155"/>
      <c r="W149" s="163"/>
      <c r="X149" s="163"/>
      <c r="Y149" s="172"/>
      <c r="Z149" s="163"/>
      <c r="AA149" s="172"/>
      <c r="AB149" s="162"/>
      <c r="AC149" s="163"/>
      <c r="AD149" s="164"/>
      <c r="AE149" s="163"/>
      <c r="AF149" s="155"/>
      <c r="AG149" s="163"/>
      <c r="AH149" s="155"/>
      <c r="AI149" s="155"/>
      <c r="AJ149" s="155"/>
      <c r="AK149" s="173"/>
      <c r="AL149" s="162"/>
      <c r="AM149" s="37"/>
      <c r="AN149" s="57" t="n">
        <f aca="false">IF(ABS(E149-E148)&lt;0.05,0,E149-E148)</f>
        <v>-0.670000000000002</v>
      </c>
      <c r="AO149" s="164" t="n">
        <f aca="false">IF((E149/E148-1)&lt;0.05,0,(E149/E148-1))</f>
        <v>0</v>
      </c>
      <c r="AP149" s="163" t="n">
        <f aca="false">IF(ABS(E149-E137)&lt;0.05,0,E149-E137)</f>
        <v>4.61999999999999</v>
      </c>
      <c r="AQ149" s="164" t="n">
        <f aca="false">IF(ABS(E149/E137-1)&lt;0.05,0,(E149/E137-1))</f>
        <v>0.0553028489346419</v>
      </c>
      <c r="AR149" s="57" t="n">
        <f aca="false">(E149/1.2)-57.95</f>
        <v>15.5166666666667</v>
      </c>
      <c r="AW149" s="162"/>
      <c r="BG149" s="162"/>
      <c r="BQ149" s="162"/>
    </row>
    <row r="150" customFormat="false" ht="12.75" hidden="false" customHeight="true" outlineLevel="0" collapsed="false">
      <c r="A150" s="156" t="n">
        <v>36892</v>
      </c>
      <c r="B150" s="73" t="n">
        <v>2001</v>
      </c>
      <c r="C150" s="157" t="s">
        <v>59</v>
      </c>
      <c r="D150" s="74" t="n">
        <v>82.19</v>
      </c>
      <c r="E150" s="159" t="n">
        <v>85.06</v>
      </c>
      <c r="F150" s="159" t="n">
        <v>76.85</v>
      </c>
      <c r="G150" s="159" t="n">
        <v>81.63</v>
      </c>
      <c r="H150" s="159" t="n">
        <v>19.86</v>
      </c>
      <c r="I150" s="159" t="n">
        <v>20.46</v>
      </c>
      <c r="J150" s="159"/>
      <c r="K150" s="159" t="n">
        <v>33.5595498917321</v>
      </c>
      <c r="L150" s="159"/>
      <c r="M150" s="160" t="n">
        <f aca="false">G150-F150</f>
        <v>4.78</v>
      </c>
      <c r="N150" s="77"/>
      <c r="O150" s="77" t="n">
        <v>58.6721743258401</v>
      </c>
      <c r="P150" s="77" t="n">
        <v>92.0077675960298</v>
      </c>
      <c r="Q150" s="77" t="n">
        <v>159.02</v>
      </c>
      <c r="R150" s="162"/>
      <c r="S150" s="163"/>
      <c r="T150" s="164"/>
      <c r="U150" s="165"/>
      <c r="V150" s="155"/>
      <c r="W150" s="163"/>
      <c r="X150" s="163"/>
      <c r="Y150" s="172"/>
      <c r="Z150" s="163"/>
      <c r="AA150" s="172"/>
      <c r="AB150" s="162"/>
      <c r="AC150" s="163"/>
      <c r="AD150" s="164"/>
      <c r="AE150" s="163"/>
      <c r="AF150" s="155"/>
      <c r="AG150" s="163"/>
      <c r="AH150" s="155"/>
      <c r="AI150" s="155"/>
      <c r="AJ150" s="155"/>
      <c r="AK150" s="173"/>
      <c r="AL150" s="162"/>
      <c r="AM150" s="37"/>
      <c r="AN150" s="57" t="n">
        <f aca="false">IF(ABS(E150-E149)&lt;0.05,0,E150-E149)</f>
        <v>-3.09999999999999</v>
      </c>
      <c r="AO150" s="164" t="n">
        <f aca="false">IF((E150/E149-1)&lt;0.05,0,(E150/E149-1))</f>
        <v>0</v>
      </c>
      <c r="AP150" s="163" t="n">
        <f aca="false">IF(ABS(E150-E138)&lt;0.05,0,E150-E138)</f>
        <v>0.909999999999997</v>
      </c>
      <c r="AQ150" s="164" t="n">
        <f aca="false">IF(ABS(E150/E138-1)&lt;0.05,0,(E150/E138-1))</f>
        <v>0</v>
      </c>
      <c r="AR150" s="57" t="n">
        <f aca="false">(E150/1.2)-57.95</f>
        <v>12.9333333333333</v>
      </c>
      <c r="AW150" s="162"/>
      <c r="BG150" s="162"/>
      <c r="BQ150" s="162"/>
    </row>
    <row r="151" customFormat="false" ht="12.75" hidden="false" customHeight="true" outlineLevel="0" collapsed="false">
      <c r="A151" s="156" t="n">
        <v>36923</v>
      </c>
      <c r="B151" s="73" t="n">
        <v>2001</v>
      </c>
      <c r="C151" s="157" t="s">
        <v>60</v>
      </c>
      <c r="D151" s="74" t="n">
        <v>81.97</v>
      </c>
      <c r="E151" s="159" t="n">
        <v>85.1</v>
      </c>
      <c r="F151" s="159" t="n">
        <v>77.17</v>
      </c>
      <c r="G151" s="159" t="n">
        <v>81.15</v>
      </c>
      <c r="H151" s="159" t="n">
        <v>19.87</v>
      </c>
      <c r="I151" s="159" t="n">
        <v>20.73</v>
      </c>
      <c r="J151" s="159"/>
      <c r="K151" s="159" t="n">
        <v>36.3533003308169</v>
      </c>
      <c r="L151" s="159"/>
      <c r="M151" s="160" t="n">
        <f aca="false">G151-F151</f>
        <v>3.98</v>
      </c>
      <c r="N151" s="77"/>
      <c r="O151" s="77" t="n">
        <v>63.7094236425259</v>
      </c>
      <c r="P151" s="77" t="n">
        <v>99.9070157452289</v>
      </c>
      <c r="Q151" s="77" t="n">
        <v>172.4</v>
      </c>
      <c r="R151" s="162"/>
      <c r="S151" s="163"/>
      <c r="T151" s="164"/>
      <c r="U151" s="165"/>
      <c r="V151" s="155"/>
      <c r="W151" s="163"/>
      <c r="X151" s="163"/>
      <c r="Y151" s="172"/>
      <c r="Z151" s="163"/>
      <c r="AA151" s="172"/>
      <c r="AB151" s="162"/>
      <c r="AC151" s="163"/>
      <c r="AD151" s="164"/>
      <c r="AE151" s="163"/>
      <c r="AF151" s="155"/>
      <c r="AG151" s="163"/>
      <c r="AH151" s="155"/>
      <c r="AI151" s="155"/>
      <c r="AJ151" s="155"/>
      <c r="AK151" s="173"/>
      <c r="AL151" s="162"/>
      <c r="AM151" s="37"/>
      <c r="AN151" s="57" t="n">
        <f aca="false">IF(ABS(E151-E150)&lt;0.05,0,E151-E150)</f>
        <v>0</v>
      </c>
      <c r="AO151" s="164" t="n">
        <f aca="false">IF((E151/E150-1)&lt;0.05,0,(E151/E150-1))</f>
        <v>0</v>
      </c>
      <c r="AP151" s="163" t="n">
        <f aca="false">IF(ABS(E151-E139)&lt;0.05,0,E151-E139)</f>
        <v>1.67999999999999</v>
      </c>
      <c r="AQ151" s="164" t="n">
        <f aca="false">IF(ABS(E151/E139-1)&lt;0.05,0,(E151/E139-1))</f>
        <v>0</v>
      </c>
      <c r="AR151" s="57" t="n">
        <f aca="false">(E151/1.2)-57.95</f>
        <v>12.9666666666667</v>
      </c>
      <c r="AW151" s="162"/>
      <c r="BG151" s="162"/>
      <c r="BQ151" s="162"/>
    </row>
    <row r="152" customFormat="false" ht="12.75" hidden="false" customHeight="true" outlineLevel="0" collapsed="false">
      <c r="A152" s="156" t="n">
        <v>36951</v>
      </c>
      <c r="B152" s="73" t="n">
        <v>2001</v>
      </c>
      <c r="C152" s="157" t="s">
        <v>61</v>
      </c>
      <c r="D152" s="74" t="n">
        <v>77.8</v>
      </c>
      <c r="E152" s="159" t="n">
        <v>81.24</v>
      </c>
      <c r="F152" s="159" t="n">
        <v>74.87</v>
      </c>
      <c r="G152" s="159" t="n">
        <v>77.73</v>
      </c>
      <c r="H152" s="159" t="n">
        <v>19.54</v>
      </c>
      <c r="I152" s="159" t="n">
        <v>20.02</v>
      </c>
      <c r="J152" s="159"/>
      <c r="K152" s="159" t="n">
        <v>32.4318891920337</v>
      </c>
      <c r="L152" s="159"/>
      <c r="M152" s="160" t="n">
        <f aca="false">G152-F152</f>
        <v>2.86</v>
      </c>
      <c r="N152" s="77"/>
      <c r="O152" s="77" t="n">
        <v>56.9344836077204</v>
      </c>
      <c r="P152" s="77" t="n">
        <v>89.2827783556681</v>
      </c>
      <c r="Q152" s="77" t="n">
        <v>154.2</v>
      </c>
      <c r="R152" s="162"/>
      <c r="S152" s="163"/>
      <c r="T152" s="164"/>
      <c r="U152" s="165"/>
      <c r="V152" s="155"/>
      <c r="W152" s="163"/>
      <c r="X152" s="163"/>
      <c r="Y152" s="172"/>
      <c r="Z152" s="163"/>
      <c r="AA152" s="172"/>
      <c r="AB152" s="162"/>
      <c r="AC152" s="163"/>
      <c r="AD152" s="164"/>
      <c r="AE152" s="163"/>
      <c r="AF152" s="155"/>
      <c r="AG152" s="163"/>
      <c r="AH152" s="155"/>
      <c r="AI152" s="155"/>
      <c r="AJ152" s="155"/>
      <c r="AK152" s="173"/>
      <c r="AL152" s="162"/>
      <c r="AM152" s="37"/>
      <c r="AN152" s="57" t="n">
        <f aca="false">IF(ABS(E152-E151)&lt;0.05,0,E152-E151)</f>
        <v>-3.86</v>
      </c>
      <c r="AO152" s="164" t="n">
        <f aca="false">IF((E152/E151-1)&lt;0.05,0,(E152/E151-1))</f>
        <v>0</v>
      </c>
      <c r="AP152" s="163" t="n">
        <f aca="false">IF(ABS(E152-E140)&lt;0.05,0,E152-E140)</f>
        <v>-4</v>
      </c>
      <c r="AQ152" s="164" t="n">
        <f aca="false">IF(ABS(E152/E140-1)&lt;0.05,0,(E152/E140-1))</f>
        <v>0</v>
      </c>
      <c r="AR152" s="57" t="n">
        <f aca="false">(E152/1.2)-57.95</f>
        <v>9.75</v>
      </c>
      <c r="AW152" s="162"/>
      <c r="BG152" s="162"/>
      <c r="BQ152" s="162"/>
    </row>
    <row r="153" customFormat="false" ht="12.75" hidden="false" customHeight="true" outlineLevel="0" collapsed="false">
      <c r="A153" s="156" t="n">
        <v>36982</v>
      </c>
      <c r="B153" s="73" t="n">
        <v>2001</v>
      </c>
      <c r="C153" s="157" t="s">
        <v>62</v>
      </c>
      <c r="D153" s="74" t="n">
        <v>78.23</v>
      </c>
      <c r="E153" s="159" t="n">
        <v>82.27</v>
      </c>
      <c r="F153" s="159" t="n">
        <v>75.88</v>
      </c>
      <c r="G153" s="159" t="n">
        <v>77.31</v>
      </c>
      <c r="H153" s="159" t="n">
        <v>19.46</v>
      </c>
      <c r="I153" s="159" t="n">
        <v>20.29</v>
      </c>
      <c r="J153" s="159"/>
      <c r="K153" s="159" t="n">
        <v>34.0566979147721</v>
      </c>
      <c r="L153" s="159"/>
      <c r="M153" s="160" t="n">
        <f aca="false">G153-F153</f>
        <v>1.43000000000001</v>
      </c>
      <c r="N153" s="77"/>
      <c r="O153" s="77" t="n">
        <v>59.5147916548883</v>
      </c>
      <c r="P153" s="77" t="n">
        <v>93.3291322850713</v>
      </c>
      <c r="Q153" s="77" t="n">
        <v>161.4</v>
      </c>
      <c r="R153" s="162"/>
      <c r="S153" s="163"/>
      <c r="T153" s="164"/>
      <c r="U153" s="165"/>
      <c r="V153" s="155"/>
      <c r="W153" s="163"/>
      <c r="X153" s="163"/>
      <c r="Y153" s="172"/>
      <c r="Z153" s="163"/>
      <c r="AA153" s="172"/>
      <c r="AB153" s="162"/>
      <c r="AC153" s="163"/>
      <c r="AD153" s="164"/>
      <c r="AE153" s="163"/>
      <c r="AF153" s="155"/>
      <c r="AG153" s="163"/>
      <c r="AH153" s="155"/>
      <c r="AI153" s="155"/>
      <c r="AJ153" s="155"/>
      <c r="AK153" s="173"/>
      <c r="AL153" s="162"/>
      <c r="AM153" s="37"/>
      <c r="AN153" s="57" t="n">
        <f aca="false">IF(ABS(E153-E152)&lt;0.05,0,E153-E152)</f>
        <v>1.03</v>
      </c>
      <c r="AO153" s="164" t="n">
        <f aca="false">IF((E153/E152-1)&lt;0.05,0,(E153/E152-1))</f>
        <v>0</v>
      </c>
      <c r="AP153" s="163" t="n">
        <f aca="false">IF(ABS(E153-E141)&lt;0.05,0,E153-E141)</f>
        <v>-4.91000000000001</v>
      </c>
      <c r="AQ153" s="164" t="n">
        <f aca="false">IF(ABS(E153/E141-1)&lt;0.05,0,(E153/E141-1))</f>
        <v>-0.0563202569396651</v>
      </c>
      <c r="AR153" s="57" t="n">
        <f aca="false">(E153/1.2)-57.95</f>
        <v>10.6083333333333</v>
      </c>
      <c r="AW153" s="162"/>
      <c r="BG153" s="162"/>
      <c r="BQ153" s="162"/>
    </row>
    <row r="154" customFormat="false" ht="12.75" hidden="false" customHeight="true" outlineLevel="0" collapsed="false">
      <c r="A154" s="156" t="n">
        <v>37012</v>
      </c>
      <c r="B154" s="73" t="n">
        <v>2001</v>
      </c>
      <c r="C154" s="157" t="s">
        <v>63</v>
      </c>
      <c r="D154" s="74" t="n">
        <v>80.09</v>
      </c>
      <c r="E154" s="159" t="n">
        <v>83.31</v>
      </c>
      <c r="F154" s="159" t="n">
        <v>78.18</v>
      </c>
      <c r="G154" s="159" t="n">
        <v>77.76</v>
      </c>
      <c r="H154" s="159" t="n">
        <v>19.08</v>
      </c>
      <c r="I154" s="159" t="n">
        <v>19.68</v>
      </c>
      <c r="J154" s="159"/>
      <c r="K154" s="159" t="n">
        <v>38.3132005487346</v>
      </c>
      <c r="L154" s="159"/>
      <c r="M154" s="160" t="n">
        <f aca="false">G154-F154</f>
        <v>-0.420000000000002</v>
      </c>
      <c r="N154" s="77"/>
      <c r="O154" s="77" t="n">
        <v>67.0766689543323</v>
      </c>
      <c r="P154" s="77" t="n">
        <v>105.187418724108</v>
      </c>
      <c r="Q154" s="77" t="n">
        <v>181.7</v>
      </c>
      <c r="R154" s="162"/>
      <c r="S154" s="163"/>
      <c r="T154" s="164"/>
      <c r="U154" s="165"/>
      <c r="V154" s="155"/>
      <c r="W154" s="163"/>
      <c r="X154" s="163"/>
      <c r="Y154" s="172"/>
      <c r="Z154" s="163"/>
      <c r="AA154" s="172"/>
      <c r="AB154" s="162"/>
      <c r="AC154" s="163"/>
      <c r="AD154" s="164"/>
      <c r="AE154" s="163"/>
      <c r="AF154" s="155"/>
      <c r="AG154" s="163"/>
      <c r="AH154" s="155"/>
      <c r="AI154" s="155"/>
      <c r="AJ154" s="155"/>
      <c r="AK154" s="173"/>
      <c r="AL154" s="162"/>
      <c r="AM154" s="37"/>
      <c r="AN154" s="57" t="n">
        <f aca="false">IF(ABS(E154-E153)&lt;0.05,0,E154-E153)</f>
        <v>1.04000000000001</v>
      </c>
      <c r="AO154" s="164" t="n">
        <f aca="false">IF((E154/E153-1)&lt;0.05,0,(E154/E153-1))</f>
        <v>0</v>
      </c>
      <c r="AP154" s="163" t="n">
        <f aca="false">IF(ABS(E154-E142)&lt;0.05,0,E154-E142)</f>
        <v>-3.62</v>
      </c>
      <c r="AQ154" s="164" t="n">
        <f aca="false">IF(ABS(E154/E142-1)&lt;0.05,0,(E154/E142-1))</f>
        <v>0</v>
      </c>
      <c r="AR154" s="57" t="n">
        <f aca="false">(E154/1.2)-57.95</f>
        <v>11.475</v>
      </c>
      <c r="AW154" s="162"/>
      <c r="BG154" s="162"/>
      <c r="BQ154" s="162"/>
    </row>
    <row r="155" customFormat="false" ht="12.75" hidden="false" customHeight="true" outlineLevel="0" collapsed="false">
      <c r="A155" s="156" t="n">
        <v>37043</v>
      </c>
      <c r="B155" s="73" t="n">
        <v>2001</v>
      </c>
      <c r="C155" s="157" t="s">
        <v>64</v>
      </c>
      <c r="D155" s="176" t="n">
        <v>82.34</v>
      </c>
      <c r="E155" s="159" t="n">
        <v>84.54</v>
      </c>
      <c r="F155" s="159" t="n">
        <v>78.92</v>
      </c>
      <c r="G155" s="159" t="n">
        <v>78.22</v>
      </c>
      <c r="H155" s="159" t="n">
        <v>19.42</v>
      </c>
      <c r="I155" s="159" t="n">
        <v>20.23</v>
      </c>
      <c r="J155" s="159"/>
      <c r="K155" s="159" t="n">
        <v>38.634354339701</v>
      </c>
      <c r="L155" s="159"/>
      <c r="M155" s="160" t="n">
        <f aca="false">G155-F155</f>
        <v>-0.700000000000003</v>
      </c>
      <c r="N155" s="77"/>
      <c r="O155" s="77" t="n">
        <v>67.5896891422933</v>
      </c>
      <c r="P155" s="77" t="n">
        <v>105.991920053203</v>
      </c>
      <c r="Q155" s="77" t="n">
        <v>183.2</v>
      </c>
      <c r="R155" s="162"/>
      <c r="S155" s="163"/>
      <c r="T155" s="164"/>
      <c r="U155" s="165"/>
      <c r="V155" s="155"/>
      <c r="W155" s="163"/>
      <c r="X155" s="163"/>
      <c r="Y155" s="172"/>
      <c r="Z155" s="163"/>
      <c r="AA155" s="172"/>
      <c r="AB155" s="162"/>
      <c r="AC155" s="163"/>
      <c r="AD155" s="164"/>
      <c r="AE155" s="163"/>
      <c r="AF155" s="155"/>
      <c r="AG155" s="163"/>
      <c r="AH155" s="155"/>
      <c r="AI155" s="155"/>
      <c r="AJ155" s="155"/>
      <c r="AK155" s="173"/>
      <c r="AL155" s="162"/>
      <c r="AM155" s="37"/>
      <c r="AN155" s="57" t="n">
        <f aca="false">IF(ABS(E155-E154)&lt;0.05,0,E155-E154)</f>
        <v>1.23</v>
      </c>
      <c r="AO155" s="164" t="n">
        <f aca="false">IF((E155/E154-1)&lt;0.05,0,(E155/E154-1))</f>
        <v>0</v>
      </c>
      <c r="AP155" s="163" t="n">
        <f aca="false">IF(ABS(E155-E143)&lt;0.05,0,E155-E143)</f>
        <v>-5.31999999999999</v>
      </c>
      <c r="AQ155" s="164" t="n">
        <f aca="false">IF(ABS(E155/E143-1)&lt;0.05,0,(E155/E143-1))</f>
        <v>-0.059203204985533</v>
      </c>
      <c r="AR155" s="57" t="n">
        <f aca="false">(E155/1.2)-57.95</f>
        <v>12.5</v>
      </c>
      <c r="AW155" s="162"/>
      <c r="BG155" s="162"/>
      <c r="BQ155" s="162"/>
    </row>
    <row r="156" customFormat="false" ht="12.75" hidden="false" customHeight="true" outlineLevel="0" collapsed="false">
      <c r="A156" s="156" t="n">
        <v>37073</v>
      </c>
      <c r="B156" s="73" t="n">
        <v>2001</v>
      </c>
      <c r="C156" s="157" t="s">
        <v>65</v>
      </c>
      <c r="D156" s="176" t="n">
        <v>81.44</v>
      </c>
      <c r="E156" s="159" t="n">
        <v>83.99</v>
      </c>
      <c r="F156" s="159" t="n">
        <v>77.8</v>
      </c>
      <c r="G156" s="159" t="n">
        <v>77.88</v>
      </c>
      <c r="H156" s="159" t="n">
        <v>18.5</v>
      </c>
      <c r="I156" s="159" t="n">
        <v>19.58</v>
      </c>
      <c r="J156" s="159"/>
      <c r="K156" s="159" t="n">
        <v>33.4584029298965</v>
      </c>
      <c r="L156" s="159"/>
      <c r="M156" s="160" t="n">
        <f aca="false">G156-F156</f>
        <v>0.0799999999999983</v>
      </c>
      <c r="N156" s="77"/>
      <c r="O156" s="77" t="n">
        <v>58.4541369897669</v>
      </c>
      <c r="P156" s="77" t="n">
        <v>91.6658486408319</v>
      </c>
      <c r="Q156" s="77" t="n">
        <v>158.6</v>
      </c>
      <c r="R156" s="162"/>
      <c r="S156" s="163"/>
      <c r="T156" s="164"/>
      <c r="U156" s="165"/>
      <c r="V156" s="155"/>
      <c r="W156" s="163"/>
      <c r="X156" s="163"/>
      <c r="Y156" s="172"/>
      <c r="Z156" s="163"/>
      <c r="AA156" s="172"/>
      <c r="AB156" s="162"/>
      <c r="AC156" s="163"/>
      <c r="AD156" s="164"/>
      <c r="AE156" s="163"/>
      <c r="AF156" s="155"/>
      <c r="AG156" s="163"/>
      <c r="AH156" s="155"/>
      <c r="AI156" s="155"/>
      <c r="AJ156" s="155"/>
      <c r="AK156" s="173"/>
      <c r="AL156" s="162"/>
      <c r="AM156" s="37"/>
      <c r="AN156" s="57" t="n">
        <f aca="false">IF(ABS(E156-E155)&lt;0.05,0,E156-E155)</f>
        <v>-0.550000000000011</v>
      </c>
      <c r="AO156" s="164" t="n">
        <f aca="false">IF((E156/E155-1)&lt;0.05,0,(E156/E155-1))</f>
        <v>0</v>
      </c>
      <c r="AP156" s="163" t="n">
        <f aca="false">IF(ABS(E156-E144)&lt;0.05,0,E156-E144)</f>
        <v>-5.95</v>
      </c>
      <c r="AQ156" s="164" t="n">
        <f aca="false">IF(ABS(E156/E144-1)&lt;0.05,0,(E156/E144-1))</f>
        <v>-0.0661552145875028</v>
      </c>
      <c r="AR156" s="57" t="n">
        <f aca="false">(E156/1.2)-57.95</f>
        <v>12.0416666666667</v>
      </c>
      <c r="AW156" s="162"/>
      <c r="BG156" s="162"/>
      <c r="BQ156" s="162"/>
    </row>
    <row r="157" customFormat="false" ht="12.75" hidden="false" customHeight="true" outlineLevel="0" collapsed="false">
      <c r="A157" s="156" t="n">
        <v>37104</v>
      </c>
      <c r="B157" s="73" t="n">
        <v>2001</v>
      </c>
      <c r="C157" s="157" t="s">
        <v>66</v>
      </c>
      <c r="D157" s="74" t="n">
        <v>80.35</v>
      </c>
      <c r="E157" s="159" t="n">
        <v>84.24</v>
      </c>
      <c r="F157" s="159" t="n">
        <v>76.82</v>
      </c>
      <c r="G157" s="159" t="n">
        <v>77.54</v>
      </c>
      <c r="H157" s="159" t="n">
        <v>17.88</v>
      </c>
      <c r="I157" s="159" t="n">
        <v>19.49</v>
      </c>
      <c r="J157" s="159"/>
      <c r="K157" s="159" t="n">
        <v>34.3263083310437</v>
      </c>
      <c r="L157" s="159"/>
      <c r="M157" s="160" t="n">
        <f aca="false">G157-F157</f>
        <v>0.720000000000013</v>
      </c>
      <c r="N157" s="77"/>
      <c r="O157" s="77" t="n">
        <v>59.9508613516982</v>
      </c>
      <c r="P157" s="77" t="n">
        <v>94.0129623933085</v>
      </c>
      <c r="Q157" s="77" t="n">
        <v>162.7</v>
      </c>
      <c r="R157" s="162"/>
      <c r="S157" s="163"/>
      <c r="T157" s="164"/>
      <c r="U157" s="165"/>
      <c r="V157" s="155"/>
      <c r="W157" s="163"/>
      <c r="X157" s="163"/>
      <c r="Y157" s="172"/>
      <c r="Z157" s="163"/>
      <c r="AA157" s="172"/>
      <c r="AB157" s="162"/>
      <c r="AC157" s="163"/>
      <c r="AD157" s="164"/>
      <c r="AE157" s="163"/>
      <c r="AF157" s="155"/>
      <c r="AG157" s="163"/>
      <c r="AH157" s="155"/>
      <c r="AI157" s="155"/>
      <c r="AJ157" s="155"/>
      <c r="AK157" s="173"/>
      <c r="AL157" s="162"/>
      <c r="AM157" s="37"/>
      <c r="AN157" s="57" t="n">
        <f aca="false">IF(ABS(E157-E156)&lt;0.05,0,E157-E156)</f>
        <v>0.25</v>
      </c>
      <c r="AO157" s="164" t="n">
        <f aca="false">IF((E157/E156-1)&lt;0.05,0,(E157/E156-1))</f>
        <v>0</v>
      </c>
      <c r="AP157" s="163" t="n">
        <f aca="false">IF(ABS(E157-E145)&lt;0.05,0,E157-E145)</f>
        <v>-3.63000000000001</v>
      </c>
      <c r="AQ157" s="164" t="n">
        <f aca="false">IF(ABS(E157/E145-1)&lt;0.05,0,(E157/E145-1))</f>
        <v>0</v>
      </c>
      <c r="AR157" s="57" t="n">
        <f aca="false">(E157/1.2)-57.95</f>
        <v>12.25</v>
      </c>
      <c r="AW157" s="162"/>
      <c r="BG157" s="162"/>
      <c r="BQ157" s="162"/>
    </row>
    <row r="158" customFormat="false" ht="12.75" hidden="false" customHeight="true" outlineLevel="0" collapsed="false">
      <c r="A158" s="156" t="n">
        <v>37135</v>
      </c>
      <c r="B158" s="73" t="n">
        <v>2001</v>
      </c>
      <c r="C158" s="157" t="s">
        <v>67</v>
      </c>
      <c r="D158" s="74" t="n">
        <v>79.99</v>
      </c>
      <c r="E158" s="159" t="n">
        <v>83.04</v>
      </c>
      <c r="F158" s="159" t="n">
        <v>76.42</v>
      </c>
      <c r="G158" s="159" t="n">
        <v>77.2</v>
      </c>
      <c r="H158" s="159" t="n">
        <v>18.88</v>
      </c>
      <c r="I158" s="159" t="n">
        <v>19.92</v>
      </c>
      <c r="J158" s="159"/>
      <c r="K158" s="159" t="n">
        <v>33.8790822612088</v>
      </c>
      <c r="L158" s="159"/>
      <c r="M158" s="160" t="n">
        <f aca="false">G158-F158</f>
        <v>0.780000000000001</v>
      </c>
      <c r="N158" s="77"/>
      <c r="O158" s="77" t="n">
        <v>59.168526673946</v>
      </c>
      <c r="P158" s="77" t="n">
        <v>92.7861309687018</v>
      </c>
      <c r="Q158" s="77" t="n">
        <v>160.4</v>
      </c>
      <c r="R158" s="162"/>
      <c r="S158" s="163"/>
      <c r="T158" s="164"/>
      <c r="U158" s="165"/>
      <c r="V158" s="155"/>
      <c r="W158" s="163"/>
      <c r="X158" s="163"/>
      <c r="Y158" s="172"/>
      <c r="Z158" s="163"/>
      <c r="AA158" s="172"/>
      <c r="AB158" s="162"/>
      <c r="AC158" s="163"/>
      <c r="AD158" s="164"/>
      <c r="AE158" s="163"/>
      <c r="AF158" s="155"/>
      <c r="AG158" s="163"/>
      <c r="AH158" s="155"/>
      <c r="AI158" s="155"/>
      <c r="AJ158" s="155"/>
      <c r="AK158" s="173"/>
      <c r="AL158" s="162"/>
      <c r="AM158" s="37"/>
      <c r="AN158" s="57" t="n">
        <f aca="false">IF(ABS(E158-E157)&lt;0.05,0,E158-E157)</f>
        <v>-1.19999999999999</v>
      </c>
      <c r="AO158" s="164" t="n">
        <f aca="false">IF((E158/E157-1)&lt;0.05,0,(E158/E157-1))</f>
        <v>0</v>
      </c>
      <c r="AP158" s="163" t="n">
        <f aca="false">IF(ABS(E158-E146)&lt;0.05,0,E158-E146)</f>
        <v>-5.34999999999999</v>
      </c>
      <c r="AQ158" s="164" t="n">
        <f aca="false">IF(ABS(E158/E146-1)&lt;0.05,0,(E158/E146-1))</f>
        <v>-0.0605272089602895</v>
      </c>
      <c r="AR158" s="57" t="n">
        <f aca="false">(E158/1.2)-57.95</f>
        <v>11.25</v>
      </c>
      <c r="AW158" s="162"/>
      <c r="BG158" s="162"/>
      <c r="BQ158" s="162"/>
    </row>
    <row r="159" customFormat="false" ht="12.75" hidden="false" customHeight="true" outlineLevel="0" collapsed="false">
      <c r="A159" s="156" t="n">
        <v>37165</v>
      </c>
      <c r="B159" s="73" t="n">
        <v>2001</v>
      </c>
      <c r="C159" s="157" t="s">
        <v>68</v>
      </c>
      <c r="D159" s="74" t="n">
        <v>79.23</v>
      </c>
      <c r="E159" s="159" t="n">
        <v>82.25</v>
      </c>
      <c r="F159" s="159" t="n">
        <v>75.11</v>
      </c>
      <c r="G159" s="159" t="n">
        <v>76.86</v>
      </c>
      <c r="H159" s="159" t="n">
        <v>15.77</v>
      </c>
      <c r="I159" s="159" t="n">
        <v>17.46</v>
      </c>
      <c r="J159" s="159"/>
      <c r="K159" s="159" t="n">
        <v>27.274442400474</v>
      </c>
      <c r="L159" s="159"/>
      <c r="M159" s="160" t="n">
        <f aca="false">G159-F159</f>
        <v>1.75</v>
      </c>
      <c r="N159" s="77"/>
      <c r="O159" s="77" t="n">
        <v>47.6875641997968</v>
      </c>
      <c r="P159" s="77" t="n">
        <v>74.7820644885028</v>
      </c>
      <c r="Q159" s="77" t="n">
        <v>129.3</v>
      </c>
      <c r="R159" s="162"/>
      <c r="S159" s="163"/>
      <c r="T159" s="164"/>
      <c r="U159" s="165"/>
      <c r="V159" s="155"/>
      <c r="W159" s="163"/>
      <c r="X159" s="163"/>
      <c r="Y159" s="172"/>
      <c r="Z159" s="163"/>
      <c r="AA159" s="172"/>
      <c r="AB159" s="162"/>
      <c r="AC159" s="163"/>
      <c r="AD159" s="164"/>
      <c r="AE159" s="163"/>
      <c r="AF159" s="155"/>
      <c r="AG159" s="163"/>
      <c r="AH159" s="155"/>
      <c r="AI159" s="155"/>
      <c r="AJ159" s="155"/>
      <c r="AK159" s="173"/>
      <c r="AL159" s="162"/>
      <c r="AM159" s="37"/>
      <c r="AN159" s="57" t="n">
        <f aca="false">IF(ABS(E159-E158)&lt;0.05,0,E159-E158)</f>
        <v>-0.790000000000006</v>
      </c>
      <c r="AO159" s="164" t="n">
        <f aca="false">IF((E159/E158-1)&lt;0.05,0,(E159/E158-1))</f>
        <v>0</v>
      </c>
      <c r="AP159" s="163" t="n">
        <f aca="false">IF(ABS(E159-E147)&lt;0.05,0,E159-E147)</f>
        <v>-5.56999999999999</v>
      </c>
      <c r="AQ159" s="164" t="n">
        <f aca="false">IF(ABS(E159/E147-1)&lt;0.05,0,(E159/E147-1))</f>
        <v>-0.0634251878843087</v>
      </c>
      <c r="AR159" s="57" t="n">
        <f aca="false">(E159/1.2)-57.95</f>
        <v>10.5916666666667</v>
      </c>
      <c r="AW159" s="162"/>
      <c r="BG159" s="162"/>
      <c r="BQ159" s="162"/>
    </row>
    <row r="160" customFormat="false" ht="12.75" hidden="false" customHeight="true" outlineLevel="0" collapsed="false">
      <c r="A160" s="156" t="n">
        <v>37196</v>
      </c>
      <c r="B160" s="73" t="n">
        <v>2001</v>
      </c>
      <c r="C160" s="157" t="s">
        <v>69</v>
      </c>
      <c r="D160" s="177" t="n">
        <v>77.1</v>
      </c>
      <c r="E160" s="159" t="n">
        <v>79.5</v>
      </c>
      <c r="F160" s="178" t="n">
        <v>70.42</v>
      </c>
      <c r="G160" s="178" t="n">
        <v>75.98</v>
      </c>
      <c r="H160" s="159" t="n">
        <v>14.83</v>
      </c>
      <c r="I160" s="159" t="n">
        <v>16.21</v>
      </c>
      <c r="J160" s="178"/>
      <c r="K160" s="159" t="n">
        <v>25.9707994863609</v>
      </c>
      <c r="L160" s="159"/>
      <c r="M160" s="160" t="n">
        <f aca="false">G160-F160</f>
        <v>5.56</v>
      </c>
      <c r="N160" s="77"/>
      <c r="O160" s="77" t="n">
        <v>45.3767126309165</v>
      </c>
      <c r="P160" s="77" t="n">
        <v>71.1582633162864</v>
      </c>
      <c r="Q160" s="77" t="n">
        <v>123.1</v>
      </c>
      <c r="R160" s="162"/>
      <c r="S160" s="163"/>
      <c r="T160" s="164"/>
      <c r="U160" s="165"/>
      <c r="V160" s="155"/>
      <c r="W160" s="163"/>
      <c r="X160" s="163"/>
      <c r="Y160" s="172"/>
      <c r="Z160" s="163"/>
      <c r="AA160" s="172"/>
      <c r="AB160" s="162"/>
      <c r="AC160" s="163"/>
      <c r="AD160" s="164"/>
      <c r="AE160" s="163"/>
      <c r="AF160" s="155"/>
      <c r="AG160" s="163"/>
      <c r="AH160" s="155"/>
      <c r="AI160" s="155"/>
      <c r="AJ160" s="155"/>
      <c r="AK160" s="173"/>
      <c r="AL160" s="162"/>
      <c r="AM160" s="37"/>
      <c r="AN160" s="57" t="n">
        <f aca="false">IF(ABS(E160-E159)&lt;0.05,0,E160-E159)</f>
        <v>-2.75</v>
      </c>
      <c r="AO160" s="164" t="n">
        <f aca="false">IF((E160/E159-1)&lt;0.05,0,(E160/E159-1))</f>
        <v>0</v>
      </c>
      <c r="AP160" s="163" t="n">
        <f aca="false">IF(ABS(E160-E148)&lt;0.05,0,E160-E148)</f>
        <v>-9.33</v>
      </c>
      <c r="AQ160" s="164" t="n">
        <f aca="false">IF(ABS(E160/E148-1)&lt;0.05,0,(E160/E148-1))</f>
        <v>-0.105032083755488</v>
      </c>
      <c r="AR160" s="57" t="n">
        <f aca="false">(E160/1.2)-57.95</f>
        <v>8.3</v>
      </c>
      <c r="AW160" s="162"/>
      <c r="BG160" s="162"/>
      <c r="BQ160" s="162"/>
    </row>
    <row r="161" customFormat="false" ht="12.75" hidden="false" customHeight="true" outlineLevel="0" collapsed="false">
      <c r="A161" s="156" t="n">
        <v>37226</v>
      </c>
      <c r="B161" s="73" t="n">
        <v>2001</v>
      </c>
      <c r="C161" s="157" t="s">
        <v>70</v>
      </c>
      <c r="D161" s="74" t="n">
        <v>75.84</v>
      </c>
      <c r="E161" s="159" t="n">
        <v>78.36</v>
      </c>
      <c r="F161" s="159" t="n">
        <v>70.16</v>
      </c>
      <c r="G161" s="159" t="n">
        <v>74.77</v>
      </c>
      <c r="H161" s="159" t="n">
        <v>14.44</v>
      </c>
      <c r="I161" s="159" t="n">
        <v>15.31</v>
      </c>
      <c r="J161" s="159"/>
      <c r="K161" s="159" t="n">
        <v>25.2442019679027</v>
      </c>
      <c r="L161" s="159"/>
      <c r="M161" s="160" t="n">
        <f aca="false">G161-F161</f>
        <v>4.61</v>
      </c>
      <c r="N161" s="77"/>
      <c r="O161" s="77" t="n">
        <v>44.0975682638248</v>
      </c>
      <c r="P161" s="77" t="n">
        <v>69.1523513315773</v>
      </c>
      <c r="Q161" s="77" t="n">
        <v>119.4</v>
      </c>
      <c r="R161" s="162"/>
      <c r="S161" s="163"/>
      <c r="T161" s="164"/>
      <c r="U161" s="165"/>
      <c r="V161" s="155"/>
      <c r="W161" s="163"/>
      <c r="X161" s="163"/>
      <c r="Y161" s="172"/>
      <c r="Z161" s="163"/>
      <c r="AA161" s="172"/>
      <c r="AB161" s="162"/>
      <c r="AC161" s="163"/>
      <c r="AD161" s="164"/>
      <c r="AE161" s="163"/>
      <c r="AF161" s="155"/>
      <c r="AG161" s="163"/>
      <c r="AH161" s="155"/>
      <c r="AI161" s="155"/>
      <c r="AJ161" s="155"/>
      <c r="AK161" s="173"/>
      <c r="AL161" s="162"/>
      <c r="AM161" s="37"/>
      <c r="AN161" s="57" t="n">
        <f aca="false">IF(ABS(E161-E160)&lt;0.05,0,E161-E160)</f>
        <v>-1.14</v>
      </c>
      <c r="AO161" s="164" t="n">
        <f aca="false">IF((E161/E160-1)&lt;0.05,0,(E161/E160-1))</f>
        <v>0</v>
      </c>
      <c r="AP161" s="163" t="n">
        <f aca="false">IF(ABS(E161-E149)&lt;0.05,0,E161-E149)</f>
        <v>-9.8</v>
      </c>
      <c r="AQ161" s="164" t="n">
        <f aca="false">IF(ABS(E161/E149-1)&lt;0.05,0,(E161/E149-1))</f>
        <v>-0.111161524500907</v>
      </c>
      <c r="AR161" s="57" t="n">
        <f aca="false">(E161/1.2)-57.95</f>
        <v>7.34999999999999</v>
      </c>
      <c r="AW161" s="162"/>
      <c r="BG161" s="162"/>
      <c r="BQ161" s="162"/>
    </row>
    <row r="162" customFormat="false" ht="12.75" hidden="false" customHeight="true" outlineLevel="0" collapsed="false">
      <c r="A162" s="156" t="n">
        <v>37257</v>
      </c>
      <c r="B162" s="73" t="n">
        <v>2002</v>
      </c>
      <c r="C162" s="157" t="s">
        <v>59</v>
      </c>
      <c r="D162" s="177" t="n">
        <v>75.94</v>
      </c>
      <c r="E162" s="159" t="n">
        <v>78.48</v>
      </c>
      <c r="F162" s="178" t="n">
        <v>69.9</v>
      </c>
      <c r="G162" s="178" t="n">
        <v>74.65</v>
      </c>
      <c r="H162" s="159" t="n">
        <v>14.61</v>
      </c>
      <c r="I162" s="159" t="n">
        <v>14.71</v>
      </c>
      <c r="J162" s="159"/>
      <c r="K162" s="159" t="n">
        <v>26.1114636967765</v>
      </c>
      <c r="L162" s="159"/>
      <c r="M162" s="160" t="n">
        <f aca="false">G162-F162</f>
        <v>4.75</v>
      </c>
      <c r="N162" s="77"/>
      <c r="O162" s="77" t="n">
        <v>45.673351656163</v>
      </c>
      <c r="P162" s="77" t="n">
        <v>71.6234428465901</v>
      </c>
      <c r="Q162" s="77" t="n">
        <v>123.7</v>
      </c>
      <c r="R162" s="162"/>
      <c r="S162" s="163"/>
      <c r="T162" s="164"/>
      <c r="U162" s="165"/>
      <c r="V162" s="155"/>
      <c r="W162" s="163"/>
      <c r="X162" s="163"/>
      <c r="Y162" s="172"/>
      <c r="Z162" s="163"/>
      <c r="AA162" s="172"/>
      <c r="AB162" s="162"/>
      <c r="AC162" s="163"/>
      <c r="AD162" s="164"/>
      <c r="AE162" s="163"/>
      <c r="AF162" s="155"/>
      <c r="AG162" s="163"/>
      <c r="AH162" s="155"/>
      <c r="AI162" s="155"/>
      <c r="AJ162" s="155"/>
      <c r="AK162" s="173"/>
      <c r="AL162" s="162"/>
      <c r="AM162" s="37"/>
      <c r="AN162" s="57" t="n">
        <f aca="false">IF(ABS(E162-E161)&lt;0.05,0,E162-E161)</f>
        <v>0.120000000000005</v>
      </c>
      <c r="AO162" s="164" t="n">
        <f aca="false">IF((E162/E161-1)&lt;0.05,0,(E162/E161-1))</f>
        <v>0</v>
      </c>
      <c r="AP162" s="163" t="n">
        <f aca="false">IF(ABS(E162-E150)&lt;0.05,0,E162-E150)</f>
        <v>-6.58</v>
      </c>
      <c r="AQ162" s="164" t="n">
        <f aca="false">IF(ABS(E162/E150-1)&lt;0.05,0,(E162/E150-1))</f>
        <v>-0.0773571596520103</v>
      </c>
      <c r="AR162" s="57" t="n">
        <f aca="false">(E162/1.2)-57.95</f>
        <v>7.45</v>
      </c>
      <c r="AW162" s="162"/>
      <c r="BG162" s="162"/>
      <c r="BQ162" s="162"/>
    </row>
    <row r="163" customFormat="false" ht="12.75" hidden="false" customHeight="true" outlineLevel="0" collapsed="false">
      <c r="A163" s="156" t="n">
        <v>37288</v>
      </c>
      <c r="B163" s="73" t="n">
        <v>2002</v>
      </c>
      <c r="C163" s="157" t="s">
        <v>60</v>
      </c>
      <c r="D163" s="74" t="n">
        <v>75.68</v>
      </c>
      <c r="E163" s="159" t="n">
        <v>78.52</v>
      </c>
      <c r="F163" s="159" t="n">
        <v>70</v>
      </c>
      <c r="G163" s="159" t="n">
        <v>74.4</v>
      </c>
      <c r="H163" s="159" t="n">
        <v>14.22</v>
      </c>
      <c r="I163" s="159" t="n">
        <v>14.45</v>
      </c>
      <c r="J163" s="159"/>
      <c r="K163" s="159" t="n">
        <v>26.9927589375805</v>
      </c>
      <c r="L163" s="159"/>
      <c r="M163" s="160" t="n">
        <f aca="false">G163-F163</f>
        <v>4.40000000000001</v>
      </c>
      <c r="N163" s="77"/>
      <c r="O163" s="77" t="n">
        <v>47.217115799418</v>
      </c>
      <c r="P163" s="77" t="n">
        <v>74.0443228318259</v>
      </c>
      <c r="Q163" s="77" t="n">
        <v>128</v>
      </c>
      <c r="R163" s="162"/>
      <c r="S163" s="163"/>
      <c r="T163" s="164"/>
      <c r="U163" s="165"/>
      <c r="V163" s="155"/>
      <c r="W163" s="163"/>
      <c r="X163" s="163"/>
      <c r="Y163" s="172"/>
      <c r="Z163" s="163"/>
      <c r="AA163" s="172"/>
      <c r="AB163" s="162"/>
      <c r="AC163" s="163"/>
      <c r="AD163" s="164"/>
      <c r="AE163" s="163"/>
      <c r="AF163" s="155"/>
      <c r="AG163" s="163"/>
      <c r="AH163" s="155"/>
      <c r="AI163" s="155"/>
      <c r="AJ163" s="155"/>
      <c r="AK163" s="173"/>
      <c r="AL163" s="162"/>
      <c r="AM163" s="37"/>
      <c r="AN163" s="57" t="n">
        <f aca="false">IF(ABS(E163-E162)&lt;0.05,0,E163-E162)</f>
        <v>0</v>
      </c>
      <c r="AO163" s="164" t="n">
        <f aca="false">IF((E163/E162-1)&lt;0.05,0,(E163/E162-1))</f>
        <v>0</v>
      </c>
      <c r="AP163" s="163" t="n">
        <f aca="false">IF(ABS(E163-E151)&lt;0.05,0,E163-E151)</f>
        <v>-6.58</v>
      </c>
      <c r="AQ163" s="164" t="n">
        <f aca="false">IF(ABS(E163/E151-1)&lt;0.05,0,(E163/E151-1))</f>
        <v>-0.0773207990599295</v>
      </c>
      <c r="AR163" s="57" t="n">
        <f aca="false">(E163/1.2)-57.95</f>
        <v>7.48333333333333</v>
      </c>
      <c r="AW163" s="162"/>
      <c r="BG163" s="162"/>
      <c r="BQ163" s="162"/>
    </row>
    <row r="164" customFormat="false" ht="12.75" hidden="false" customHeight="true" outlineLevel="0" collapsed="false">
      <c r="A164" s="156" t="n">
        <v>37316</v>
      </c>
      <c r="B164" s="73" t="n">
        <v>2002</v>
      </c>
      <c r="C164" s="157" t="s">
        <v>61</v>
      </c>
      <c r="D164" s="74" t="n">
        <v>76.15</v>
      </c>
      <c r="E164" s="159" t="n">
        <v>79.17</v>
      </c>
      <c r="F164" s="159" t="n">
        <v>71.5</v>
      </c>
      <c r="G164" s="159" t="n">
        <v>74.83</v>
      </c>
      <c r="H164" s="159" t="n">
        <v>15.02</v>
      </c>
      <c r="I164" s="159" t="n">
        <v>14.96</v>
      </c>
      <c r="J164" s="159"/>
      <c r="K164" s="159" t="n">
        <v>30.3162445433676</v>
      </c>
      <c r="L164" s="159"/>
      <c r="M164" s="160" t="n">
        <f aca="false">G164-F164</f>
        <v>3.33</v>
      </c>
      <c r="N164" s="77"/>
      <c r="O164" s="77" t="n">
        <v>53.3014877333905</v>
      </c>
      <c r="P164" s="77" t="n">
        <v>83.5856341144078</v>
      </c>
      <c r="Q164" s="77" t="n">
        <v>143.7</v>
      </c>
      <c r="R164" s="162"/>
      <c r="S164" s="163"/>
      <c r="T164" s="164"/>
      <c r="U164" s="165"/>
      <c r="V164" s="155"/>
      <c r="W164" s="163"/>
      <c r="X164" s="163"/>
      <c r="Y164" s="172"/>
      <c r="Z164" s="163"/>
      <c r="AA164" s="172"/>
      <c r="AB164" s="162"/>
      <c r="AC164" s="163"/>
      <c r="AD164" s="164"/>
      <c r="AE164" s="163"/>
      <c r="AF164" s="155"/>
      <c r="AG164" s="163"/>
      <c r="AH164" s="155"/>
      <c r="AI164" s="155"/>
      <c r="AJ164" s="155"/>
      <c r="AK164" s="173"/>
      <c r="AL164" s="162"/>
      <c r="AM164" s="37"/>
      <c r="AN164" s="57" t="n">
        <f aca="false">IF(ABS(E164-E163)&lt;0.05,0,E164-E163)</f>
        <v>0.650000000000006</v>
      </c>
      <c r="AO164" s="164" t="n">
        <f aca="false">IF((E164/E163-1)&lt;0.05,0,(E164/E163-1))</f>
        <v>0</v>
      </c>
      <c r="AP164" s="163" t="n">
        <f aca="false">IF(ABS(E164-E152)&lt;0.05,0,E164-E152)</f>
        <v>-2.06999999999999</v>
      </c>
      <c r="AQ164" s="164" t="n">
        <f aca="false">IF(ABS(E164/E152-1)&lt;0.05,0,(E164/E152-1))</f>
        <v>0</v>
      </c>
      <c r="AR164" s="57" t="n">
        <f aca="false">(E164/1.2)-57.95</f>
        <v>8.02500000000001</v>
      </c>
      <c r="AW164" s="162"/>
      <c r="BG164" s="162"/>
      <c r="BQ164" s="162"/>
    </row>
    <row r="165" customFormat="false" ht="12.75" hidden="false" customHeight="true" outlineLevel="0" collapsed="false">
      <c r="A165" s="156" t="n">
        <v>37347</v>
      </c>
      <c r="B165" s="73" t="n">
        <v>2002</v>
      </c>
      <c r="C165" s="157" t="s">
        <v>62</v>
      </c>
      <c r="D165" s="74" t="n">
        <v>77.84</v>
      </c>
      <c r="E165" s="159" t="n">
        <v>80.61</v>
      </c>
      <c r="F165" s="159" t="n">
        <v>74.95</v>
      </c>
      <c r="G165" s="159" t="n">
        <v>76.88</v>
      </c>
      <c r="H165" s="159" t="n">
        <v>16.08</v>
      </c>
      <c r="I165" s="159" t="n">
        <v>16.07</v>
      </c>
      <c r="J165" s="178"/>
      <c r="K165" s="159" t="n">
        <v>33.4417510993876</v>
      </c>
      <c r="L165" s="159"/>
      <c r="M165" s="160" t="n">
        <f aca="false">G165-F165</f>
        <v>1.92999999999999</v>
      </c>
      <c r="N165" s="77"/>
      <c r="O165" s="77" t="n">
        <v>58.5574457864515</v>
      </c>
      <c r="P165" s="77" t="n">
        <v>91.8278540866022</v>
      </c>
      <c r="Q165" s="77" t="n">
        <v>158.6</v>
      </c>
      <c r="R165" s="162"/>
      <c r="S165" s="163"/>
      <c r="T165" s="164"/>
      <c r="U165" s="165"/>
      <c r="V165" s="155"/>
      <c r="W165" s="163"/>
      <c r="X165" s="163"/>
      <c r="Y165" s="172"/>
      <c r="Z165" s="163"/>
      <c r="AA165" s="172"/>
      <c r="AB165" s="162"/>
      <c r="AC165" s="163"/>
      <c r="AD165" s="164"/>
      <c r="AE165" s="163"/>
      <c r="AF165" s="155"/>
      <c r="AG165" s="163"/>
      <c r="AH165" s="155"/>
      <c r="AI165" s="155"/>
      <c r="AJ165" s="155"/>
      <c r="AK165" s="173"/>
      <c r="AL165" s="162"/>
      <c r="AM165" s="37"/>
      <c r="AN165" s="57" t="n">
        <f aca="false">IF(ABS(E165-E164)&lt;0.05,0,E165-E164)</f>
        <v>1.44</v>
      </c>
      <c r="AO165" s="164" t="n">
        <f aca="false">IF((E165/E164-1)&lt;0.05,0,(E165/E164-1))</f>
        <v>0</v>
      </c>
      <c r="AP165" s="163" t="n">
        <f aca="false">IF(ABS(E165-E153)&lt;0.05,0,E165-E153)</f>
        <v>-1.66</v>
      </c>
      <c r="AQ165" s="164" t="n">
        <f aca="false">IF(ABS(E165/E153-1)&lt;0.05,0,(E165/E153-1))</f>
        <v>0</v>
      </c>
      <c r="AR165" s="57" t="n">
        <f aca="false">(E165/1.2)-57.95</f>
        <v>9.22499999999999</v>
      </c>
      <c r="AW165" s="162"/>
      <c r="BG165" s="162"/>
      <c r="BQ165" s="162"/>
    </row>
    <row r="166" customFormat="false" ht="12.75" hidden="false" customHeight="true" outlineLevel="0" collapsed="false">
      <c r="A166" s="156" t="n">
        <v>37377</v>
      </c>
      <c r="B166" s="73" t="n">
        <v>2002</v>
      </c>
      <c r="C166" s="157" t="s">
        <v>63</v>
      </c>
      <c r="D166" s="74" t="n">
        <v>77.78</v>
      </c>
      <c r="E166" s="159" t="n">
        <v>80.41</v>
      </c>
      <c r="F166" s="159" t="n">
        <v>74.74</v>
      </c>
      <c r="G166" s="159" t="n">
        <v>76.37</v>
      </c>
      <c r="H166" s="159" t="n">
        <v>16.13</v>
      </c>
      <c r="I166" s="159" t="n">
        <v>16</v>
      </c>
      <c r="J166" s="159"/>
      <c r="K166" s="159" t="n">
        <v>32.5713558601043</v>
      </c>
      <c r="L166" s="159"/>
      <c r="M166" s="160" t="n">
        <f aca="false">G166-F166</f>
        <v>1.63000000000001</v>
      </c>
      <c r="N166" s="77"/>
      <c r="O166" s="77" t="n">
        <v>57.051728420244</v>
      </c>
      <c r="P166" s="77" t="n">
        <v>89.4666378015887</v>
      </c>
      <c r="Q166" s="77" t="n">
        <v>154.6</v>
      </c>
      <c r="R166" s="162"/>
      <c r="S166" s="163"/>
      <c r="T166" s="164"/>
      <c r="U166" s="165"/>
      <c r="V166" s="155"/>
      <c r="W166" s="163"/>
      <c r="X166" s="163"/>
      <c r="Y166" s="172"/>
      <c r="Z166" s="163"/>
      <c r="AA166" s="172"/>
      <c r="AB166" s="162"/>
      <c r="AC166" s="163"/>
      <c r="AD166" s="164"/>
      <c r="AE166" s="163"/>
      <c r="AF166" s="155"/>
      <c r="AG166" s="163"/>
      <c r="AH166" s="155"/>
      <c r="AI166" s="155"/>
      <c r="AJ166" s="155"/>
      <c r="AK166" s="173"/>
      <c r="AL166" s="162"/>
      <c r="AM166" s="37"/>
      <c r="AN166" s="57" t="n">
        <f aca="false">IF(ABS(E166-E165)&lt;0.05,0,E166-E165)</f>
        <v>-0.200000000000003</v>
      </c>
      <c r="AO166" s="164" t="n">
        <f aca="false">IF((E166/E165-1)&lt;0.05,0,(E166/E165-1))</f>
        <v>0</v>
      </c>
      <c r="AP166" s="163" t="n">
        <f aca="false">IF(ABS(E166-E154)&lt;0.05,0,E166-E154)</f>
        <v>-2.90000000000001</v>
      </c>
      <c r="AQ166" s="164" t="n">
        <f aca="false">IF(ABS(E166/E154-1)&lt;0.05,0,(E166/E154-1))</f>
        <v>0</v>
      </c>
      <c r="AR166" s="57" t="n">
        <f aca="false">(E166/1.2)-57.95</f>
        <v>9.05833333333334</v>
      </c>
      <c r="AW166" s="162"/>
      <c r="BG166" s="162"/>
      <c r="BQ166" s="162"/>
    </row>
    <row r="167" customFormat="false" ht="12.75" hidden="false" customHeight="true" outlineLevel="0" collapsed="false">
      <c r="A167" s="156" t="n">
        <v>37408</v>
      </c>
      <c r="B167" s="73" t="n">
        <v>2002</v>
      </c>
      <c r="C167" s="157" t="s">
        <v>64</v>
      </c>
      <c r="D167" s="176" t="n">
        <v>77.31</v>
      </c>
      <c r="E167" s="159" t="n">
        <v>80.32</v>
      </c>
      <c r="F167" s="159" t="n">
        <v>74.01</v>
      </c>
      <c r="G167" s="159" t="n">
        <v>75.64</v>
      </c>
      <c r="H167" s="159" t="n">
        <v>15.37</v>
      </c>
      <c r="I167" s="159" t="n">
        <v>15.42</v>
      </c>
      <c r="J167" s="159"/>
      <c r="K167" s="159" t="n">
        <v>31.2746013005556</v>
      </c>
      <c r="L167" s="159"/>
      <c r="M167" s="160" t="n">
        <f aca="false">G167-F167</f>
        <v>1.63</v>
      </c>
      <c r="N167" s="179"/>
      <c r="O167" s="77" t="n">
        <v>54.7317894660316</v>
      </c>
      <c r="P167" s="77" t="n">
        <v>85.8285860915783</v>
      </c>
      <c r="Q167" s="179" t="n">
        <v>148.3</v>
      </c>
      <c r="R167" s="162"/>
      <c r="S167" s="163"/>
      <c r="T167" s="164"/>
      <c r="U167" s="165"/>
      <c r="V167" s="155"/>
      <c r="W167" s="163"/>
      <c r="X167" s="163"/>
      <c r="Y167" s="172"/>
      <c r="Z167" s="163"/>
      <c r="AA167" s="172"/>
      <c r="AB167" s="162"/>
      <c r="AC167" s="163"/>
      <c r="AD167" s="164"/>
      <c r="AE167" s="163"/>
      <c r="AF167" s="155"/>
      <c r="AG167" s="163"/>
      <c r="AH167" s="155"/>
      <c r="AI167" s="155"/>
      <c r="AJ167" s="155"/>
      <c r="AK167" s="173"/>
      <c r="AL167" s="162"/>
      <c r="AM167" s="37"/>
      <c r="AN167" s="57" t="n">
        <f aca="false">IF(ABS(E167-E166)&lt;0.05,0,E167-E166)</f>
        <v>-0.0900000000000034</v>
      </c>
      <c r="AO167" s="164" t="n">
        <f aca="false">IF((E167/E166-1)&lt;0.05,0,(E167/E166-1))</f>
        <v>0</v>
      </c>
      <c r="AP167" s="163" t="n">
        <f aca="false">IF(ABS(E167-E155)&lt;0.05,0,E167-E155)</f>
        <v>-4.22000000000001</v>
      </c>
      <c r="AQ167" s="164" t="n">
        <f aca="false">IF(ABS(E167/E155-1)&lt;0.05,0,(E167/E155-1))</f>
        <v>0</v>
      </c>
      <c r="AR167" s="57" t="n">
        <f aca="false">(E167/1.2)-57.95</f>
        <v>8.98333333333333</v>
      </c>
      <c r="AW167" s="162"/>
      <c r="BG167" s="162"/>
      <c r="BQ167" s="162"/>
    </row>
    <row r="168" customFormat="false" ht="12.75" hidden="false" customHeight="true" outlineLevel="0" collapsed="false">
      <c r="A168" s="156" t="n">
        <v>37438</v>
      </c>
      <c r="B168" s="73" t="n">
        <v>2002</v>
      </c>
      <c r="C168" s="157" t="s">
        <v>65</v>
      </c>
      <c r="D168" s="176" t="n">
        <v>76.95</v>
      </c>
      <c r="E168" s="159" t="n">
        <v>80.08</v>
      </c>
      <c r="F168" s="159" t="n">
        <v>73.62</v>
      </c>
      <c r="G168" s="159" t="n">
        <v>75.29</v>
      </c>
      <c r="H168" s="159" t="n">
        <v>15.19</v>
      </c>
      <c r="I168" s="159" t="n">
        <v>15.61</v>
      </c>
      <c r="J168" s="159"/>
      <c r="K168" s="159" t="n">
        <v>31.8583783976295</v>
      </c>
      <c r="L168" s="159"/>
      <c r="M168" s="160" t="n">
        <f aca="false">G168-F168</f>
        <v>1.67</v>
      </c>
      <c r="N168" s="179"/>
      <c r="O168" s="77" t="n">
        <v>55.7829134674166</v>
      </c>
      <c r="P168" s="77" t="n">
        <v>87.4769240634582</v>
      </c>
      <c r="Q168" s="179" t="n">
        <v>151.1</v>
      </c>
      <c r="R168" s="162"/>
      <c r="S168" s="163"/>
      <c r="T168" s="164"/>
      <c r="U168" s="165"/>
      <c r="V168" s="155"/>
      <c r="W168" s="163"/>
      <c r="X168" s="163"/>
      <c r="Y168" s="172"/>
      <c r="Z168" s="163"/>
      <c r="AA168" s="172"/>
      <c r="AB168" s="162"/>
      <c r="AC168" s="163"/>
      <c r="AD168" s="164"/>
      <c r="AE168" s="163"/>
      <c r="AF168" s="155"/>
      <c r="AG168" s="163"/>
      <c r="AH168" s="155"/>
      <c r="AI168" s="155"/>
      <c r="AJ168" s="155"/>
      <c r="AK168" s="173"/>
      <c r="AL168" s="162"/>
      <c r="AM168" s="37"/>
      <c r="AN168" s="57" t="n">
        <f aca="false">IF(ABS(E168-E167)&lt;0.05,0,E168-E167)</f>
        <v>-0.239999999999995</v>
      </c>
      <c r="AO168" s="164" t="n">
        <f aca="false">IF((E168/E167-1)&lt;0.05,0,(E168/E167-1))</f>
        <v>0</v>
      </c>
      <c r="AP168" s="163" t="n">
        <f aca="false">IF(ABS(E168-E156)&lt;0.05,0,E168-E156)</f>
        <v>-3.91</v>
      </c>
      <c r="AQ168" s="164" t="n">
        <f aca="false">IF(ABS(E168/E156-1)&lt;0.05,0,(E168/E156-1))</f>
        <v>0</v>
      </c>
      <c r="AR168" s="57" t="n">
        <f aca="false">(E168/1.2)-57.95</f>
        <v>8.78333333333333</v>
      </c>
      <c r="AW168" s="162"/>
      <c r="BG168" s="162"/>
      <c r="BQ168" s="162"/>
    </row>
    <row r="169" customFormat="false" ht="12.75" hidden="false" customHeight="true" outlineLevel="0" collapsed="false">
      <c r="A169" s="156" t="n">
        <v>37469</v>
      </c>
      <c r="B169" s="73" t="n">
        <v>2002</v>
      </c>
      <c r="C169" s="157" t="s">
        <v>66</v>
      </c>
      <c r="D169" s="180" t="n">
        <v>77.09</v>
      </c>
      <c r="E169" s="159" t="n">
        <v>80</v>
      </c>
      <c r="F169" s="178" t="n">
        <v>73.69</v>
      </c>
      <c r="G169" s="178" t="n">
        <v>75.29</v>
      </c>
      <c r="H169" s="159" t="n">
        <v>15.59</v>
      </c>
      <c r="I169" s="159" t="n">
        <v>16.23</v>
      </c>
      <c r="J169" s="178"/>
      <c r="K169" s="159" t="n">
        <v>33.5819374835855</v>
      </c>
      <c r="L169" s="159"/>
      <c r="M169" s="160" t="n">
        <f aca="false">G169-F169</f>
        <v>1.60000000000001</v>
      </c>
      <c r="N169" s="179"/>
      <c r="O169" s="77" t="n">
        <v>58.7956813326897</v>
      </c>
      <c r="P169" s="77" t="n">
        <v>92.2014472084399</v>
      </c>
      <c r="Q169" s="179" t="n">
        <v>159.3</v>
      </c>
      <c r="R169" s="162"/>
      <c r="S169" s="163"/>
      <c r="T169" s="164"/>
      <c r="U169" s="165"/>
      <c r="V169" s="155"/>
      <c r="W169" s="163"/>
      <c r="X169" s="163"/>
      <c r="Y169" s="172"/>
      <c r="Z169" s="163"/>
      <c r="AA169" s="172"/>
      <c r="AB169" s="162"/>
      <c r="AC169" s="163"/>
      <c r="AD169" s="164"/>
      <c r="AE169" s="163"/>
      <c r="AF169" s="155"/>
      <c r="AG169" s="163"/>
      <c r="AH169" s="155"/>
      <c r="AI169" s="155"/>
      <c r="AJ169" s="155"/>
      <c r="AK169" s="173"/>
      <c r="AL169" s="162"/>
      <c r="AM169" s="37"/>
      <c r="AN169" s="57" t="n">
        <f aca="false">IF(ABS(E169-E168)&lt;0.05,0,E169-E168)</f>
        <v>-0.0799999999999983</v>
      </c>
      <c r="AO169" s="164" t="n">
        <f aca="false">IF((E169/E168-1)&lt;0.05,0,(E169/E168-1))</f>
        <v>0</v>
      </c>
      <c r="AP169" s="163" t="n">
        <f aca="false">IF(ABS(E169-E157)&lt;0.05,0,E169-E157)</f>
        <v>-4.24</v>
      </c>
      <c r="AQ169" s="164" t="n">
        <f aca="false">IF(ABS(E169/E157-1)&lt;0.05,0,(E169/E157-1))</f>
        <v>-0.0503323836657169</v>
      </c>
      <c r="AR169" s="57" t="n">
        <f aca="false">(E169/1.2)-57.95</f>
        <v>8.71666666666667</v>
      </c>
      <c r="AW169" s="162"/>
      <c r="BG169" s="162"/>
      <c r="BQ169" s="162"/>
    </row>
    <row r="170" customFormat="false" ht="12.75" hidden="false" customHeight="true" outlineLevel="0" collapsed="false">
      <c r="A170" s="156" t="n">
        <v>37500</v>
      </c>
      <c r="B170" s="73" t="n">
        <v>2002</v>
      </c>
      <c r="C170" s="157" t="s">
        <v>67</v>
      </c>
      <c r="D170" s="180" t="n">
        <v>77.39</v>
      </c>
      <c r="E170" s="159" t="n">
        <v>80.02</v>
      </c>
      <c r="F170" s="178" t="n">
        <v>74.23</v>
      </c>
      <c r="G170" s="178" t="n">
        <v>75.65</v>
      </c>
      <c r="H170" s="159" t="n">
        <v>16.94</v>
      </c>
      <c r="I170" s="159" t="n">
        <v>17.06</v>
      </c>
      <c r="J170" s="178"/>
      <c r="K170" s="159" t="n">
        <v>34.9748751812495</v>
      </c>
      <c r="L170" s="159"/>
      <c r="M170" s="160" t="n">
        <f aca="false">G170-F170</f>
        <v>1.42</v>
      </c>
      <c r="N170" s="179"/>
      <c r="O170" s="77" t="n">
        <v>61.205342166034</v>
      </c>
      <c r="P170" s="77" t="n">
        <v>95.980197808483</v>
      </c>
      <c r="Q170" s="179" t="n">
        <v>165.8</v>
      </c>
      <c r="R170" s="162"/>
      <c r="S170" s="163"/>
      <c r="T170" s="164"/>
      <c r="U170" s="165"/>
      <c r="V170" s="155"/>
      <c r="W170" s="163"/>
      <c r="X170" s="163"/>
      <c r="Y170" s="172"/>
      <c r="Z170" s="163"/>
      <c r="AA170" s="172"/>
      <c r="AB170" s="162"/>
      <c r="AC170" s="163"/>
      <c r="AD170" s="164"/>
      <c r="AE170" s="163"/>
      <c r="AF170" s="155"/>
      <c r="AG170" s="163"/>
      <c r="AH170" s="155"/>
      <c r="AI170" s="155"/>
      <c r="AJ170" s="155"/>
      <c r="AK170" s="173"/>
      <c r="AL170" s="162"/>
      <c r="AM170" s="37"/>
      <c r="AN170" s="57" t="n">
        <f aca="false">IF(ABS(E170-E169)&lt;0.05,0,E170-E169)</f>
        <v>0</v>
      </c>
      <c r="AO170" s="164" t="n">
        <f aca="false">IF((E170/E169-1)&lt;0.05,0,(E170/E169-1))</f>
        <v>0</v>
      </c>
      <c r="AP170" s="163" t="n">
        <f aca="false">IF(ABS(E170-E158)&lt;0.05,0,E170-E158)</f>
        <v>-3.02000000000001</v>
      </c>
      <c r="AQ170" s="164" t="n">
        <f aca="false">IF(ABS(E170/E158-1)&lt;0.05,0,(E170/E158-1))</f>
        <v>0</v>
      </c>
      <c r="AR170" s="57" t="n">
        <f aca="false">(E170/1.2)-57.95</f>
        <v>8.73333333333333</v>
      </c>
      <c r="AW170" s="162"/>
      <c r="BG170" s="162"/>
      <c r="BQ170" s="162"/>
    </row>
    <row r="171" customFormat="false" ht="12.75" hidden="false" customHeight="true" outlineLevel="0" collapsed="false">
      <c r="A171" s="156" t="n">
        <v>37530</v>
      </c>
      <c r="B171" s="73" t="n">
        <v>2002</v>
      </c>
      <c r="C171" s="157" t="s">
        <v>68</v>
      </c>
      <c r="D171" s="180" t="n">
        <v>77.55</v>
      </c>
      <c r="E171" s="159" t="n">
        <v>80.05</v>
      </c>
      <c r="F171" s="178" t="n">
        <v>74.44</v>
      </c>
      <c r="G171" s="178" t="n">
        <v>75.81</v>
      </c>
      <c r="H171" s="159" t="n">
        <v>17.42</v>
      </c>
      <c r="I171" s="159" t="n">
        <v>17.63</v>
      </c>
      <c r="J171" s="178"/>
      <c r="K171" s="159" t="n">
        <v>33.9835296697073</v>
      </c>
      <c r="L171" s="159"/>
      <c r="M171" s="160" t="n">
        <f aca="false">G171-F171</f>
        <v>1.37</v>
      </c>
      <c r="N171" s="179"/>
      <c r="O171" s="77" t="n">
        <v>59.4868012086275</v>
      </c>
      <c r="P171" s="77" t="n">
        <v>93.2852385909298</v>
      </c>
      <c r="Q171" s="179" t="n">
        <v>161.1</v>
      </c>
      <c r="R171" s="162"/>
      <c r="S171" s="163"/>
      <c r="T171" s="164"/>
      <c r="U171" s="165"/>
      <c r="V171" s="155"/>
      <c r="W171" s="163"/>
      <c r="X171" s="163"/>
      <c r="Y171" s="172"/>
      <c r="Z171" s="163"/>
      <c r="AA171" s="172"/>
      <c r="AB171" s="162"/>
      <c r="AC171" s="163"/>
      <c r="AD171" s="164"/>
      <c r="AE171" s="163"/>
      <c r="AF171" s="155"/>
      <c r="AG171" s="163"/>
      <c r="AH171" s="155"/>
      <c r="AI171" s="155"/>
      <c r="AJ171" s="155"/>
      <c r="AK171" s="173"/>
      <c r="AL171" s="162"/>
      <c r="AM171" s="37"/>
      <c r="AN171" s="57" t="n">
        <f aca="false">IF(ABS(E171-E170)&lt;0.05,0,E171-E170)</f>
        <v>0</v>
      </c>
      <c r="AO171" s="164" t="n">
        <f aca="false">IF((E171/E170-1)&lt;0.05,0,(E171/E170-1))</f>
        <v>0</v>
      </c>
      <c r="AP171" s="163" t="n">
        <f aca="false">IF(ABS(E171-E159)&lt;0.05,0,E171-E159)</f>
        <v>-2.2</v>
      </c>
      <c r="AQ171" s="164" t="n">
        <f aca="false">IF(ABS(E171/E159-1)&lt;0.05,0,(E171/E159-1))</f>
        <v>0</v>
      </c>
      <c r="AR171" s="57" t="n">
        <f aca="false">(E171/1.2)-57.95</f>
        <v>8.75833333333333</v>
      </c>
      <c r="AW171" s="162"/>
      <c r="BG171" s="162"/>
      <c r="BQ171" s="162"/>
    </row>
    <row r="172" customFormat="false" ht="12.75" hidden="false" customHeight="true" outlineLevel="0" collapsed="false">
      <c r="A172" s="156" t="n">
        <v>37561</v>
      </c>
      <c r="B172" s="73" t="n">
        <v>2002</v>
      </c>
      <c r="C172" s="157" t="s">
        <v>69</v>
      </c>
      <c r="D172" s="180" t="n">
        <v>77.39</v>
      </c>
      <c r="E172" s="159" t="n">
        <v>79.95</v>
      </c>
      <c r="F172" s="178" t="n">
        <v>74.1</v>
      </c>
      <c r="G172" s="178" t="n">
        <v>75.55</v>
      </c>
      <c r="H172" s="159" t="n">
        <v>15.1</v>
      </c>
      <c r="I172" s="159" t="n">
        <v>15.82</v>
      </c>
      <c r="J172" s="178"/>
      <c r="K172" s="159" t="n">
        <v>29.6952736825583</v>
      </c>
      <c r="L172" s="159"/>
      <c r="M172" s="160" t="n">
        <f aca="false">G172-F172</f>
        <v>1.45</v>
      </c>
      <c r="N172" s="179"/>
      <c r="O172" s="77" t="n">
        <v>51.9740520579701</v>
      </c>
      <c r="P172" s="77" t="n">
        <v>81.5039932935909</v>
      </c>
      <c r="Q172" s="179" t="n">
        <v>140.8</v>
      </c>
      <c r="R172" s="162"/>
      <c r="S172" s="163"/>
      <c r="T172" s="164"/>
      <c r="U172" s="165"/>
      <c r="V172" s="155"/>
      <c r="W172" s="163"/>
      <c r="X172" s="163"/>
      <c r="Y172" s="172"/>
      <c r="Z172" s="163"/>
      <c r="AA172" s="172"/>
      <c r="AB172" s="162"/>
      <c r="AC172" s="163"/>
      <c r="AD172" s="164"/>
      <c r="AE172" s="163"/>
      <c r="AF172" s="155"/>
      <c r="AG172" s="163"/>
      <c r="AH172" s="155"/>
      <c r="AI172" s="155"/>
      <c r="AJ172" s="155"/>
      <c r="AK172" s="173"/>
      <c r="AL172" s="162"/>
      <c r="AM172" s="37"/>
      <c r="AN172" s="57" t="n">
        <f aca="false">IF(ABS(E172-E171)&lt;0.05,0,E172-E171)</f>
        <v>-0.0999999999999943</v>
      </c>
      <c r="AO172" s="164" t="n">
        <f aca="false">IF((E172/E171-1)&lt;0.05,0,(E172/E171-1))</f>
        <v>0</v>
      </c>
      <c r="AP172" s="163" t="n">
        <f aca="false">IF(ABS(E172-E160)&lt;0.05,0,E172-E160)</f>
        <v>0.450000000000003</v>
      </c>
      <c r="AQ172" s="164" t="n">
        <f aca="false">IF(ABS(E172/E160-1)&lt;0.05,0,(E172/E160-1))</f>
        <v>0</v>
      </c>
      <c r="AR172" s="57" t="n">
        <f aca="false">(E172/1.2)-57.95</f>
        <v>8.675</v>
      </c>
      <c r="AW172" s="162"/>
      <c r="BG172" s="162"/>
      <c r="BQ172" s="162"/>
    </row>
    <row r="173" customFormat="false" ht="12.75" hidden="false" customHeight="true" outlineLevel="0" collapsed="false">
      <c r="A173" s="156" t="n">
        <v>37591</v>
      </c>
      <c r="B173" s="73" t="n">
        <v>2002</v>
      </c>
      <c r="C173" s="157" t="s">
        <v>70</v>
      </c>
      <c r="D173" s="180" t="n">
        <v>77.34</v>
      </c>
      <c r="E173" s="159" t="n">
        <v>79.85</v>
      </c>
      <c r="F173" s="178" t="n">
        <v>73.66</v>
      </c>
      <c r="G173" s="178" t="n">
        <v>75.15</v>
      </c>
      <c r="H173" s="159" t="n">
        <v>16.21</v>
      </c>
      <c r="I173" s="159" t="n">
        <v>17.21</v>
      </c>
      <c r="J173" s="178"/>
      <c r="K173" s="159" t="n">
        <v>34.5657650178579</v>
      </c>
      <c r="L173" s="159"/>
      <c r="M173" s="160" t="n">
        <f aca="false">G173-F173</f>
        <v>1.49000000000001</v>
      </c>
      <c r="N173" s="179"/>
      <c r="O173" s="77" t="n">
        <v>60.4470941580456</v>
      </c>
      <c r="P173" s="77" t="n">
        <v>94.7911383045398</v>
      </c>
      <c r="Q173" s="179" t="n">
        <v>163.7</v>
      </c>
      <c r="R173" s="162"/>
      <c r="S173" s="163"/>
      <c r="T173" s="164"/>
      <c r="U173" s="165"/>
      <c r="V173" s="155"/>
      <c r="W173" s="163"/>
      <c r="X173" s="163"/>
      <c r="Y173" s="172"/>
      <c r="Z173" s="163"/>
      <c r="AA173" s="172"/>
      <c r="AB173" s="162"/>
      <c r="AC173" s="163"/>
      <c r="AD173" s="164"/>
      <c r="AE173" s="163"/>
      <c r="AF173" s="155"/>
      <c r="AG173" s="163"/>
      <c r="AH173" s="155"/>
      <c r="AI173" s="155"/>
      <c r="AJ173" s="155"/>
      <c r="AK173" s="173"/>
      <c r="AL173" s="162"/>
      <c r="AM173" s="37"/>
      <c r="AN173" s="57" t="n">
        <f aca="false">IF(ABS(E173-E172)&lt;0.05,0,E173-E172)</f>
        <v>-0.100000000000009</v>
      </c>
      <c r="AO173" s="164" t="n">
        <f aca="false">IF((E173/E172-1)&lt;0.05,0,(E173/E172-1))</f>
        <v>0</v>
      </c>
      <c r="AP173" s="163" t="n">
        <f aca="false">IF(ABS(E173-E161)&lt;0.05,0,E173-E161)</f>
        <v>1.48999999999999</v>
      </c>
      <c r="AQ173" s="164" t="n">
        <f aca="false">IF(ABS(E173/E161-1)&lt;0.05,0,(E173/E161-1))</f>
        <v>0</v>
      </c>
      <c r="AR173" s="57" t="n">
        <f aca="false">(E173/1.2)-57.95</f>
        <v>8.59166666666667</v>
      </c>
      <c r="AW173" s="162"/>
      <c r="BG173" s="162"/>
      <c r="BQ173" s="162"/>
    </row>
    <row r="174" customFormat="false" ht="12.75" hidden="false" customHeight="true" outlineLevel="0" collapsed="false">
      <c r="A174" s="156" t="n">
        <v>37622</v>
      </c>
      <c r="B174" s="73" t="n">
        <v>2003</v>
      </c>
      <c r="C174" s="157" t="s">
        <v>59</v>
      </c>
      <c r="D174" s="180" t="n">
        <v>78.15</v>
      </c>
      <c r="E174" s="159" t="n">
        <v>80.47</v>
      </c>
      <c r="F174" s="178" t="n">
        <v>74.95</v>
      </c>
      <c r="G174" s="178" t="n">
        <v>76.38</v>
      </c>
      <c r="H174" s="159" t="n">
        <v>17.83</v>
      </c>
      <c r="I174" s="159" t="n">
        <v>18.63</v>
      </c>
      <c r="J174" s="178"/>
      <c r="K174" s="159" t="n">
        <v>38.1945100581822</v>
      </c>
      <c r="L174" s="159"/>
      <c r="M174" s="160" t="n">
        <f aca="false">G174-F174</f>
        <v>1.42999999999999</v>
      </c>
      <c r="N174" s="179"/>
      <c r="O174" s="77" t="n">
        <v>66.8224971502986</v>
      </c>
      <c r="P174" s="77" t="n">
        <v>104.702840257799</v>
      </c>
      <c r="Q174" s="179" t="n">
        <v>180.9</v>
      </c>
      <c r="R174" s="162"/>
      <c r="S174" s="163"/>
      <c r="T174" s="164"/>
      <c r="U174" s="165"/>
      <c r="V174" s="155"/>
      <c r="W174" s="163"/>
      <c r="X174" s="163"/>
      <c r="Y174" s="172"/>
      <c r="Z174" s="163"/>
      <c r="AA174" s="172"/>
      <c r="AB174" s="162"/>
      <c r="AC174" s="163"/>
      <c r="AD174" s="164"/>
      <c r="AE174" s="163"/>
      <c r="AF174" s="155"/>
      <c r="AG174" s="163"/>
      <c r="AH174" s="155"/>
      <c r="AI174" s="155"/>
      <c r="AJ174" s="155"/>
      <c r="AK174" s="173"/>
      <c r="AL174" s="162"/>
      <c r="AM174" s="37"/>
      <c r="AN174" s="57" t="n">
        <f aca="false">IF(ABS(E174-E173)&lt;0.05,0,E174-E173)</f>
        <v>0.620000000000005</v>
      </c>
      <c r="AO174" s="164" t="n">
        <f aca="false">IF((E174/E173-1)&lt;0.05,0,(E174/E173-1))</f>
        <v>0</v>
      </c>
      <c r="AP174" s="163" t="n">
        <f aca="false">IF(ABS(E174-E162)&lt;0.05,0,E174-E162)</f>
        <v>1.98999999999999</v>
      </c>
      <c r="AQ174" s="164" t="n">
        <f aca="false">IF(ABS(E174/E162-1)&lt;0.05,0,(E174/E162-1))</f>
        <v>0</v>
      </c>
      <c r="AR174" s="57" t="n">
        <f aca="false">(E174/1.2)-57.95</f>
        <v>9.10833333333333</v>
      </c>
      <c r="AW174" s="162"/>
      <c r="BG174" s="162"/>
      <c r="BQ174" s="162"/>
    </row>
    <row r="175" customFormat="false" ht="12.75" hidden="false" customHeight="true" outlineLevel="0" collapsed="false">
      <c r="A175" s="156" t="n">
        <v>37653</v>
      </c>
      <c r="B175" s="73" t="n">
        <v>2003</v>
      </c>
      <c r="C175" s="157" t="s">
        <v>60</v>
      </c>
      <c r="D175" s="159" t="n">
        <v>79.31</v>
      </c>
      <c r="E175" s="159" t="n">
        <v>81.31</v>
      </c>
      <c r="F175" s="159" t="n">
        <v>76.66</v>
      </c>
      <c r="G175" s="159" t="n">
        <v>78.01</v>
      </c>
      <c r="H175" s="159" t="n">
        <v>20.24</v>
      </c>
      <c r="I175" s="159" t="n">
        <v>20.5</v>
      </c>
      <c r="J175" s="178"/>
      <c r="K175" s="159" t="n">
        <v>39.7135121557744</v>
      </c>
      <c r="L175" s="159"/>
      <c r="M175" s="160" t="n">
        <f aca="false">G175-F175</f>
        <v>1.35000000000001</v>
      </c>
      <c r="N175" s="179"/>
      <c r="O175" s="77" t="n">
        <v>69.4942820558714</v>
      </c>
      <c r="P175" s="77" t="n">
        <v>108.96431273327</v>
      </c>
      <c r="Q175" s="179" t="n">
        <v>188.3</v>
      </c>
      <c r="R175" s="162"/>
      <c r="S175" s="163"/>
      <c r="T175" s="164"/>
      <c r="U175" s="165"/>
      <c r="V175" s="155"/>
      <c r="W175" s="163"/>
      <c r="X175" s="163"/>
      <c r="Y175" s="172"/>
      <c r="Z175" s="163"/>
      <c r="AA175" s="172"/>
      <c r="AB175" s="162"/>
      <c r="AC175" s="163"/>
      <c r="AD175" s="164"/>
      <c r="AE175" s="163"/>
      <c r="AF175" s="155"/>
      <c r="AG175" s="163"/>
      <c r="AH175" s="155"/>
      <c r="AI175" s="155"/>
      <c r="AJ175" s="155"/>
      <c r="AK175" s="173"/>
      <c r="AL175" s="162"/>
      <c r="AM175" s="37"/>
      <c r="AN175" s="57" t="n">
        <f aca="false">IF(ABS(E175-E174)&lt;0.05,0,E175-E174)</f>
        <v>0.840000000000003</v>
      </c>
      <c r="AO175" s="164" t="n">
        <f aca="false">IF((E175/E174-1)&lt;0.05,0,(E175/E174-1))</f>
        <v>0</v>
      </c>
      <c r="AP175" s="163" t="n">
        <f aca="false">IF(ABS(E175-E163)&lt;0.05,0,E175-E163)</f>
        <v>2.79000000000001</v>
      </c>
      <c r="AQ175" s="164" t="n">
        <f aca="false">IF(ABS(E175/E163-1)&lt;0.05,0,(E175/E163-1))</f>
        <v>0</v>
      </c>
      <c r="AR175" s="57" t="n">
        <f aca="false">(E175/1.2)-57.95</f>
        <v>9.80833333333334</v>
      </c>
      <c r="AW175" s="162"/>
      <c r="BG175" s="162"/>
      <c r="BQ175" s="162"/>
    </row>
    <row r="176" customFormat="false" ht="12.75" hidden="false" customHeight="true" outlineLevel="0" collapsed="false">
      <c r="A176" s="156" t="n">
        <v>37681</v>
      </c>
      <c r="B176" s="73" t="n">
        <v>2003</v>
      </c>
      <c r="C176" s="157" t="s">
        <v>61</v>
      </c>
      <c r="D176" s="180" t="n">
        <v>81.36</v>
      </c>
      <c r="E176" s="159" t="n">
        <v>82.92</v>
      </c>
      <c r="F176" s="178" t="n">
        <v>78.55</v>
      </c>
      <c r="G176" s="178" t="n">
        <v>81.1</v>
      </c>
      <c r="H176" s="159" t="n">
        <v>22.49</v>
      </c>
      <c r="I176" s="159" t="n">
        <v>22.87</v>
      </c>
      <c r="J176" s="178"/>
      <c r="K176" s="159" t="n">
        <v>38.0772792686837</v>
      </c>
      <c r="L176" s="159"/>
      <c r="M176" s="160" t="n">
        <f aca="false">G176-F176</f>
        <v>2.55</v>
      </c>
      <c r="N176" s="179"/>
      <c r="O176" s="77" t="n">
        <v>66.5772314104292</v>
      </c>
      <c r="P176" s="77" t="n">
        <v>104.106730664303</v>
      </c>
      <c r="Q176" s="179" t="n">
        <v>180.6</v>
      </c>
      <c r="R176" s="162"/>
      <c r="S176" s="163"/>
      <c r="T176" s="164"/>
      <c r="U176" s="165"/>
      <c r="V176" s="155"/>
      <c r="W176" s="163"/>
      <c r="X176" s="163"/>
      <c r="Y176" s="172"/>
      <c r="Z176" s="163"/>
      <c r="AA176" s="172"/>
      <c r="AB176" s="162"/>
      <c r="AC176" s="163"/>
      <c r="AD176" s="164"/>
      <c r="AE176" s="163"/>
      <c r="AF176" s="155"/>
      <c r="AG176" s="163"/>
      <c r="AH176" s="155"/>
      <c r="AI176" s="155"/>
      <c r="AJ176" s="155"/>
      <c r="AK176" s="173"/>
      <c r="AL176" s="162"/>
      <c r="AM176" s="37"/>
      <c r="AN176" s="57" t="n">
        <f aca="false">IF(ABS(E176-E175)&lt;0.05,0,E176-E175)</f>
        <v>1.61</v>
      </c>
      <c r="AO176" s="164" t="n">
        <f aca="false">IF((E176/E175-1)&lt;0.05,0,(E176/E175-1))</f>
        <v>0</v>
      </c>
      <c r="AP176" s="163" t="n">
        <f aca="false">IF(ABS(E176-E164)&lt;0.05,0,E176-E164)</f>
        <v>3.75</v>
      </c>
      <c r="AQ176" s="164" t="n">
        <f aca="false">IF(ABS(E176/E164-1)&lt;0.05,0,(E176/E164-1))</f>
        <v>0</v>
      </c>
      <c r="AR176" s="57" t="n">
        <f aca="false">(E176/1.2)-57.95</f>
        <v>11.15</v>
      </c>
      <c r="AW176" s="162"/>
      <c r="BG176" s="162"/>
      <c r="BQ176" s="162"/>
    </row>
    <row r="177" customFormat="false" ht="12.75" hidden="false" customHeight="true" outlineLevel="0" collapsed="false">
      <c r="A177" s="156" t="n">
        <v>37712</v>
      </c>
      <c r="B177" s="73" t="n">
        <v>2003</v>
      </c>
      <c r="C177" s="157" t="s">
        <v>62</v>
      </c>
      <c r="D177" s="176" t="n">
        <v>81.42</v>
      </c>
      <c r="E177" s="159" t="n">
        <v>83.1</v>
      </c>
      <c r="F177" s="159" t="n">
        <v>78.2</v>
      </c>
      <c r="G177" s="159" t="n">
        <v>80.85</v>
      </c>
      <c r="H177" s="159" t="n">
        <v>16.17</v>
      </c>
      <c r="I177" s="159" t="n">
        <v>17.5</v>
      </c>
      <c r="J177" s="159"/>
      <c r="K177" s="159" t="n">
        <v>31.1856689766101</v>
      </c>
      <c r="L177" s="159"/>
      <c r="M177" s="160" t="n">
        <f aca="false">G177-F177</f>
        <v>2.64999999999999</v>
      </c>
      <c r="N177" s="179"/>
      <c r="O177" s="77" t="n">
        <v>54.6012959932539</v>
      </c>
      <c r="P177" s="77" t="n">
        <v>85.7698154681164</v>
      </c>
      <c r="Q177" s="179" t="n">
        <v>148.2</v>
      </c>
      <c r="R177" s="162"/>
      <c r="S177" s="163"/>
      <c r="T177" s="164"/>
      <c r="U177" s="165"/>
      <c r="V177" s="155"/>
      <c r="W177" s="163"/>
      <c r="X177" s="163"/>
      <c r="Y177" s="172"/>
      <c r="Z177" s="163"/>
      <c r="AA177" s="172"/>
      <c r="AB177" s="162"/>
      <c r="AC177" s="163"/>
      <c r="AD177" s="164"/>
      <c r="AE177" s="163"/>
      <c r="AF177" s="155"/>
      <c r="AG177" s="163"/>
      <c r="AH177" s="155"/>
      <c r="AI177" s="155"/>
      <c r="AJ177" s="155"/>
      <c r="AK177" s="173"/>
      <c r="AL177" s="162"/>
      <c r="AM177" s="37"/>
      <c r="AN177" s="57" t="n">
        <f aca="false">IF(ABS(E177-E176)&lt;0.05,0,E177-E176)</f>
        <v>0.179999999999993</v>
      </c>
      <c r="AO177" s="164" t="n">
        <f aca="false">IF((E177/E176-1)&lt;0.05,0,(E177/E176-1))</f>
        <v>0</v>
      </c>
      <c r="AP177" s="163" t="n">
        <f aca="false">IF(ABS(E177-E165)&lt;0.05,0,E177-E165)</f>
        <v>2.49</v>
      </c>
      <c r="AQ177" s="164" t="n">
        <f aca="false">IF(ABS(E177/E165-1)&lt;0.05,0,(E177/E165-1))</f>
        <v>0</v>
      </c>
      <c r="AR177" s="57" t="n">
        <f aca="false">(E177/1.2)-57.95</f>
        <v>11.3</v>
      </c>
      <c r="AW177" s="162"/>
      <c r="BG177" s="162"/>
      <c r="BQ177" s="162"/>
    </row>
    <row r="178" customFormat="false" ht="12.75" hidden="false" customHeight="true" outlineLevel="0" collapsed="false">
      <c r="A178" s="156" t="n">
        <v>37742</v>
      </c>
      <c r="B178" s="73" t="n">
        <v>2003</v>
      </c>
      <c r="C178" s="157" t="s">
        <v>63</v>
      </c>
      <c r="D178" s="176" t="n">
        <v>80.04</v>
      </c>
      <c r="E178" s="159" t="n">
        <v>81.21</v>
      </c>
      <c r="F178" s="159" t="n">
        <v>75.84</v>
      </c>
      <c r="G178" s="159" t="n">
        <v>78.2</v>
      </c>
      <c r="H178" s="159" t="n">
        <v>15.71</v>
      </c>
      <c r="I178" s="159" t="n">
        <v>16.88</v>
      </c>
      <c r="J178" s="159"/>
      <c r="K178" s="159" t="n">
        <v>30.1614161272609</v>
      </c>
      <c r="L178" s="159"/>
      <c r="M178" s="160" t="n">
        <f aca="false">G178-F178</f>
        <v>2.36</v>
      </c>
      <c r="N178" s="179"/>
      <c r="O178" s="77" t="n">
        <v>52.804207119209</v>
      </c>
      <c r="P178" s="77" t="n">
        <v>82.9269607518131</v>
      </c>
      <c r="Q178" s="179" t="n">
        <v>143.2</v>
      </c>
      <c r="R178" s="162"/>
      <c r="S178" s="163"/>
      <c r="T178" s="164"/>
      <c r="U178" s="165"/>
      <c r="V178" s="155"/>
      <c r="W178" s="163"/>
      <c r="X178" s="163"/>
      <c r="Y178" s="172"/>
      <c r="Z178" s="163"/>
      <c r="AA178" s="172"/>
      <c r="AB178" s="162"/>
      <c r="AC178" s="163"/>
      <c r="AD178" s="164"/>
      <c r="AE178" s="163"/>
      <c r="AF178" s="155"/>
      <c r="AG178" s="163"/>
      <c r="AH178" s="155"/>
      <c r="AI178" s="155"/>
      <c r="AJ178" s="155"/>
      <c r="AK178" s="173"/>
      <c r="AL178" s="162"/>
      <c r="AM178" s="37"/>
      <c r="AN178" s="57" t="n">
        <f aca="false">IF(ABS(E178-E177)&lt;0.05,0,E178-E177)</f>
        <v>-1.89</v>
      </c>
      <c r="AO178" s="164" t="n">
        <f aca="false">IF((E178/E177-1)&lt;0.05,0,(E178/E177-1))</f>
        <v>0</v>
      </c>
      <c r="AP178" s="163" t="n">
        <f aca="false">IF(ABS(E178-E166)&lt;0.05,0,E178-E166)</f>
        <v>0.799999999999997</v>
      </c>
      <c r="AQ178" s="164" t="n">
        <f aca="false">IF(ABS(E178/E166-1)&lt;0.05,0,(E178/E166-1))</f>
        <v>0</v>
      </c>
      <c r="AR178" s="57" t="n">
        <f aca="false">(E178/1.2)-57.95</f>
        <v>9.72499999999999</v>
      </c>
      <c r="AW178" s="162"/>
      <c r="BG178" s="162"/>
      <c r="BQ178" s="162"/>
    </row>
    <row r="179" customFormat="false" ht="12.75" hidden="false" customHeight="true" outlineLevel="0" collapsed="false">
      <c r="A179" s="156" t="n">
        <v>37773</v>
      </c>
      <c r="B179" s="73" t="n">
        <v>2003</v>
      </c>
      <c r="C179" s="157" t="s">
        <v>64</v>
      </c>
      <c r="D179" s="176" t="n">
        <v>79.36</v>
      </c>
      <c r="E179" s="159" t="n">
        <v>80.39</v>
      </c>
      <c r="F179" s="159" t="n">
        <v>74.39</v>
      </c>
      <c r="G179" s="159" t="n">
        <v>76.66</v>
      </c>
      <c r="H179" s="159" t="n">
        <v>15.16</v>
      </c>
      <c r="I179" s="159" t="n">
        <v>16.77</v>
      </c>
      <c r="J179" s="159"/>
      <c r="K179" s="159" t="n">
        <v>32.0553015994121</v>
      </c>
      <c r="L179" s="159"/>
      <c r="M179" s="160" t="n">
        <f aca="false">G179-F179</f>
        <v>2.27</v>
      </c>
      <c r="N179" s="179"/>
      <c r="O179" s="77" t="n">
        <v>56.1050849296409</v>
      </c>
      <c r="P179" s="77" t="n">
        <v>88.0329439606831</v>
      </c>
      <c r="Q179" s="179" t="n">
        <v>152</v>
      </c>
      <c r="R179" s="162"/>
      <c r="S179" s="163"/>
      <c r="T179" s="164"/>
      <c r="U179" s="165"/>
      <c r="V179" s="155"/>
      <c r="W179" s="163"/>
      <c r="X179" s="163"/>
      <c r="Y179" s="172"/>
      <c r="Z179" s="163"/>
      <c r="AA179" s="172"/>
      <c r="AB179" s="162"/>
      <c r="AC179" s="163"/>
      <c r="AD179" s="164"/>
      <c r="AE179" s="163"/>
      <c r="AF179" s="155"/>
      <c r="AG179" s="163"/>
      <c r="AH179" s="155"/>
      <c r="AI179" s="155"/>
      <c r="AJ179" s="155"/>
      <c r="AK179" s="173"/>
      <c r="AL179" s="162"/>
      <c r="AM179" s="37"/>
      <c r="AN179" s="57" t="n">
        <f aca="false">IF(ABS(E179-E178)&lt;0.05,0,E179-E178)</f>
        <v>-0.819999999999993</v>
      </c>
      <c r="AO179" s="164" t="n">
        <f aca="false">IF((E179/E178-1)&lt;0.05,0,(E179/E178-1))</f>
        <v>0</v>
      </c>
      <c r="AP179" s="163" t="n">
        <f aca="false">IF(ABS(E179-E167)&lt;0.05,0,E179-E167)</f>
        <v>0.0700000000000074</v>
      </c>
      <c r="AQ179" s="164" t="n">
        <f aca="false">IF(ABS(E179/E167-1)&lt;0.05,0,(E179/E167-1))</f>
        <v>0</v>
      </c>
      <c r="AR179" s="57" t="n">
        <f aca="false">(E179/1.2)-57.95</f>
        <v>9.04166666666667</v>
      </c>
      <c r="AW179" s="162"/>
      <c r="BG179" s="162"/>
      <c r="BQ179" s="162"/>
    </row>
    <row r="180" customFormat="false" ht="12.75" hidden="false" customHeight="true" outlineLevel="0" collapsed="false">
      <c r="A180" s="156" t="n">
        <v>37803</v>
      </c>
      <c r="B180" s="73" t="n">
        <v>2003</v>
      </c>
      <c r="C180" s="157" t="s">
        <v>65</v>
      </c>
      <c r="D180" s="176" t="n">
        <v>79.59</v>
      </c>
      <c r="E180" s="159" t="n">
        <v>80.51</v>
      </c>
      <c r="F180" s="159" t="n">
        <v>74.47</v>
      </c>
      <c r="G180" s="159" t="n">
        <v>76.57</v>
      </c>
      <c r="H180" s="159" t="n">
        <v>16.3</v>
      </c>
      <c r="I180" s="159" t="n">
        <v>17.57</v>
      </c>
      <c r="J180" s="159"/>
      <c r="K180" s="159" t="n">
        <v>33.7003383233302</v>
      </c>
      <c r="L180" s="159"/>
      <c r="M180" s="160" t="n">
        <f aca="false">G180-F180</f>
        <v>2.09999999999999</v>
      </c>
      <c r="N180" s="179"/>
      <c r="O180" s="77" t="n">
        <v>58.9844728218438</v>
      </c>
      <c r="P180" s="77" t="n">
        <v>92.5516887152127</v>
      </c>
      <c r="Q180" s="179" t="n">
        <v>159.5</v>
      </c>
      <c r="R180" s="162"/>
      <c r="S180" s="163"/>
      <c r="T180" s="164"/>
      <c r="U180" s="165"/>
      <c r="V180" s="155"/>
      <c r="W180" s="163"/>
      <c r="X180" s="163"/>
      <c r="Y180" s="172"/>
      <c r="Z180" s="163"/>
      <c r="AA180" s="172"/>
      <c r="AB180" s="162"/>
      <c r="AC180" s="163"/>
      <c r="AD180" s="164"/>
      <c r="AE180" s="163"/>
      <c r="AF180" s="155"/>
      <c r="AG180" s="163"/>
      <c r="AH180" s="155"/>
      <c r="AI180" s="155"/>
      <c r="AJ180" s="155"/>
      <c r="AK180" s="173"/>
      <c r="AL180" s="162"/>
      <c r="AM180" s="37"/>
      <c r="AN180" s="57" t="n">
        <f aca="false">IF(ABS(E180-E179)&lt;0.05,0,E180-E179)</f>
        <v>0.120000000000005</v>
      </c>
      <c r="AO180" s="164" t="n">
        <f aca="false">IF((E180/E179-1)&lt;0.05,0,(E180/E179-1))</f>
        <v>0</v>
      </c>
      <c r="AP180" s="163" t="n">
        <f aca="false">IF(ABS(E180-E168)&lt;0.05,0,E180-E168)</f>
        <v>0.430000000000007</v>
      </c>
      <c r="AQ180" s="164" t="n">
        <f aca="false">IF(ABS(E180/E168-1)&lt;0.05,0,(E180/E168-1))</f>
        <v>0</v>
      </c>
      <c r="AR180" s="57" t="n">
        <f aca="false">(E180/1.2)-57.95</f>
        <v>9.14166666666667</v>
      </c>
      <c r="AW180" s="162"/>
      <c r="BG180" s="162"/>
      <c r="BQ180" s="162"/>
    </row>
    <row r="181" customFormat="false" ht="12.75" hidden="false" customHeight="true" outlineLevel="0" collapsed="false">
      <c r="A181" s="156" t="n">
        <v>37834</v>
      </c>
      <c r="B181" s="73" t="n">
        <v>2003</v>
      </c>
      <c r="C181" s="157" t="s">
        <v>66</v>
      </c>
      <c r="D181" s="176" t="n">
        <v>79.77</v>
      </c>
      <c r="E181" s="159" t="n">
        <v>81.26</v>
      </c>
      <c r="F181" s="159" t="n">
        <v>75.73</v>
      </c>
      <c r="G181" s="159" t="n">
        <v>77.32</v>
      </c>
      <c r="H181" s="159" t="n">
        <v>17.32</v>
      </c>
      <c r="I181" s="159" t="n">
        <v>18.51</v>
      </c>
      <c r="J181" s="159"/>
      <c r="K181" s="159" t="n">
        <v>35.7571772898125</v>
      </c>
      <c r="L181" s="159"/>
      <c r="M181" s="160" t="n">
        <f aca="false">G181-F181</f>
        <v>1.58999999999999</v>
      </c>
      <c r="N181" s="179"/>
      <c r="O181" s="77" t="n">
        <v>62.5768321081379</v>
      </c>
      <c r="P181" s="77" t="n">
        <v>98.1480800434774</v>
      </c>
      <c r="Q181" s="179" t="n">
        <v>170.3</v>
      </c>
      <c r="R181" s="162"/>
      <c r="S181" s="163"/>
      <c r="T181" s="164"/>
      <c r="U181" s="165"/>
      <c r="V181" s="155"/>
      <c r="W181" s="163"/>
      <c r="X181" s="163"/>
      <c r="Y181" s="172"/>
      <c r="Z181" s="163"/>
      <c r="AA181" s="172"/>
      <c r="AB181" s="162"/>
      <c r="AC181" s="163"/>
      <c r="AD181" s="164"/>
      <c r="AE181" s="163"/>
      <c r="AF181" s="155"/>
      <c r="AG181" s="163"/>
      <c r="AH181" s="155"/>
      <c r="AI181" s="155"/>
      <c r="AJ181" s="155"/>
      <c r="AK181" s="173"/>
      <c r="AL181" s="162"/>
      <c r="AM181" s="37"/>
      <c r="AN181" s="57" t="n">
        <f aca="false">IF(ABS(E181-E180)&lt;0.05,0,E181-E180)</f>
        <v>0.75</v>
      </c>
      <c r="AO181" s="164" t="n">
        <f aca="false">IF((E181/E180-1)&lt;0.05,0,(E181/E180-1))</f>
        <v>0</v>
      </c>
      <c r="AP181" s="163" t="n">
        <f aca="false">IF(ABS(E181-E169)&lt;0.05,0,E181-E169)</f>
        <v>1.26000000000001</v>
      </c>
      <c r="AQ181" s="164" t="n">
        <f aca="false">IF(ABS(E181/E169-1)&lt;0.05,0,(E181/E169-1))</f>
        <v>0</v>
      </c>
      <c r="AR181" s="57" t="n">
        <f aca="false">(E181/1.2)-57.95</f>
        <v>9.76666666666667</v>
      </c>
      <c r="AW181" s="162"/>
      <c r="BG181" s="162"/>
      <c r="BQ181" s="162"/>
    </row>
    <row r="182" customFormat="false" ht="12.75" hidden="false" customHeight="true" outlineLevel="0" collapsed="false">
      <c r="A182" s="156" t="n">
        <v>37865</v>
      </c>
      <c r="B182" s="73" t="n">
        <v>2003</v>
      </c>
      <c r="C182" s="157" t="s">
        <v>67</v>
      </c>
      <c r="D182" s="176" t="n">
        <v>79.81</v>
      </c>
      <c r="E182" s="159" t="n">
        <v>81.17</v>
      </c>
      <c r="F182" s="159" t="n">
        <v>76.1</v>
      </c>
      <c r="G182" s="159" t="n">
        <v>77.55</v>
      </c>
      <c r="H182" s="159" t="n">
        <v>16.81</v>
      </c>
      <c r="I182" s="159" t="n">
        <v>17.94</v>
      </c>
      <c r="J182" s="159"/>
      <c r="K182" s="159" t="n">
        <v>32.1810947622512</v>
      </c>
      <c r="L182" s="159"/>
      <c r="M182" s="160" t="n">
        <f aca="false">G182-F182</f>
        <v>1.45</v>
      </c>
      <c r="N182" s="179"/>
      <c r="O182" s="77" t="n">
        <v>56.2804873803976</v>
      </c>
      <c r="P182" s="77" t="n">
        <v>88.0721895698071</v>
      </c>
      <c r="Q182" s="176" t="s">
        <v>71</v>
      </c>
      <c r="R182" s="162"/>
      <c r="S182" s="163"/>
      <c r="T182" s="164"/>
      <c r="U182" s="165"/>
      <c r="V182" s="155"/>
      <c r="W182" s="163"/>
      <c r="X182" s="163"/>
      <c r="Y182" s="172"/>
      <c r="Z182" s="163"/>
      <c r="AA182" s="172"/>
      <c r="AB182" s="162"/>
      <c r="AC182" s="163"/>
      <c r="AD182" s="164"/>
      <c r="AE182" s="163"/>
      <c r="AF182" s="155"/>
      <c r="AG182" s="163"/>
      <c r="AH182" s="155"/>
      <c r="AI182" s="155"/>
      <c r="AJ182" s="155"/>
      <c r="AK182" s="173"/>
      <c r="AL182" s="162"/>
      <c r="AM182" s="37"/>
      <c r="AN182" s="57" t="n">
        <f aca="false">IF(ABS(E182-E181)&lt;0.05,0,E182-E181)</f>
        <v>-0.0900000000000034</v>
      </c>
      <c r="AO182" s="164" t="n">
        <f aca="false">IF((E182/E181-1)&lt;0.05,0,(E182/E181-1))</f>
        <v>0</v>
      </c>
      <c r="AP182" s="163" t="n">
        <f aca="false">IF(ABS(E182-E170)&lt;0.05,0,E182-E170)</f>
        <v>1.15000000000001</v>
      </c>
      <c r="AQ182" s="164" t="n">
        <f aca="false">IF(ABS(E182/E170-1)&lt;0.05,0,(E182/E170-1))</f>
        <v>0</v>
      </c>
      <c r="AR182" s="57" t="n">
        <f aca="false">(E182/1.2)-57.95</f>
        <v>9.69166666666666</v>
      </c>
      <c r="AW182" s="162"/>
      <c r="BG182" s="162"/>
      <c r="BQ182" s="162"/>
    </row>
    <row r="183" customFormat="false" ht="12.75" hidden="false" customHeight="true" outlineLevel="0" collapsed="false">
      <c r="A183" s="156" t="n">
        <v>37895</v>
      </c>
      <c r="B183" s="73" t="n">
        <v>2003</v>
      </c>
      <c r="C183" s="157" t="s">
        <v>68</v>
      </c>
      <c r="D183" s="176" t="n">
        <v>80.05</v>
      </c>
      <c r="E183" s="159" t="n">
        <v>81.31</v>
      </c>
      <c r="F183" s="159" t="n">
        <v>75.84</v>
      </c>
      <c r="G183" s="159" t="n">
        <v>77.38</v>
      </c>
      <c r="H183" s="159" t="n">
        <v>17.07</v>
      </c>
      <c r="I183" s="159" t="n">
        <v>18.6</v>
      </c>
      <c r="J183" s="159"/>
      <c r="K183" s="159" t="n">
        <v>33.9710658896133</v>
      </c>
      <c r="L183" s="159"/>
      <c r="M183" s="160" t="n">
        <f aca="false">G183-F183</f>
        <v>1.53999999999999</v>
      </c>
      <c r="N183" s="179"/>
      <c r="O183" s="77" t="n">
        <v>59.4656506709432</v>
      </c>
      <c r="P183" s="77" t="n">
        <v>93.3453515844207</v>
      </c>
      <c r="Q183" s="74"/>
      <c r="R183" s="162"/>
      <c r="S183" s="163"/>
      <c r="T183" s="164"/>
      <c r="U183" s="165"/>
      <c r="V183" s="155"/>
      <c r="W183" s="163"/>
      <c r="X183" s="163"/>
      <c r="Y183" s="172"/>
      <c r="Z183" s="163"/>
      <c r="AA183" s="172"/>
      <c r="AB183" s="162"/>
      <c r="AC183" s="163"/>
      <c r="AD183" s="164"/>
      <c r="AE183" s="163"/>
      <c r="AF183" s="155"/>
      <c r="AG183" s="163"/>
      <c r="AH183" s="155"/>
      <c r="AI183" s="155"/>
      <c r="AJ183" s="155"/>
      <c r="AK183" s="173"/>
      <c r="AL183" s="162"/>
      <c r="AM183" s="37"/>
      <c r="AN183" s="57" t="n">
        <f aca="false">IF(ABS(E183-E182)&lt;0.05,0,E183-E182)</f>
        <v>0.140000000000001</v>
      </c>
      <c r="AO183" s="164" t="n">
        <f aca="false">IF((E183/E182-1)&lt;0.05,0,(E183/E182-1))</f>
        <v>0</v>
      </c>
      <c r="AP183" s="163" t="n">
        <f aca="false">IF(ABS(E183-E171)&lt;0.05,0,E183-E171)</f>
        <v>1.26000000000001</v>
      </c>
      <c r="AQ183" s="164" t="n">
        <f aca="false">IF(ABS(E183/E171-1)&lt;0.05,0,(E183/E171-1))</f>
        <v>0</v>
      </c>
      <c r="AR183" s="57" t="n">
        <f aca="false">(E183/1.2)-57.95</f>
        <v>9.80833333333334</v>
      </c>
      <c r="AW183" s="162"/>
      <c r="BG183" s="162"/>
      <c r="BQ183" s="162"/>
    </row>
    <row r="184" customFormat="false" ht="12.75" hidden="false" customHeight="true" outlineLevel="0" collapsed="false">
      <c r="A184" s="156" t="n">
        <v>37926</v>
      </c>
      <c r="B184" s="73" t="n">
        <v>2003</v>
      </c>
      <c r="C184" s="157" t="s">
        <v>69</v>
      </c>
      <c r="D184" s="176" t="n">
        <v>80.19</v>
      </c>
      <c r="E184" s="159" t="n">
        <v>81.4</v>
      </c>
      <c r="F184" s="159" t="n">
        <v>75.86</v>
      </c>
      <c r="G184" s="159" t="n">
        <v>77.45</v>
      </c>
      <c r="H184" s="159" t="n">
        <v>17.55</v>
      </c>
      <c r="I184" s="159" t="n">
        <v>18.74</v>
      </c>
      <c r="J184" s="159"/>
      <c r="K184" s="159" t="n">
        <v>33.0362610458067</v>
      </c>
      <c r="L184" s="159"/>
      <c r="M184" s="160" t="n">
        <f aca="false">G184-F184</f>
        <v>1.59</v>
      </c>
      <c r="N184" s="179"/>
      <c r="O184" s="77" t="n">
        <v>57.8083221606182</v>
      </c>
      <c r="P184" s="77" t="n">
        <v>90.6332547651347</v>
      </c>
      <c r="Q184" s="74"/>
      <c r="R184" s="162"/>
      <c r="S184" s="163"/>
      <c r="T184" s="164"/>
      <c r="U184" s="165"/>
      <c r="V184" s="155"/>
      <c r="W184" s="163"/>
      <c r="X184" s="163"/>
      <c r="Y184" s="172"/>
      <c r="Z184" s="163"/>
      <c r="AA184" s="172"/>
      <c r="AB184" s="162"/>
      <c r="AC184" s="163"/>
      <c r="AD184" s="164"/>
      <c r="AE184" s="163"/>
      <c r="AF184" s="155"/>
      <c r="AG184" s="163"/>
      <c r="AH184" s="155"/>
      <c r="AI184" s="155"/>
      <c r="AJ184" s="155"/>
      <c r="AK184" s="173"/>
      <c r="AL184" s="162"/>
      <c r="AM184" s="37"/>
      <c r="AN184" s="57" t="n">
        <f aca="false">IF(ABS(E184-E183)&lt;0.05,0,E184-E183)</f>
        <v>0.0900000000000034</v>
      </c>
      <c r="AO184" s="164" t="n">
        <f aca="false">IF((E184/E183-1)&lt;0.05,0,(E184/E183-1))</f>
        <v>0</v>
      </c>
      <c r="AP184" s="163" t="n">
        <f aca="false">IF(ABS(E184-E172)&lt;0.05,0,E184-E172)</f>
        <v>1.45</v>
      </c>
      <c r="AQ184" s="164" t="n">
        <f aca="false">IF(ABS(E184/E172-1)&lt;0.05,0,(E184/E172-1))</f>
        <v>0</v>
      </c>
      <c r="AR184" s="57" t="n">
        <f aca="false">(E184/1.2)-57.95</f>
        <v>9.88333333333334</v>
      </c>
      <c r="AW184" s="162"/>
      <c r="BG184" s="162"/>
      <c r="BQ184" s="162"/>
    </row>
    <row r="185" customFormat="false" ht="12.75" hidden="false" customHeight="true" outlineLevel="0" collapsed="false">
      <c r="A185" s="156" t="n">
        <v>37956</v>
      </c>
      <c r="B185" s="73" t="n">
        <v>2003</v>
      </c>
      <c r="C185" s="157" t="s">
        <v>70</v>
      </c>
      <c r="D185" s="176" t="n">
        <v>80.25</v>
      </c>
      <c r="E185" s="159" t="n">
        <v>81.32</v>
      </c>
      <c r="F185" s="159" t="n">
        <v>75.88</v>
      </c>
      <c r="G185" s="159" t="n">
        <v>77.56</v>
      </c>
      <c r="H185" s="159" t="n">
        <v>18.2</v>
      </c>
      <c r="I185" s="159" t="n">
        <v>18.47</v>
      </c>
      <c r="J185" s="159"/>
      <c r="K185" s="159" t="n">
        <v>33.104106477285</v>
      </c>
      <c r="L185" s="159"/>
      <c r="M185" s="160" t="n">
        <f aca="false">G185-F185</f>
        <v>1.68000000000001</v>
      </c>
      <c r="N185" s="179"/>
      <c r="O185" s="77" t="n">
        <v>57.9401851283645</v>
      </c>
      <c r="P185" s="77" t="n">
        <v>90.9092912555964</v>
      </c>
      <c r="Q185" s="74"/>
      <c r="R185" s="162"/>
      <c r="S185" s="163"/>
      <c r="T185" s="164"/>
      <c r="U185" s="165"/>
      <c r="V185" s="155"/>
      <c r="W185" s="163"/>
      <c r="X185" s="163"/>
      <c r="Y185" s="172"/>
      <c r="Z185" s="163"/>
      <c r="AA185" s="172"/>
      <c r="AB185" s="162"/>
      <c r="AC185" s="163"/>
      <c r="AD185" s="164"/>
      <c r="AE185" s="163"/>
      <c r="AF185" s="155"/>
      <c r="AG185" s="163"/>
      <c r="AH185" s="155"/>
      <c r="AI185" s="155"/>
      <c r="AJ185" s="155"/>
      <c r="AK185" s="173"/>
      <c r="AL185" s="162"/>
      <c r="AM185" s="37"/>
      <c r="AN185" s="57" t="n">
        <f aca="false">IF(ABS(E185-E184)&lt;0.05,0,E185-E184)</f>
        <v>-0.0800000000000125</v>
      </c>
      <c r="AO185" s="164" t="n">
        <f aca="false">IF((E185/E184-1)&lt;0.05,0,(E185/E184-1))</f>
        <v>0</v>
      </c>
      <c r="AP185" s="163" t="n">
        <f aca="false">IF(ABS(E185-E173)&lt;0.05,0,E185-E173)</f>
        <v>1.47</v>
      </c>
      <c r="AQ185" s="164" t="n">
        <f aca="false">IF(ABS(E185/E173-1)&lt;0.05,0,(E185/E173-1))</f>
        <v>0</v>
      </c>
      <c r="AR185" s="57" t="n">
        <f aca="false">(E185/1.2)-57.95</f>
        <v>9.81666666666666</v>
      </c>
      <c r="AW185" s="162"/>
      <c r="BG185" s="162"/>
      <c r="BQ185" s="162"/>
    </row>
    <row r="186" customFormat="false" ht="12.75" hidden="false" customHeight="true" outlineLevel="0" collapsed="false">
      <c r="A186" s="156" t="n">
        <v>37987</v>
      </c>
      <c r="B186" s="73" t="n">
        <v>2004</v>
      </c>
      <c r="C186" s="157" t="s">
        <v>59</v>
      </c>
      <c r="D186" s="74" t="n">
        <v>80.04</v>
      </c>
      <c r="E186" s="159" t="n">
        <v>81.49</v>
      </c>
      <c r="F186" s="159" t="n">
        <v>76.2</v>
      </c>
      <c r="G186" s="159" t="n">
        <v>77.92</v>
      </c>
      <c r="H186" s="159" t="n">
        <v>18.33</v>
      </c>
      <c r="I186" s="159" t="n">
        <v>18.95</v>
      </c>
      <c r="J186" s="159"/>
      <c r="K186" s="159" t="n">
        <v>32.2554569344794</v>
      </c>
      <c r="L186" s="159"/>
      <c r="M186" s="160" t="n">
        <f aca="false">G186-F186</f>
        <v>1.72</v>
      </c>
      <c r="N186" s="179"/>
      <c r="O186" s="77" t="n">
        <v>56.3912944930453</v>
      </c>
      <c r="P186" s="77" t="n">
        <v>88.3</v>
      </c>
      <c r="Q186" s="74"/>
      <c r="R186" s="162"/>
      <c r="S186" s="163"/>
      <c r="T186" s="164"/>
      <c r="U186" s="165"/>
      <c r="V186" s="155"/>
      <c r="W186" s="163"/>
      <c r="X186" s="163"/>
      <c r="Y186" s="172"/>
      <c r="Z186" s="163"/>
      <c r="AA186" s="172"/>
      <c r="AB186" s="162"/>
      <c r="AC186" s="163"/>
      <c r="AD186" s="164"/>
      <c r="AE186" s="163"/>
      <c r="AF186" s="155"/>
      <c r="AG186" s="163"/>
      <c r="AH186" s="155"/>
      <c r="AI186" s="155"/>
      <c r="AJ186" s="155"/>
      <c r="AK186" s="173"/>
      <c r="AL186" s="162"/>
      <c r="AM186" s="37"/>
      <c r="AN186" s="57" t="n">
        <f aca="false">IF(ABS(E186-E185)&lt;0.05,0,E186-E185)</f>
        <v>0.170000000000002</v>
      </c>
      <c r="AO186" s="164" t="n">
        <f aca="false">IF((E186/E185-1)&lt;0.05,0,(E186/E185-1))</f>
        <v>0</v>
      </c>
      <c r="AP186" s="163" t="n">
        <f aca="false">IF(ABS(E186-E174)&lt;0.05,0,E186-E174)</f>
        <v>1.02</v>
      </c>
      <c r="AQ186" s="164" t="n">
        <f aca="false">IF(ABS(E186/E174-1)&lt;0.05,0,(E186/E174-1))</f>
        <v>0</v>
      </c>
      <c r="AR186" s="57" t="n">
        <f aca="false">(E186/1.2)-57.95</f>
        <v>9.95833333333333</v>
      </c>
      <c r="AW186" s="162"/>
      <c r="BG186" s="162"/>
      <c r="BQ186" s="162"/>
    </row>
    <row r="187" customFormat="false" ht="12.75" hidden="false" customHeight="true" outlineLevel="0" collapsed="false">
      <c r="A187" s="156" t="n">
        <v>38018</v>
      </c>
      <c r="B187" s="73" t="n">
        <v>2004</v>
      </c>
      <c r="C187" s="157" t="s">
        <v>60</v>
      </c>
      <c r="D187" s="74" t="n">
        <v>79.89</v>
      </c>
      <c r="E187" s="159" t="n">
        <v>81.42</v>
      </c>
      <c r="F187" s="159" t="n">
        <v>76.36</v>
      </c>
      <c r="G187" s="159" t="n">
        <v>77.93</v>
      </c>
      <c r="H187" s="159" t="n">
        <v>17.73</v>
      </c>
      <c r="I187" s="159" t="n">
        <v>17.58</v>
      </c>
      <c r="J187" s="159"/>
      <c r="K187" s="159" t="n">
        <v>31.8210744288505</v>
      </c>
      <c r="L187" s="159"/>
      <c r="M187" s="160" t="n">
        <f aca="false">G187-F187</f>
        <v>1.57000000000001</v>
      </c>
      <c r="N187" s="179"/>
      <c r="O187" s="77" t="n">
        <v>55.6997196663744</v>
      </c>
      <c r="P187" s="77" t="n">
        <v>87.4</v>
      </c>
      <c r="Q187" s="74"/>
      <c r="R187" s="162"/>
      <c r="S187" s="163"/>
      <c r="T187" s="164"/>
      <c r="U187" s="165"/>
      <c r="V187" s="155"/>
      <c r="W187" s="163"/>
      <c r="X187" s="163"/>
      <c r="Y187" s="172"/>
      <c r="Z187" s="163"/>
      <c r="AA187" s="172"/>
      <c r="AB187" s="162"/>
      <c r="AC187" s="163"/>
      <c r="AD187" s="164"/>
      <c r="AE187" s="163"/>
      <c r="AF187" s="155"/>
      <c r="AG187" s="163"/>
      <c r="AH187" s="155"/>
      <c r="AI187" s="155"/>
      <c r="AJ187" s="155"/>
      <c r="AK187" s="173"/>
      <c r="AL187" s="162"/>
      <c r="AM187" s="37"/>
      <c r="AN187" s="57" t="n">
        <f aca="false">IF(ABS(E187-E186)&lt;0.05,0,E187-E186)</f>
        <v>-0.0699999999999932</v>
      </c>
      <c r="AO187" s="164" t="n">
        <f aca="false">IF((E187/E186-1)&lt;0.05,0,(E187/E186-1))</f>
        <v>0</v>
      </c>
      <c r="AP187" s="163" t="n">
        <f aca="false">IF(ABS(E187-E175)&lt;0.05,0,E187-E175)</f>
        <v>0.109999999999999</v>
      </c>
      <c r="AQ187" s="164" t="n">
        <f aca="false">IF(ABS(E187/E175-1)&lt;0.05,0,(E187/E175-1))</f>
        <v>0</v>
      </c>
      <c r="AR187" s="57" t="n">
        <f aca="false">(E187/1.2)-57.95</f>
        <v>9.90000000000001</v>
      </c>
      <c r="AW187" s="162"/>
      <c r="BG187" s="162"/>
      <c r="BQ187" s="162"/>
    </row>
    <row r="188" customFormat="false" ht="12.75" hidden="false" customHeight="true" outlineLevel="0" collapsed="false">
      <c r="A188" s="156" t="n">
        <v>38047</v>
      </c>
      <c r="B188" s="73" t="n">
        <v>2004</v>
      </c>
      <c r="C188" s="157" t="s">
        <v>61</v>
      </c>
      <c r="D188" s="74" t="n">
        <v>80.96</v>
      </c>
      <c r="E188" s="159" t="n">
        <v>82.36</v>
      </c>
      <c r="F188" s="159" t="n">
        <v>77.15</v>
      </c>
      <c r="G188" s="159" t="n">
        <v>78.6</v>
      </c>
      <c r="H188" s="159" t="n">
        <v>17.97</v>
      </c>
      <c r="I188" s="159" t="n">
        <v>18.71</v>
      </c>
      <c r="J188" s="159"/>
      <c r="K188" s="159" t="n">
        <v>35.2841639492633</v>
      </c>
      <c r="L188" s="159"/>
      <c r="M188" s="160" t="n">
        <f aca="false">G188-F188</f>
        <v>1.44999999999999</v>
      </c>
      <c r="N188" s="179"/>
      <c r="O188" s="77" t="n">
        <v>61.7408411183088</v>
      </c>
      <c r="P188" s="77" t="n">
        <v>96.9</v>
      </c>
      <c r="Q188" s="74"/>
      <c r="R188" s="162"/>
      <c r="S188" s="163"/>
      <c r="T188" s="164"/>
      <c r="U188" s="165"/>
      <c r="V188" s="155"/>
      <c r="W188" s="163"/>
      <c r="X188" s="163"/>
      <c r="Y188" s="172"/>
      <c r="Z188" s="163"/>
      <c r="AA188" s="172"/>
      <c r="AB188" s="162"/>
      <c r="AC188" s="163"/>
      <c r="AD188" s="164"/>
      <c r="AE188" s="163"/>
      <c r="AF188" s="155"/>
      <c r="AG188" s="163"/>
      <c r="AH188" s="155"/>
      <c r="AI188" s="155"/>
      <c r="AJ188" s="155"/>
      <c r="AK188" s="173"/>
      <c r="AL188" s="162"/>
      <c r="AM188" s="37"/>
      <c r="AN188" s="57" t="n">
        <f aca="false">IF(ABS(E188-E187)&lt;0.05,0,E188-E187)</f>
        <v>0.939999999999998</v>
      </c>
      <c r="AO188" s="164" t="n">
        <f aca="false">IF((E188/E187-1)&lt;0.05,0,(E188/E187-1))</f>
        <v>0</v>
      </c>
      <c r="AP188" s="163" t="n">
        <f aca="false">IF(ABS(E188-E176)&lt;0.05,0,E188-E176)</f>
        <v>-0.560000000000002</v>
      </c>
      <c r="AQ188" s="164" t="n">
        <f aca="false">IF(ABS(E188/E176-1)&lt;0.05,0,(E188/E176-1))</f>
        <v>0</v>
      </c>
      <c r="AR188" s="57" t="n">
        <f aca="false">(E188/1.2)-57.95</f>
        <v>10.6833333333333</v>
      </c>
      <c r="AW188" s="162"/>
      <c r="BG188" s="162"/>
      <c r="BQ188" s="162"/>
    </row>
    <row r="189" customFormat="false" ht="12.75" hidden="false" customHeight="true" outlineLevel="0" collapsed="false">
      <c r="A189" s="156" t="n">
        <v>38078</v>
      </c>
      <c r="B189" s="73" t="n">
        <v>2004</v>
      </c>
      <c r="C189" s="157" t="s">
        <v>62</v>
      </c>
      <c r="D189" s="74" t="n">
        <v>81.25</v>
      </c>
      <c r="E189" s="159" t="n">
        <v>82.53</v>
      </c>
      <c r="F189" s="159" t="n">
        <v>77.81</v>
      </c>
      <c r="G189" s="159" t="n">
        <v>79.21</v>
      </c>
      <c r="H189" s="159" t="n">
        <v>18.31</v>
      </c>
      <c r="I189" s="159" t="n">
        <v>19.5</v>
      </c>
      <c r="J189" s="159"/>
      <c r="K189" s="159" t="n">
        <v>35.2044511898298</v>
      </c>
      <c r="L189" s="159"/>
      <c r="M189" s="160" t="n">
        <f aca="false">G189-F189</f>
        <v>1.39999999999999</v>
      </c>
      <c r="N189" s="179"/>
      <c r="O189" s="77" t="n">
        <v>61.600769333749</v>
      </c>
      <c r="P189" s="77" t="n">
        <v>96.7</v>
      </c>
      <c r="Q189" s="74"/>
      <c r="R189" s="162"/>
      <c r="S189" s="163"/>
      <c r="T189" s="164"/>
      <c r="U189" s="165"/>
      <c r="V189" s="155"/>
      <c r="W189" s="163"/>
      <c r="X189" s="163"/>
      <c r="Y189" s="172"/>
      <c r="Z189" s="163"/>
      <c r="AA189" s="172"/>
      <c r="AB189" s="162"/>
      <c r="AC189" s="163"/>
      <c r="AD189" s="164"/>
      <c r="AE189" s="163"/>
      <c r="AF189" s="155"/>
      <c r="AG189" s="163"/>
      <c r="AH189" s="155"/>
      <c r="AI189" s="155"/>
      <c r="AJ189" s="155"/>
      <c r="AK189" s="173"/>
      <c r="AL189" s="162"/>
      <c r="AM189" s="37"/>
      <c r="AN189" s="57" t="n">
        <f aca="false">IF(ABS(E189-E188)&lt;0.05,0,E189-E188)</f>
        <v>0.170000000000002</v>
      </c>
      <c r="AO189" s="164" t="n">
        <f aca="false">IF((E189/E188-1)&lt;0.05,0,(E189/E188-1))</f>
        <v>0</v>
      </c>
      <c r="AP189" s="163" t="n">
        <f aca="false">IF(ABS(E189-E177)&lt;0.05,0,E189-E177)</f>
        <v>-0.569999999999993</v>
      </c>
      <c r="AQ189" s="164" t="n">
        <f aca="false">IF(ABS(E189/E177-1)&lt;0.05,0,(E189/E177-1))</f>
        <v>0</v>
      </c>
      <c r="AR189" s="57" t="n">
        <f aca="false">(E189/1.2)-57.95</f>
        <v>10.825</v>
      </c>
      <c r="AW189" s="162"/>
      <c r="BG189" s="162"/>
      <c r="BQ189" s="162"/>
    </row>
    <row r="190" customFormat="false" ht="12.75" hidden="false" customHeight="true" outlineLevel="0" collapsed="false">
      <c r="A190" s="156" t="n">
        <v>38108</v>
      </c>
      <c r="B190" s="73" t="n">
        <v>2004</v>
      </c>
      <c r="C190" s="157" t="s">
        <v>63</v>
      </c>
      <c r="D190" s="74" t="n">
        <v>84.32</v>
      </c>
      <c r="E190" s="159" t="n">
        <v>86.24</v>
      </c>
      <c r="F190" s="159" t="n">
        <v>81.02</v>
      </c>
      <c r="G190" s="159" t="n">
        <v>82.32</v>
      </c>
      <c r="H190" s="159" t="n">
        <v>21.12</v>
      </c>
      <c r="I190" s="159" t="n">
        <v>20.89</v>
      </c>
      <c r="J190" s="159"/>
      <c r="K190" s="159" t="n">
        <v>40.2119285109908</v>
      </c>
      <c r="L190" s="159"/>
      <c r="M190" s="160" t="n">
        <f aca="false">G190-F190</f>
        <v>1.3</v>
      </c>
      <c r="N190" s="179"/>
      <c r="O190" s="77" t="n">
        <v>70.4424903103265</v>
      </c>
      <c r="P190" s="77" t="n">
        <v>110.5</v>
      </c>
      <c r="Q190" s="74"/>
      <c r="R190" s="162"/>
      <c r="S190" s="163"/>
      <c r="T190" s="164"/>
      <c r="U190" s="165"/>
      <c r="V190" s="155"/>
      <c r="W190" s="163"/>
      <c r="X190" s="163"/>
      <c r="Y190" s="172"/>
      <c r="Z190" s="163"/>
      <c r="AA190" s="172"/>
      <c r="AB190" s="162"/>
      <c r="AC190" s="163"/>
      <c r="AD190" s="164"/>
      <c r="AE190" s="163"/>
      <c r="AF190" s="155"/>
      <c r="AG190" s="163"/>
      <c r="AH190" s="155"/>
      <c r="AI190" s="155"/>
      <c r="AJ190" s="155"/>
      <c r="AK190" s="173"/>
      <c r="AL190" s="162"/>
      <c r="AM190" s="37"/>
      <c r="AN190" s="57" t="n">
        <f aca="false">IF(ABS(E190-E189)&lt;0.05,0,E190-E189)</f>
        <v>3.70999999999999</v>
      </c>
      <c r="AO190" s="164" t="n">
        <f aca="false">IF((E190/E189-1)&lt;0.05,0,(E190/E189-1))</f>
        <v>0</v>
      </c>
      <c r="AP190" s="163" t="n">
        <f aca="false">IF(ABS(E190-E178)&lt;0.05,0,E190-E178)</f>
        <v>5.03</v>
      </c>
      <c r="AQ190" s="164" t="n">
        <f aca="false">IF(ABS(E190/E178-1)&lt;0.05,0,(E190/E178-1))</f>
        <v>0.061938184952592</v>
      </c>
      <c r="AR190" s="57" t="n">
        <f aca="false">(E190/1.2)-57.95</f>
        <v>13.9166666666667</v>
      </c>
      <c r="AW190" s="162"/>
      <c r="BG190" s="162"/>
      <c r="BQ190" s="162"/>
    </row>
    <row r="191" customFormat="false" ht="12.75" hidden="false" customHeight="true" outlineLevel="0" collapsed="false">
      <c r="A191" s="156" t="n">
        <v>38139</v>
      </c>
      <c r="B191" s="73" t="n">
        <v>2004</v>
      </c>
      <c r="C191" s="157" t="s">
        <v>64</v>
      </c>
      <c r="D191" s="74" t="n">
        <v>85.01</v>
      </c>
      <c r="E191" s="159" t="n">
        <v>87.06</v>
      </c>
      <c r="F191" s="159" t="n">
        <v>81.7</v>
      </c>
      <c r="G191" s="159" t="n">
        <v>82.86</v>
      </c>
      <c r="H191" s="159" t="n">
        <v>19.77</v>
      </c>
      <c r="I191" s="159" t="n">
        <v>20.56</v>
      </c>
      <c r="J191" s="159"/>
      <c r="K191" s="159" t="n">
        <v>37.0774160833523</v>
      </c>
      <c r="L191" s="159"/>
      <c r="M191" s="160" t="n">
        <f aca="false">G191-F191</f>
        <v>1.16</v>
      </c>
      <c r="N191" s="179"/>
      <c r="O191" s="77" t="n">
        <v>64.9056672803482</v>
      </c>
      <c r="P191" s="77" t="n">
        <v>101.7</v>
      </c>
      <c r="Q191" s="74"/>
      <c r="R191" s="162"/>
      <c r="S191" s="163"/>
      <c r="T191" s="164"/>
      <c r="U191" s="165"/>
      <c r="V191" s="155"/>
      <c r="W191" s="163"/>
      <c r="X191" s="163"/>
      <c r="Y191" s="172"/>
      <c r="Z191" s="163"/>
      <c r="AA191" s="172"/>
      <c r="AB191" s="162"/>
      <c r="AC191" s="163"/>
      <c r="AD191" s="164"/>
      <c r="AE191" s="163"/>
      <c r="AF191" s="155"/>
      <c r="AG191" s="163"/>
      <c r="AH191" s="155"/>
      <c r="AI191" s="155"/>
      <c r="AJ191" s="155"/>
      <c r="AK191" s="173"/>
      <c r="AL191" s="162"/>
      <c r="AM191" s="37"/>
      <c r="AN191" s="57" t="n">
        <f aca="false">IF(ABS(E191-E190)&lt;0.05,0,E191-E190)</f>
        <v>0.820000000000007</v>
      </c>
      <c r="AO191" s="164" t="n">
        <f aca="false">IF((E191/E190-1)&lt;0.05,0,(E191/E190-1))</f>
        <v>0</v>
      </c>
      <c r="AP191" s="163" t="n">
        <f aca="false">IF(ABS(E191-E179)&lt;0.05,0,E191-E179)</f>
        <v>6.67</v>
      </c>
      <c r="AQ191" s="164" t="n">
        <f aca="false">IF(ABS(E191/E179-1)&lt;0.05,0,(E191/E179-1))</f>
        <v>0.082970518721234</v>
      </c>
      <c r="AR191" s="57" t="n">
        <f aca="false">(E191/1.2)-57.95</f>
        <v>14.6</v>
      </c>
      <c r="AW191" s="162"/>
      <c r="BG191" s="162"/>
      <c r="BQ191" s="162"/>
    </row>
    <row r="192" customFormat="false" ht="12.75" hidden="false" customHeight="true" outlineLevel="0" collapsed="false">
      <c r="A192" s="156" t="n">
        <v>38169</v>
      </c>
      <c r="B192" s="73" t="n">
        <v>2004</v>
      </c>
      <c r="C192" s="157" t="s">
        <v>65</v>
      </c>
      <c r="D192" s="74" t="n">
        <v>84.77</v>
      </c>
      <c r="E192" s="159" t="n">
        <v>86.23</v>
      </c>
      <c r="F192" s="159" t="n">
        <v>80.35</v>
      </c>
      <c r="G192" s="159" t="n">
        <v>81.17</v>
      </c>
      <c r="H192" s="159" t="n">
        <v>20.69</v>
      </c>
      <c r="I192" s="159" t="n">
        <v>21.42</v>
      </c>
      <c r="J192" s="159"/>
      <c r="K192" s="159" t="n">
        <v>38.9600013491062</v>
      </c>
      <c r="L192" s="159"/>
      <c r="M192" s="160" t="n">
        <f aca="false">G192-F192</f>
        <v>0.820000000000007</v>
      </c>
      <c r="N192" s="179"/>
      <c r="O192" s="77" t="n">
        <v>68.2528135976795</v>
      </c>
      <c r="P192" s="77" t="n">
        <v>106.9</v>
      </c>
      <c r="Q192" s="74"/>
      <c r="R192" s="162"/>
      <c r="S192" s="163"/>
      <c r="T192" s="164"/>
      <c r="U192" s="165"/>
      <c r="V192" s="155"/>
      <c r="W192" s="163"/>
      <c r="X192" s="163"/>
      <c r="Y192" s="172"/>
      <c r="Z192" s="163"/>
      <c r="AA192" s="172"/>
      <c r="AB192" s="162"/>
      <c r="AC192" s="163"/>
      <c r="AD192" s="164"/>
      <c r="AE192" s="163"/>
      <c r="AF192" s="155"/>
      <c r="AG192" s="163"/>
      <c r="AH192" s="155"/>
      <c r="AI192" s="155"/>
      <c r="AJ192" s="155"/>
      <c r="AK192" s="173"/>
      <c r="AL192" s="162"/>
      <c r="AM192" s="37"/>
      <c r="AN192" s="57" t="n">
        <f aca="false">IF(ABS(E192-E191)&lt;0.05,0,E192-E191)</f>
        <v>-0.829999999999998</v>
      </c>
      <c r="AO192" s="164" t="n">
        <f aca="false">IF((E192/E191-1)&lt;0.05,0,(E192/E191-1))</f>
        <v>0</v>
      </c>
      <c r="AP192" s="163" t="n">
        <f aca="false">IF(ABS(E192-E180)&lt;0.05,0,E192-E180)</f>
        <v>5.72</v>
      </c>
      <c r="AQ192" s="164" t="n">
        <f aca="false">IF(ABS(E192/E180-1)&lt;0.05,0,(E192/E180-1))</f>
        <v>0.0710470748975283</v>
      </c>
      <c r="AR192" s="57" t="n">
        <f aca="false">(E192/1.2)-57.95</f>
        <v>13.9083333333333</v>
      </c>
      <c r="AW192" s="162"/>
      <c r="BG192" s="162"/>
      <c r="BQ192" s="162"/>
    </row>
    <row r="193" customFormat="false" ht="12.75" hidden="false" customHeight="true" outlineLevel="0" collapsed="false">
      <c r="A193" s="156" t="n">
        <v>38200</v>
      </c>
      <c r="B193" s="73" t="n">
        <v>2004</v>
      </c>
      <c r="C193" s="157" t="s">
        <v>66</v>
      </c>
      <c r="D193" s="74" t="n">
        <v>85.29</v>
      </c>
      <c r="E193" s="159" t="n">
        <v>86.64</v>
      </c>
      <c r="F193" s="159" t="n">
        <v>81.14</v>
      </c>
      <c r="G193" s="159" t="n">
        <v>82.28</v>
      </c>
      <c r="H193" s="159" t="n">
        <v>22.84</v>
      </c>
      <c r="I193" s="159" t="n">
        <v>23.58</v>
      </c>
      <c r="J193" s="159"/>
      <c r="K193" s="159" t="n">
        <v>45.5042345588315</v>
      </c>
      <c r="L193" s="159"/>
      <c r="M193" s="160" t="n">
        <f aca="false">G193-F193</f>
        <v>1.14</v>
      </c>
      <c r="N193" s="179"/>
      <c r="O193" s="77" t="n">
        <v>79.614643741235</v>
      </c>
      <c r="P193" s="77" t="n">
        <v>124.9</v>
      </c>
      <c r="Q193" s="74"/>
      <c r="R193" s="162"/>
      <c r="S193" s="163"/>
      <c r="T193" s="164"/>
      <c r="U193" s="165"/>
      <c r="V193" s="155"/>
      <c r="W193" s="163"/>
      <c r="X193" s="163"/>
      <c r="Y193" s="172"/>
      <c r="Z193" s="163"/>
      <c r="AA193" s="172"/>
      <c r="AB193" s="162"/>
      <c r="AC193" s="163"/>
      <c r="AD193" s="164"/>
      <c r="AE193" s="163"/>
      <c r="AF193" s="155"/>
      <c r="AG193" s="163"/>
      <c r="AH193" s="155"/>
      <c r="AI193" s="155"/>
      <c r="AJ193" s="155"/>
      <c r="AK193" s="173"/>
      <c r="AL193" s="162"/>
      <c r="AM193" s="37"/>
      <c r="AN193" s="57" t="n">
        <f aca="false">IF(ABS(E193-E192)&lt;0.05,0,E193-E192)</f>
        <v>0.409999999999997</v>
      </c>
      <c r="AO193" s="164" t="n">
        <f aca="false">IF((E193/E192-1)&lt;0.05,0,(E193/E192-1))</f>
        <v>0</v>
      </c>
      <c r="AP193" s="163" t="n">
        <f aca="false">IF(ABS(E193-E181)&lt;0.05,0,E193-E181)</f>
        <v>5.38</v>
      </c>
      <c r="AQ193" s="164" t="n">
        <f aca="false">IF(ABS(E193/E181-1)&lt;0.05,0,(E193/E181-1))</f>
        <v>0.0662072360324884</v>
      </c>
      <c r="AR193" s="57" t="n">
        <f aca="false">(E193/1.2)-57.95</f>
        <v>14.25</v>
      </c>
      <c r="AW193" s="162"/>
      <c r="BG193" s="162"/>
      <c r="BQ193" s="162"/>
    </row>
    <row r="194" customFormat="false" ht="12.75" hidden="false" customHeight="true" outlineLevel="0" collapsed="false">
      <c r="A194" s="156" t="n">
        <v>38231</v>
      </c>
      <c r="B194" s="73" t="n">
        <v>2004</v>
      </c>
      <c r="C194" s="157" t="s">
        <v>67</v>
      </c>
      <c r="D194" s="74" t="n">
        <v>86.15</v>
      </c>
      <c r="E194" s="159" t="n">
        <v>86.74</v>
      </c>
      <c r="F194" s="159" t="n">
        <v>81.25</v>
      </c>
      <c r="G194" s="159" t="n">
        <v>82.94</v>
      </c>
      <c r="H194" s="159" t="n">
        <v>23.58</v>
      </c>
      <c r="I194" s="159" t="n">
        <v>23.96</v>
      </c>
      <c r="J194" s="159"/>
      <c r="K194" s="159" t="n">
        <v>46.3132300704011</v>
      </c>
      <c r="L194" s="159"/>
      <c r="M194" s="160" t="n">
        <f aca="false">G194-F194</f>
        <v>1.69</v>
      </c>
      <c r="N194" s="179"/>
      <c r="O194" s="77" t="n">
        <v>81.0785293971319</v>
      </c>
      <c r="P194" s="77" t="n">
        <v>127.2</v>
      </c>
      <c r="Q194" s="74"/>
      <c r="R194" s="162"/>
      <c r="S194" s="163"/>
      <c r="T194" s="164"/>
      <c r="U194" s="165"/>
      <c r="V194" s="155"/>
      <c r="W194" s="163"/>
      <c r="X194" s="163"/>
      <c r="Y194" s="172"/>
      <c r="Z194" s="163"/>
      <c r="AA194" s="172"/>
      <c r="AB194" s="162"/>
      <c r="AC194" s="163"/>
      <c r="AD194" s="164"/>
      <c r="AE194" s="163"/>
      <c r="AF194" s="155"/>
      <c r="AG194" s="163"/>
      <c r="AH194" s="155"/>
      <c r="AI194" s="155"/>
      <c r="AJ194" s="155"/>
      <c r="AK194" s="173"/>
      <c r="AL194" s="162"/>
      <c r="AM194" s="37"/>
      <c r="AN194" s="57" t="n">
        <f aca="false">IF(ABS(E194-E193)&lt;0.05,0,E194-E193)</f>
        <v>0.0999999999999943</v>
      </c>
      <c r="AO194" s="164" t="n">
        <f aca="false">IF((E194/E193-1)&lt;0.05,0,(E194/E193-1))</f>
        <v>0</v>
      </c>
      <c r="AP194" s="163" t="n">
        <f aca="false">IF(ABS(E194-E182)&lt;0.05,0,E194-E182)</f>
        <v>5.56999999999999</v>
      </c>
      <c r="AQ194" s="164" t="n">
        <f aca="false">IF(ABS(E194/E182-1)&lt;0.05,0,(E194/E182-1))</f>
        <v>0.0686214118516693</v>
      </c>
      <c r="AR194" s="57" t="n">
        <f aca="false">(E194/1.2)-57.95</f>
        <v>14.3333333333333</v>
      </c>
      <c r="AW194" s="162"/>
      <c r="BG194" s="162"/>
      <c r="BQ194" s="162"/>
    </row>
    <row r="195" customFormat="false" ht="12.75" hidden="false" customHeight="true" outlineLevel="0" collapsed="false">
      <c r="A195" s="156" t="n">
        <v>38261</v>
      </c>
      <c r="B195" s="73" t="n">
        <v>2004</v>
      </c>
      <c r="C195" s="157" t="s">
        <v>68</v>
      </c>
      <c r="D195" s="74" t="n">
        <v>87.7</v>
      </c>
      <c r="E195" s="159" t="n">
        <v>89.12</v>
      </c>
      <c r="F195" s="159" t="n">
        <v>83.13</v>
      </c>
      <c r="G195" s="159" t="n">
        <v>85.37</v>
      </c>
      <c r="H195" s="159" t="n">
        <v>27.1</v>
      </c>
      <c r="I195" s="159" t="n">
        <v>28.27</v>
      </c>
      <c r="J195" s="159"/>
      <c r="K195" s="159" t="n">
        <v>51.4981852555251</v>
      </c>
      <c r="L195" s="159"/>
      <c r="M195" s="160" t="n">
        <f aca="false">G195-F195</f>
        <v>2.24000000000001</v>
      </c>
      <c r="N195" s="179"/>
      <c r="O195" s="77" t="n">
        <v>90.2093571827357</v>
      </c>
      <c r="P195" s="77" t="n">
        <v>141.5</v>
      </c>
      <c r="Q195" s="74"/>
      <c r="R195" s="162"/>
      <c r="S195" s="163"/>
      <c r="T195" s="164"/>
      <c r="U195" s="165"/>
      <c r="V195" s="155"/>
      <c r="W195" s="163"/>
      <c r="X195" s="163"/>
      <c r="Y195" s="172"/>
      <c r="Z195" s="163"/>
      <c r="AA195" s="172"/>
      <c r="AB195" s="162"/>
      <c r="AC195" s="163"/>
      <c r="AD195" s="164"/>
      <c r="AE195" s="163"/>
      <c r="AF195" s="155"/>
      <c r="AG195" s="163"/>
      <c r="AH195" s="155"/>
      <c r="AI195" s="155"/>
      <c r="AJ195" s="155"/>
      <c r="AK195" s="173"/>
      <c r="AL195" s="162"/>
      <c r="AM195" s="37"/>
      <c r="AN195" s="57" t="n">
        <f aca="false">IF(ABS(E195-E194)&lt;0.05,0,E195-E194)</f>
        <v>2.38000000000001</v>
      </c>
      <c r="AO195" s="164" t="n">
        <f aca="false">IF((E195/E194-1)&lt;0.05,0,(E195/E194-1))</f>
        <v>0</v>
      </c>
      <c r="AP195" s="163" t="n">
        <f aca="false">IF(ABS(E195-E183)&lt;0.05,0,E195-E183)</f>
        <v>7.81</v>
      </c>
      <c r="AQ195" s="164" t="n">
        <f aca="false">IF(ABS(E195/E183-1)&lt;0.05,0,(E195/E183-1))</f>
        <v>0.0960521461074899</v>
      </c>
      <c r="AR195" s="57" t="n">
        <f aca="false">(E195/1.2)-57.95</f>
        <v>16.3166666666667</v>
      </c>
      <c r="AW195" s="162"/>
      <c r="BG195" s="162"/>
      <c r="BQ195" s="162"/>
    </row>
    <row r="196" customFormat="false" ht="12.75" hidden="false" customHeight="true" outlineLevel="0" collapsed="false">
      <c r="A196" s="156" t="n">
        <v>38292</v>
      </c>
      <c r="B196" s="73" t="n">
        <v>2004</v>
      </c>
      <c r="C196" s="157" t="s">
        <v>69</v>
      </c>
      <c r="D196" s="74" t="n">
        <v>89.06</v>
      </c>
      <c r="E196" s="159" t="n">
        <v>89.76</v>
      </c>
      <c r="F196" s="159" t="n">
        <v>84.17</v>
      </c>
      <c r="G196" s="159" t="n">
        <v>86.42</v>
      </c>
      <c r="H196" s="159" t="n">
        <v>25.37</v>
      </c>
      <c r="I196" s="159" t="n">
        <v>26.1</v>
      </c>
      <c r="J196" s="159"/>
      <c r="K196" s="159" t="n">
        <v>43.9809723454409</v>
      </c>
      <c r="L196" s="159"/>
      <c r="M196" s="160" t="n">
        <f aca="false">G196-F196</f>
        <v>2.25</v>
      </c>
      <c r="N196" s="179"/>
      <c r="O196" s="77" t="n">
        <v>77.0851406361203</v>
      </c>
      <c r="P196" s="77" t="n">
        <v>120.7</v>
      </c>
      <c r="Q196" s="74"/>
      <c r="R196" s="162"/>
      <c r="S196" s="163"/>
      <c r="T196" s="164"/>
      <c r="U196" s="165"/>
      <c r="V196" s="155"/>
      <c r="W196" s="163"/>
      <c r="X196" s="163"/>
      <c r="Y196" s="172"/>
      <c r="Z196" s="163"/>
      <c r="AA196" s="172"/>
      <c r="AB196" s="162"/>
      <c r="AC196" s="163"/>
      <c r="AD196" s="164"/>
      <c r="AE196" s="163"/>
      <c r="AF196" s="155"/>
      <c r="AG196" s="163"/>
      <c r="AH196" s="155"/>
      <c r="AI196" s="155"/>
      <c r="AJ196" s="155"/>
      <c r="AK196" s="173"/>
      <c r="AL196" s="162"/>
      <c r="AM196" s="37"/>
      <c r="AN196" s="57" t="n">
        <f aca="false">IF(ABS(E196-E195)&lt;0.05,0,E196-E195)</f>
        <v>0.640000000000001</v>
      </c>
      <c r="AO196" s="164" t="n">
        <f aca="false">IF((E196/E195-1)&lt;0.05,0,(E196/E195-1))</f>
        <v>0</v>
      </c>
      <c r="AP196" s="163" t="n">
        <f aca="false">IF(ABS(E196-E184)&lt;0.05,0,E196-E184)</f>
        <v>8.36</v>
      </c>
      <c r="AQ196" s="164" t="n">
        <f aca="false">IF(ABS(E196/E184-1)&lt;0.05,0,(E196/E184-1))</f>
        <v>0.102702702702703</v>
      </c>
      <c r="AR196" s="57" t="n">
        <f aca="false">(E196/1.2)-57.95</f>
        <v>16.85</v>
      </c>
      <c r="AW196" s="162"/>
      <c r="BG196" s="162"/>
      <c r="BQ196" s="162"/>
    </row>
    <row r="197" customFormat="false" ht="12.75" hidden="false" customHeight="true" outlineLevel="0" collapsed="false">
      <c r="A197" s="156" t="n">
        <v>38322</v>
      </c>
      <c r="B197" s="73" t="n">
        <v>2004</v>
      </c>
      <c r="C197" s="157" t="s">
        <v>70</v>
      </c>
      <c r="D197" s="74" t="n">
        <v>88.58</v>
      </c>
      <c r="E197" s="159" t="n">
        <v>89.41</v>
      </c>
      <c r="F197" s="159" t="n">
        <v>82.41</v>
      </c>
      <c r="G197" s="159" t="n">
        <v>85.93</v>
      </c>
      <c r="H197" s="159" t="n">
        <v>22.36</v>
      </c>
      <c r="I197" s="159" t="n">
        <v>24</v>
      </c>
      <c r="J197" s="159"/>
      <c r="K197" s="159" t="n">
        <v>38.7322405897146</v>
      </c>
      <c r="L197" s="159"/>
      <c r="M197" s="160" t="n">
        <f aca="false">G197-F197</f>
        <v>3.52000000000001</v>
      </c>
      <c r="N197" s="179"/>
      <c r="O197" s="77" t="n">
        <v>67.8439650823494</v>
      </c>
      <c r="P197" s="77" t="n">
        <v>106.5</v>
      </c>
      <c r="Q197" s="74"/>
      <c r="R197" s="162"/>
      <c r="S197" s="163"/>
      <c r="T197" s="164"/>
      <c r="U197" s="165"/>
      <c r="V197" s="155"/>
      <c r="W197" s="163"/>
      <c r="X197" s="163"/>
      <c r="Y197" s="172"/>
      <c r="Z197" s="163"/>
      <c r="AA197" s="172"/>
      <c r="AB197" s="162"/>
      <c r="AC197" s="163"/>
      <c r="AD197" s="164"/>
      <c r="AE197" s="163"/>
      <c r="AF197" s="155"/>
      <c r="AG197" s="163"/>
      <c r="AH197" s="155"/>
      <c r="AI197" s="155"/>
      <c r="AJ197" s="155"/>
      <c r="AK197" s="173"/>
      <c r="AL197" s="162"/>
      <c r="AM197" s="37"/>
      <c r="AN197" s="57" t="n">
        <f aca="false">IF(ABS(E197-E196)&lt;0.05,0,E197-E196)</f>
        <v>-0.350000000000009</v>
      </c>
      <c r="AO197" s="164" t="n">
        <f aca="false">IF((E197/E196-1)&lt;0.05,0,(E197/E196-1))</f>
        <v>0</v>
      </c>
      <c r="AP197" s="163" t="n">
        <f aca="false">IF(ABS(E197-E185)&lt;0.05,0,E197-E185)</f>
        <v>8.09</v>
      </c>
      <c r="AQ197" s="164" t="n">
        <f aca="false">IF(ABS(E197/E185-1)&lt;0.05,0,(E197/E185-1))</f>
        <v>0.0994835218888344</v>
      </c>
      <c r="AR197" s="57" t="n">
        <f aca="false">(E197/1.2)-57.95</f>
        <v>16.5583333333333</v>
      </c>
      <c r="AW197" s="162"/>
      <c r="BG197" s="162"/>
      <c r="BQ197" s="162"/>
    </row>
    <row r="198" customFormat="false" ht="12.75" hidden="false" customHeight="true" outlineLevel="0" collapsed="false">
      <c r="A198" s="156" t="n">
        <v>38353</v>
      </c>
      <c r="B198" s="73" t="n">
        <v>2005</v>
      </c>
      <c r="C198" s="157" t="s">
        <v>59</v>
      </c>
      <c r="D198" s="74" t="n">
        <v>87.16</v>
      </c>
      <c r="E198" s="159" t="n">
        <v>87.43</v>
      </c>
      <c r="F198" s="159" t="n">
        <v>78.99</v>
      </c>
      <c r="G198" s="159" t="n">
        <v>84.15</v>
      </c>
      <c r="H198" s="159" t="n">
        <v>22.16</v>
      </c>
      <c r="I198" s="159" t="n">
        <v>23.99</v>
      </c>
      <c r="J198" s="159"/>
      <c r="K198" s="159" t="n">
        <v>44.3308928540577</v>
      </c>
      <c r="L198" s="159"/>
      <c r="M198" s="160" t="n">
        <f aca="false">G198-F198</f>
        <v>5.16000000000001</v>
      </c>
      <c r="N198" s="179"/>
      <c r="O198" s="77" t="n">
        <v>77.6377456295108</v>
      </c>
      <c r="P198" s="77" t="n">
        <v>121.8</v>
      </c>
      <c r="Q198" s="74"/>
      <c r="R198" s="162"/>
      <c r="S198" s="163"/>
      <c r="T198" s="164"/>
      <c r="U198" s="165"/>
      <c r="V198" s="155"/>
      <c r="W198" s="163"/>
      <c r="X198" s="163"/>
      <c r="Y198" s="172"/>
      <c r="Z198" s="163"/>
      <c r="AA198" s="172"/>
      <c r="AB198" s="162"/>
      <c r="AC198" s="163"/>
      <c r="AD198" s="164"/>
      <c r="AE198" s="163"/>
      <c r="AF198" s="155"/>
      <c r="AG198" s="163"/>
      <c r="AH198" s="155"/>
      <c r="AI198" s="155"/>
      <c r="AJ198" s="155"/>
      <c r="AK198" s="173"/>
      <c r="AL198" s="162"/>
      <c r="AM198" s="37"/>
      <c r="AN198" s="57" t="n">
        <f aca="false">IF(ABS(E198-E197)&lt;0.05,0,E198-E197)</f>
        <v>-1.97999999999999</v>
      </c>
      <c r="AO198" s="164" t="n">
        <f aca="false">IF((E198/E197-1)&lt;0.05,0,(E198/E197-1))</f>
        <v>0</v>
      </c>
      <c r="AP198" s="163" t="n">
        <f aca="false">IF(ABS(E198-E186)&lt;0.05,0,E198-E186)</f>
        <v>5.94000000000001</v>
      </c>
      <c r="AQ198" s="164" t="n">
        <f aca="false">IF(ABS(E198/E186-1)&lt;0.05,0,(E198/E186-1))</f>
        <v>0.0728923794330594</v>
      </c>
      <c r="AR198" s="57" t="n">
        <f aca="false">(E198/1.2)-57.95</f>
        <v>14.9083333333333</v>
      </c>
      <c r="AW198" s="162"/>
      <c r="BG198" s="162"/>
      <c r="BQ198" s="162"/>
    </row>
    <row r="199" customFormat="false" ht="12.75" hidden="false" customHeight="true" outlineLevel="0" collapsed="false">
      <c r="A199" s="156" t="n">
        <v>38384</v>
      </c>
      <c r="B199" s="73" t="n">
        <v>2005</v>
      </c>
      <c r="C199" s="157" t="s">
        <v>60</v>
      </c>
      <c r="D199" s="74" t="n">
        <v>87.19</v>
      </c>
      <c r="E199" s="159" t="n">
        <v>87.44</v>
      </c>
      <c r="F199" s="159" t="n">
        <v>79.96</v>
      </c>
      <c r="G199" s="159" t="n">
        <v>84.33</v>
      </c>
      <c r="H199" s="159" t="n">
        <v>22.79</v>
      </c>
      <c r="I199" s="159" t="n">
        <v>24.38</v>
      </c>
      <c r="J199" s="159"/>
      <c r="K199" s="159" t="n">
        <v>45.8845163321936</v>
      </c>
      <c r="L199" s="159"/>
      <c r="M199" s="160" t="n">
        <f aca="false">G199-F199</f>
        <v>4.37</v>
      </c>
      <c r="N199" s="179"/>
      <c r="O199" s="77" t="n">
        <v>80.3662945706488</v>
      </c>
      <c r="P199" s="77" t="n">
        <v>126</v>
      </c>
      <c r="Q199" s="74"/>
      <c r="R199" s="162"/>
      <c r="S199" s="163"/>
      <c r="T199" s="164"/>
      <c r="U199" s="165"/>
      <c r="V199" s="155"/>
      <c r="W199" s="163"/>
      <c r="X199" s="163"/>
      <c r="Y199" s="172"/>
      <c r="Z199" s="163"/>
      <c r="AA199" s="172"/>
      <c r="AB199" s="162"/>
      <c r="AC199" s="163"/>
      <c r="AD199" s="164"/>
      <c r="AE199" s="163"/>
      <c r="AF199" s="155"/>
      <c r="AG199" s="163"/>
      <c r="AH199" s="155"/>
      <c r="AI199" s="155"/>
      <c r="AJ199" s="155"/>
      <c r="AK199" s="173"/>
      <c r="AL199" s="162"/>
      <c r="AM199" s="37"/>
      <c r="AN199" s="57" t="n">
        <f aca="false">IF(ABS(E199-E198)&lt;0.05,0,E199-E198)</f>
        <v>0</v>
      </c>
      <c r="AO199" s="164" t="n">
        <f aca="false">IF((E199/E198-1)&lt;0.05,0,(E199/E198-1))</f>
        <v>0</v>
      </c>
      <c r="AP199" s="163" t="n">
        <f aca="false">IF(ABS(E199-E187)&lt;0.05,0,E199-E187)</f>
        <v>6.02</v>
      </c>
      <c r="AQ199" s="164" t="n">
        <f aca="false">IF(ABS(E199/E187-1)&lt;0.05,0,(E199/E187-1))</f>
        <v>0.0739376074674527</v>
      </c>
      <c r="AR199" s="57" t="n">
        <f aca="false">(E199/1.2)-57.95</f>
        <v>14.9166666666667</v>
      </c>
      <c r="AW199" s="162"/>
      <c r="BG199" s="162"/>
      <c r="BQ199" s="162"/>
    </row>
    <row r="200" customFormat="false" ht="12.75" hidden="false" customHeight="true" outlineLevel="0" collapsed="false">
      <c r="A200" s="156" t="n">
        <v>38412</v>
      </c>
      <c r="B200" s="73" t="n">
        <v>2005</v>
      </c>
      <c r="C200" s="157" t="s">
        <v>61</v>
      </c>
      <c r="D200" s="74" t="n">
        <v>88.31</v>
      </c>
      <c r="E200" s="159" t="n">
        <v>87.98</v>
      </c>
      <c r="F200" s="159" t="n">
        <v>81.43</v>
      </c>
      <c r="G200" s="159" t="n">
        <v>86.04</v>
      </c>
      <c r="H200" s="159" t="n">
        <v>25.52</v>
      </c>
      <c r="I200" s="159" t="n">
        <v>27.13</v>
      </c>
      <c r="J200" s="159"/>
      <c r="K200" s="159" t="n">
        <v>52.1983906026</v>
      </c>
      <c r="L200" s="159"/>
      <c r="M200" s="160" t="n">
        <f aca="false">G200-F200</f>
        <v>4.61</v>
      </c>
      <c r="N200" s="179"/>
      <c r="O200" s="77" t="n">
        <v>91.3786116248173</v>
      </c>
      <c r="P200" s="77" t="n">
        <v>143.4</v>
      </c>
      <c r="Q200" s="74"/>
      <c r="R200" s="162"/>
      <c r="S200" s="163"/>
      <c r="T200" s="164"/>
      <c r="U200" s="165"/>
      <c r="V200" s="155"/>
      <c r="W200" s="163"/>
      <c r="X200" s="163"/>
      <c r="Y200" s="172"/>
      <c r="Z200" s="163"/>
      <c r="AA200" s="172"/>
      <c r="AB200" s="162"/>
      <c r="AC200" s="163"/>
      <c r="AD200" s="164"/>
      <c r="AE200" s="163"/>
      <c r="AF200" s="155"/>
      <c r="AG200" s="163"/>
      <c r="AH200" s="155"/>
      <c r="AI200" s="155"/>
      <c r="AJ200" s="155"/>
      <c r="AK200" s="173"/>
      <c r="AL200" s="162"/>
      <c r="AM200" s="37"/>
      <c r="AN200" s="57" t="n">
        <f aca="false">IF(ABS(E200-E199)&lt;0.05,0,E200-E199)</f>
        <v>0.540000000000006</v>
      </c>
      <c r="AO200" s="164" t="n">
        <f aca="false">IF((E200/E199-1)&lt;0.05,0,(E200/E199-1))</f>
        <v>0</v>
      </c>
      <c r="AP200" s="163" t="n">
        <f aca="false">IF(ABS(E200-E188)&lt;0.05,0,E200-E188)</f>
        <v>5.62</v>
      </c>
      <c r="AQ200" s="164" t="n">
        <f aca="false">IF(ABS(E200/E188-1)&lt;0.05,0,(E200/E188-1))</f>
        <v>0.0682370082564352</v>
      </c>
      <c r="AR200" s="57" t="n">
        <f aca="false">(E200/1.2)-57.95</f>
        <v>15.3666666666667</v>
      </c>
      <c r="AW200" s="162"/>
      <c r="BG200" s="162"/>
      <c r="BQ200" s="162"/>
    </row>
    <row r="201" customFormat="false" ht="12.75" hidden="false" customHeight="true" outlineLevel="0" collapsed="false">
      <c r="A201" s="156" t="n">
        <v>38443</v>
      </c>
      <c r="B201" s="73" t="n">
        <v>2005</v>
      </c>
      <c r="C201" s="157" t="s">
        <v>62</v>
      </c>
      <c r="D201" s="74" t="n">
        <v>88.48</v>
      </c>
      <c r="E201" s="159" t="n">
        <v>91.11</v>
      </c>
      <c r="F201" s="159" t="n">
        <v>85.35</v>
      </c>
      <c r="G201" s="159" t="n">
        <v>89.6</v>
      </c>
      <c r="H201" s="159" t="n">
        <v>28.85</v>
      </c>
      <c r="I201" s="159" t="n">
        <v>28.94</v>
      </c>
      <c r="J201" s="159"/>
      <c r="K201" s="159" t="n">
        <v>51.0418962294562</v>
      </c>
      <c r="L201" s="159"/>
      <c r="M201" s="160" t="n">
        <f aca="false">G201-F201</f>
        <v>4.25</v>
      </c>
      <c r="N201" s="179"/>
      <c r="O201" s="77" t="n">
        <v>89.4264472866754</v>
      </c>
      <c r="P201" s="77" t="n">
        <v>140.1</v>
      </c>
      <c r="Q201" s="74"/>
      <c r="R201" s="162"/>
      <c r="S201" s="163"/>
      <c r="T201" s="164"/>
      <c r="U201" s="165"/>
      <c r="V201" s="155"/>
      <c r="W201" s="163"/>
      <c r="X201" s="163"/>
      <c r="Y201" s="172"/>
      <c r="Z201" s="163"/>
      <c r="AA201" s="172"/>
      <c r="AB201" s="162"/>
      <c r="AC201" s="163"/>
      <c r="AD201" s="164"/>
      <c r="AE201" s="163"/>
      <c r="AF201" s="155"/>
      <c r="AG201" s="163"/>
      <c r="AH201" s="155"/>
      <c r="AI201" s="155"/>
      <c r="AJ201" s="155"/>
      <c r="AK201" s="173"/>
      <c r="AL201" s="162"/>
      <c r="AM201" s="37"/>
      <c r="AN201" s="57" t="n">
        <f aca="false">IF(ABS(E201-E200)&lt;0.05,0,E201-E200)</f>
        <v>3.13</v>
      </c>
      <c r="AO201" s="164" t="n">
        <f aca="false">IF((E201/E200-1)&lt;0.05,0,(E201/E200-1))</f>
        <v>0</v>
      </c>
      <c r="AP201" s="163" t="n">
        <f aca="false">IF(ABS(E201-E189)&lt;0.05,0,E201-E189)</f>
        <v>8.58</v>
      </c>
      <c r="AQ201" s="164" t="n">
        <f aca="false">IF(ABS(E201/E189-1)&lt;0.05,0,(E201/E189-1))</f>
        <v>0.103962195565249</v>
      </c>
      <c r="AR201" s="57" t="n">
        <f aca="false">(E201/1.2)-57.95</f>
        <v>17.975</v>
      </c>
      <c r="AW201" s="162"/>
      <c r="BG201" s="162"/>
      <c r="BQ201" s="162"/>
    </row>
    <row r="202" customFormat="false" ht="12.75" hidden="false" customHeight="true" outlineLevel="0" collapsed="false">
      <c r="A202" s="156" t="n">
        <v>38473</v>
      </c>
      <c r="B202" s="73" t="n">
        <v>2005</v>
      </c>
      <c r="C202" s="157" t="s">
        <v>63</v>
      </c>
      <c r="D202" s="74" t="n">
        <v>88.96</v>
      </c>
      <c r="E202" s="159" t="n">
        <v>91.6</v>
      </c>
      <c r="F202" s="159" t="n">
        <v>85.16</v>
      </c>
      <c r="G202" s="159" t="n">
        <v>89.42</v>
      </c>
      <c r="H202" s="159" t="n">
        <v>26.65</v>
      </c>
      <c r="I202" s="159" t="n">
        <v>27.13</v>
      </c>
      <c r="J202" s="159"/>
      <c r="K202" s="159" t="n">
        <v>49.4897264579939</v>
      </c>
      <c r="L202" s="159"/>
      <c r="M202" s="160" t="n">
        <f aca="false">G202-F202</f>
        <v>4.26000000000001</v>
      </c>
      <c r="N202" s="179"/>
      <c r="O202" s="77" t="n">
        <v>86.6506757180356</v>
      </c>
      <c r="P202" s="77" t="n">
        <v>135.8</v>
      </c>
      <c r="Q202" s="74"/>
      <c r="R202" s="162"/>
      <c r="S202" s="163"/>
      <c r="T202" s="164"/>
      <c r="U202" s="165"/>
      <c r="V202" s="155"/>
      <c r="W202" s="163"/>
      <c r="X202" s="163"/>
      <c r="Y202" s="172"/>
      <c r="Z202" s="163"/>
      <c r="AA202" s="172"/>
      <c r="AB202" s="162"/>
      <c r="AC202" s="163"/>
      <c r="AD202" s="164"/>
      <c r="AE202" s="163"/>
      <c r="AF202" s="155"/>
      <c r="AG202" s="163"/>
      <c r="AH202" s="155"/>
      <c r="AI202" s="155"/>
      <c r="AJ202" s="155"/>
      <c r="AK202" s="173"/>
      <c r="AL202" s="162"/>
      <c r="AM202" s="37"/>
      <c r="AN202" s="57" t="n">
        <f aca="false">IF(ABS(E202-E201)&lt;0.05,0,E202-E201)</f>
        <v>0.489999999999995</v>
      </c>
      <c r="AO202" s="164" t="n">
        <f aca="false">IF((E202/E201-1)&lt;0.05,0,(E202/E201-1))</f>
        <v>0</v>
      </c>
      <c r="AP202" s="163" t="n">
        <f aca="false">IF(ABS(E202-E190)&lt;0.05,0,E202-E190)</f>
        <v>5.36</v>
      </c>
      <c r="AQ202" s="164" t="n">
        <f aca="false">IF(ABS(E202/E190-1)&lt;0.05,0,(E202/E190-1))</f>
        <v>0.0621521335807049</v>
      </c>
      <c r="AR202" s="57" t="n">
        <f aca="false">(E202/1.2)-57.95</f>
        <v>18.3833333333333</v>
      </c>
      <c r="AW202" s="162"/>
      <c r="BG202" s="162"/>
      <c r="BQ202" s="162"/>
    </row>
    <row r="203" customFormat="false" ht="12.75" hidden="false" customHeight="true" outlineLevel="0" collapsed="false">
      <c r="A203" s="156" t="n">
        <v>38504</v>
      </c>
      <c r="B203" s="73" t="n">
        <v>2005</v>
      </c>
      <c r="C203" s="157" t="s">
        <v>64</v>
      </c>
      <c r="D203" s="176" t="n">
        <v>87.78</v>
      </c>
      <c r="E203" s="159" t="n">
        <v>91.67</v>
      </c>
      <c r="F203" s="159" t="n">
        <v>84.87</v>
      </c>
      <c r="G203" s="159" t="n">
        <v>89.04</v>
      </c>
      <c r="H203" s="159" t="n">
        <v>28.59</v>
      </c>
      <c r="I203" s="159" t="n">
        <v>30.1</v>
      </c>
      <c r="J203" s="159"/>
      <c r="K203" s="159" t="n">
        <v>56.3067585813738</v>
      </c>
      <c r="L203" s="159"/>
      <c r="M203" s="160" t="n">
        <f aca="false">G203-F203</f>
        <v>4.17</v>
      </c>
      <c r="N203" s="179"/>
      <c r="O203" s="77" t="n">
        <v>98.6230761625306</v>
      </c>
      <c r="P203" s="77" t="n">
        <v>154.5</v>
      </c>
      <c r="Q203" s="74"/>
      <c r="R203" s="162"/>
      <c r="S203" s="163"/>
      <c r="T203" s="164"/>
      <c r="U203" s="165"/>
      <c r="V203" s="155"/>
      <c r="W203" s="163"/>
      <c r="X203" s="163"/>
      <c r="Y203" s="172"/>
      <c r="Z203" s="163"/>
      <c r="AA203" s="172"/>
      <c r="AB203" s="162"/>
      <c r="AC203" s="163"/>
      <c r="AD203" s="164"/>
      <c r="AE203" s="163"/>
      <c r="AF203" s="155"/>
      <c r="AG203" s="163"/>
      <c r="AH203" s="155"/>
      <c r="AI203" s="155"/>
      <c r="AJ203" s="155"/>
      <c r="AK203" s="173"/>
      <c r="AL203" s="162"/>
      <c r="AM203" s="37"/>
      <c r="AN203" s="57" t="n">
        <f aca="false">IF(ABS(E203-E202)&lt;0.05,0,E203-E202)</f>
        <v>0.0700000000000074</v>
      </c>
      <c r="AO203" s="164" t="n">
        <f aca="false">IF((E203/E202-1)&lt;0.05,0,(E203/E202-1))</f>
        <v>0</v>
      </c>
      <c r="AP203" s="163" t="n">
        <f aca="false">IF(ABS(E203-E191)&lt;0.05,0,E203-E191)</f>
        <v>4.61</v>
      </c>
      <c r="AQ203" s="164" t="n">
        <f aca="false">IF(ABS(E203/E191-1)&lt;0.05,0,(E203/E191-1))</f>
        <v>0.052951987135309</v>
      </c>
      <c r="AR203" s="57" t="n">
        <f aca="false">(E203/1.2)-57.95</f>
        <v>18.4416666666667</v>
      </c>
      <c r="AW203" s="162"/>
      <c r="BG203" s="162"/>
      <c r="BQ203" s="162"/>
    </row>
    <row r="204" customFormat="false" ht="12.75" hidden="false" customHeight="true" outlineLevel="0" collapsed="false">
      <c r="A204" s="156" t="n">
        <v>38534</v>
      </c>
      <c r="B204" s="73" t="n">
        <v>2005</v>
      </c>
      <c r="C204" s="157" t="s">
        <v>65</v>
      </c>
      <c r="D204" s="74" t="n">
        <v>90.49</v>
      </c>
      <c r="E204" s="159" t="n">
        <v>94.81</v>
      </c>
      <c r="F204" s="159" t="n">
        <v>88.26</v>
      </c>
      <c r="G204" s="159" t="n">
        <v>92.43</v>
      </c>
      <c r="H204" s="159" t="n">
        <v>31.56</v>
      </c>
      <c r="I204" s="159" t="n">
        <v>32.94</v>
      </c>
      <c r="J204" s="159"/>
      <c r="K204" s="159" t="n">
        <v>63.1658014665515</v>
      </c>
      <c r="L204" s="159"/>
      <c r="M204" s="160" t="n">
        <f aca="false">G204-F204</f>
        <v>4.17</v>
      </c>
      <c r="N204" s="179"/>
      <c r="O204" s="77" t="n">
        <v>110.565888611867</v>
      </c>
      <c r="P204" s="77" t="n">
        <v>173.4</v>
      </c>
      <c r="Q204" s="74"/>
      <c r="R204" s="162"/>
      <c r="S204" s="163"/>
      <c r="T204" s="164"/>
      <c r="U204" s="165"/>
      <c r="V204" s="155"/>
      <c r="W204" s="163"/>
      <c r="X204" s="163"/>
      <c r="Y204" s="172"/>
      <c r="Z204" s="163"/>
      <c r="AA204" s="172"/>
      <c r="AB204" s="162"/>
      <c r="AC204" s="163"/>
      <c r="AD204" s="164"/>
      <c r="AE204" s="163"/>
      <c r="AF204" s="155"/>
      <c r="AG204" s="163"/>
      <c r="AH204" s="155"/>
      <c r="AI204" s="155"/>
      <c r="AJ204" s="155"/>
      <c r="AK204" s="173"/>
      <c r="AL204" s="162"/>
      <c r="AM204" s="37"/>
      <c r="AN204" s="57" t="n">
        <f aca="false">IF(ABS(E204-E203)&lt;0.05,0,E204-E203)</f>
        <v>3.14</v>
      </c>
      <c r="AO204" s="164" t="n">
        <f aca="false">IF((E204/E203-1)&lt;0.05,0,(E204/E203-1))</f>
        <v>0</v>
      </c>
      <c r="AP204" s="163" t="n">
        <f aca="false">IF(ABS(E204-E192)&lt;0.05,0,E204-E192)</f>
        <v>8.58</v>
      </c>
      <c r="AQ204" s="164" t="n">
        <f aca="false">IF(ABS(E204/E192-1)&lt;0.05,0,(E204/E192-1))</f>
        <v>0.0995013336425838</v>
      </c>
      <c r="AR204" s="57" t="n">
        <f aca="false">(E204/1.2)-57.95</f>
        <v>21.0583333333333</v>
      </c>
      <c r="AW204" s="162"/>
      <c r="BG204" s="162"/>
      <c r="BQ204" s="162"/>
    </row>
    <row r="205" customFormat="false" ht="12.75" hidden="false" customHeight="true" outlineLevel="0" collapsed="false">
      <c r="A205" s="156" t="n">
        <v>38565</v>
      </c>
      <c r="B205" s="73" t="n">
        <v>2005</v>
      </c>
      <c r="C205" s="157" t="s">
        <v>66</v>
      </c>
      <c r="D205" s="74" t="n">
        <v>91.99</v>
      </c>
      <c r="E205" s="159" t="n">
        <v>96.59</v>
      </c>
      <c r="F205" s="159" t="n">
        <v>90.4</v>
      </c>
      <c r="G205" s="159" t="n">
        <v>94.33</v>
      </c>
      <c r="H205" s="159" t="n">
        <v>32.11</v>
      </c>
      <c r="I205" s="159" t="n">
        <v>33.47</v>
      </c>
      <c r="J205" s="159"/>
      <c r="K205" s="159" t="n">
        <v>68.2135905136454</v>
      </c>
      <c r="L205" s="159"/>
      <c r="M205" s="160" t="n">
        <f aca="false">G205-F205</f>
        <v>3.92999999999999</v>
      </c>
      <c r="N205" s="179"/>
      <c r="O205" s="77" t="n">
        <v>119.39025242011</v>
      </c>
      <c r="P205" s="77" t="n">
        <v>187.3</v>
      </c>
      <c r="Q205" s="74"/>
      <c r="R205" s="162"/>
      <c r="S205" s="163"/>
      <c r="T205" s="164"/>
      <c r="U205" s="165"/>
      <c r="V205" s="155"/>
      <c r="W205" s="163"/>
      <c r="X205" s="163"/>
      <c r="Y205" s="172"/>
      <c r="Z205" s="163"/>
      <c r="AA205" s="172"/>
      <c r="AB205" s="162"/>
      <c r="AC205" s="163"/>
      <c r="AD205" s="164"/>
      <c r="AE205" s="163"/>
      <c r="AF205" s="155"/>
      <c r="AG205" s="163"/>
      <c r="AH205" s="155"/>
      <c r="AI205" s="155"/>
      <c r="AJ205" s="155"/>
      <c r="AK205" s="173"/>
      <c r="AL205" s="162"/>
      <c r="AM205" s="37"/>
      <c r="AN205" s="57" t="n">
        <f aca="false">IF(ABS(E205-E204)&lt;0.05,0,E205-E204)</f>
        <v>1.78</v>
      </c>
      <c r="AO205" s="164" t="n">
        <f aca="false">IF((E205/E204-1)&lt;0.05,0,(E205/E204-1))</f>
        <v>0</v>
      </c>
      <c r="AP205" s="163" t="n">
        <f aca="false">IF(ABS(E205-E193)&lt;0.05,0,E205-E193)</f>
        <v>9.95</v>
      </c>
      <c r="AQ205" s="164" t="n">
        <f aca="false">IF(ABS(E205/E193-1)&lt;0.05,0,(E205/E193-1))</f>
        <v>0.114843028624192</v>
      </c>
      <c r="AR205" s="57" t="n">
        <f aca="false">(E205/1.2)-57.95</f>
        <v>22.5416666666667</v>
      </c>
      <c r="AW205" s="162"/>
      <c r="BG205" s="162"/>
      <c r="BQ205" s="162"/>
    </row>
    <row r="206" customFormat="false" ht="12.75" hidden="false" customHeight="true" outlineLevel="0" collapsed="false">
      <c r="A206" s="156" t="n">
        <v>38596</v>
      </c>
      <c r="B206" s="73" t="n">
        <v>2005</v>
      </c>
      <c r="C206" s="157" t="s">
        <v>67</v>
      </c>
      <c r="D206" s="80"/>
      <c r="E206" s="159" t="n">
        <v>99.48</v>
      </c>
      <c r="F206" s="159" t="n">
        <v>94.77</v>
      </c>
      <c r="G206" s="159" t="n">
        <v>97.58</v>
      </c>
      <c r="H206" s="159" t="n">
        <v>33.57</v>
      </c>
      <c r="I206" s="159" t="n">
        <v>35.54</v>
      </c>
      <c r="J206" s="159"/>
      <c r="K206" s="159" t="n">
        <v>66.2359999951513</v>
      </c>
      <c r="L206" s="159"/>
      <c r="M206" s="160" t="n">
        <f aca="false">G206-F206</f>
        <v>2.81</v>
      </c>
      <c r="N206" s="179"/>
      <c r="O206" s="77" t="n">
        <v>115.997465603854</v>
      </c>
      <c r="P206" s="77" t="n">
        <v>182</v>
      </c>
      <c r="Q206" s="74"/>
      <c r="R206" s="162"/>
      <c r="S206" s="163"/>
      <c r="T206" s="164"/>
      <c r="U206" s="165"/>
      <c r="V206" s="155"/>
      <c r="W206" s="163"/>
      <c r="X206" s="163"/>
      <c r="Y206" s="172"/>
      <c r="Z206" s="163"/>
      <c r="AA206" s="172"/>
      <c r="AB206" s="162"/>
      <c r="AC206" s="163"/>
      <c r="AD206" s="164"/>
      <c r="AE206" s="163"/>
      <c r="AF206" s="155"/>
      <c r="AG206" s="163"/>
      <c r="AH206" s="155"/>
      <c r="AI206" s="155"/>
      <c r="AJ206" s="155"/>
      <c r="AK206" s="173"/>
      <c r="AL206" s="162"/>
      <c r="AM206" s="37"/>
      <c r="AN206" s="57" t="n">
        <f aca="false">IF(ABS(E206-E205)&lt;0.05,0,E206-E205)</f>
        <v>2.89</v>
      </c>
      <c r="AO206" s="164" t="n">
        <f aca="false">IF((E206/E205-1)&lt;0.05,0,(E206/E205-1))</f>
        <v>0</v>
      </c>
      <c r="AP206" s="163" t="n">
        <f aca="false">IF(ABS(E206-E194)&lt;0.05,0,E206-E194)</f>
        <v>12.74</v>
      </c>
      <c r="AQ206" s="164" t="n">
        <f aca="false">IF(ABS(E206/E194-1)&lt;0.05,0,(E206/E194-1))</f>
        <v>0.146875720544155</v>
      </c>
      <c r="AR206" s="57" t="n">
        <f aca="false">(E206/1.2)-57.95</f>
        <v>24.95</v>
      </c>
      <c r="AW206" s="162"/>
      <c r="BG206" s="162"/>
      <c r="BQ206" s="162"/>
    </row>
    <row r="207" customFormat="false" ht="12.75" hidden="false" customHeight="true" outlineLevel="0" collapsed="false">
      <c r="A207" s="156" t="n">
        <v>38626</v>
      </c>
      <c r="B207" s="73" t="n">
        <v>2005</v>
      </c>
      <c r="C207" s="157" t="s">
        <v>68</v>
      </c>
      <c r="D207" s="80"/>
      <c r="E207" s="159" t="n">
        <v>100.3</v>
      </c>
      <c r="F207" s="159" t="n">
        <v>94</v>
      </c>
      <c r="G207" s="159" t="n">
        <v>96.94</v>
      </c>
      <c r="H207" s="159" t="n">
        <v>34.95</v>
      </c>
      <c r="I207" s="159" t="n">
        <v>36.34</v>
      </c>
      <c r="J207" s="159"/>
      <c r="K207" s="159" t="n">
        <v>63.6696329935241</v>
      </c>
      <c r="L207" s="159"/>
      <c r="M207" s="160" t="n">
        <f aca="false">G207-F207</f>
        <v>2.94</v>
      </c>
      <c r="N207" s="179"/>
      <c r="O207" s="77" t="n">
        <v>111.434257246865</v>
      </c>
      <c r="P207" s="77" t="n">
        <v>174.8</v>
      </c>
      <c r="Q207" s="74"/>
      <c r="R207" s="162"/>
      <c r="S207" s="163"/>
      <c r="T207" s="164"/>
      <c r="U207" s="165"/>
      <c r="V207" s="155"/>
      <c r="W207" s="163"/>
      <c r="X207" s="163"/>
      <c r="Y207" s="172"/>
      <c r="Z207" s="163"/>
      <c r="AA207" s="172"/>
      <c r="AB207" s="162"/>
      <c r="AC207" s="163"/>
      <c r="AD207" s="164"/>
      <c r="AE207" s="163"/>
      <c r="AF207" s="155"/>
      <c r="AG207" s="163"/>
      <c r="AH207" s="155"/>
      <c r="AI207" s="155"/>
      <c r="AJ207" s="155"/>
      <c r="AK207" s="173"/>
      <c r="AL207" s="162"/>
      <c r="AM207" s="37"/>
      <c r="AN207" s="57" t="n">
        <f aca="false">IF(ABS(E207-E206)&lt;0.05,0,E207-E206)</f>
        <v>0.819999999999993</v>
      </c>
      <c r="AO207" s="164" t="n">
        <f aca="false">IF((E207/E206-1)&lt;0.05,0,(E207/E206-1))</f>
        <v>0</v>
      </c>
      <c r="AP207" s="163" t="n">
        <f aca="false">IF(ABS(E207-E195)&lt;0.05,0,E207-E195)</f>
        <v>11.18</v>
      </c>
      <c r="AQ207" s="164" t="n">
        <f aca="false">IF(ABS(E207/E195-1)&lt;0.05,0,(E207/E195-1))</f>
        <v>0.125448833034111</v>
      </c>
      <c r="AR207" s="57" t="n">
        <f aca="false">(E207/1.2)-57.95</f>
        <v>25.6333333333333</v>
      </c>
      <c r="AW207" s="162"/>
      <c r="BG207" s="162"/>
      <c r="BQ207" s="162"/>
    </row>
    <row r="208" customFormat="false" ht="12.75" hidden="false" customHeight="true" outlineLevel="0" collapsed="false">
      <c r="A208" s="156" t="n">
        <v>38657</v>
      </c>
      <c r="B208" s="73" t="n">
        <v>2005</v>
      </c>
      <c r="C208" s="157" t="s">
        <v>69</v>
      </c>
      <c r="D208" s="80"/>
      <c r="E208" s="159" t="n">
        <v>97.11</v>
      </c>
      <c r="F208" s="159" t="n">
        <v>90.3</v>
      </c>
      <c r="G208" s="159" t="n">
        <v>94.74</v>
      </c>
      <c r="H208" s="159" t="n">
        <v>31.1</v>
      </c>
      <c r="I208" s="159" t="n">
        <v>33.09</v>
      </c>
      <c r="J208" s="159"/>
      <c r="K208" s="159" t="n">
        <v>62.1897055446285</v>
      </c>
      <c r="L208" s="159"/>
      <c r="M208" s="160" t="n">
        <f aca="false">G208-F208</f>
        <v>4.44</v>
      </c>
      <c r="N208" s="179"/>
      <c r="O208" s="77" t="n">
        <v>108.809068381481</v>
      </c>
      <c r="P208" s="77" t="n">
        <v>170.6</v>
      </c>
      <c r="Q208" s="74"/>
      <c r="R208" s="162"/>
      <c r="S208" s="163"/>
      <c r="T208" s="164"/>
      <c r="U208" s="165"/>
      <c r="V208" s="155"/>
      <c r="W208" s="163"/>
      <c r="X208" s="163"/>
      <c r="Y208" s="172"/>
      <c r="Z208" s="163"/>
      <c r="AA208" s="172"/>
      <c r="AB208" s="162"/>
      <c r="AC208" s="163"/>
      <c r="AD208" s="164"/>
      <c r="AE208" s="163"/>
      <c r="AF208" s="155"/>
      <c r="AG208" s="163"/>
      <c r="AH208" s="155"/>
      <c r="AI208" s="155"/>
      <c r="AJ208" s="155"/>
      <c r="AK208" s="173"/>
      <c r="AL208" s="162"/>
      <c r="AM208" s="37"/>
      <c r="AN208" s="57" t="n">
        <f aca="false">IF(ABS(E208-E207)&lt;0.05,0,E208-E207)</f>
        <v>-3.19</v>
      </c>
      <c r="AO208" s="164" t="n">
        <f aca="false">IF((E208/E207-1)&lt;0.05,0,(E208/E207-1))</f>
        <v>0</v>
      </c>
      <c r="AP208" s="163" t="n">
        <f aca="false">IF(ABS(E208-E196)&lt;0.05,0,E208-E196)</f>
        <v>7.34999999999999</v>
      </c>
      <c r="AQ208" s="164" t="n">
        <f aca="false">IF(ABS(E208/E196-1)&lt;0.05,0,(E208/E196-1))</f>
        <v>0.0818850267379678</v>
      </c>
      <c r="AR208" s="57" t="n">
        <f aca="false">(E208/1.2)-57.95</f>
        <v>22.975</v>
      </c>
      <c r="AW208" s="162"/>
      <c r="BG208" s="162"/>
      <c r="BQ208" s="162"/>
    </row>
    <row r="209" customFormat="false" ht="12.75" hidden="false" customHeight="true" outlineLevel="0" collapsed="false">
      <c r="A209" s="156" t="n">
        <v>38687</v>
      </c>
      <c r="B209" s="73" t="n">
        <v>2005</v>
      </c>
      <c r="C209" s="157" t="s">
        <v>70</v>
      </c>
      <c r="D209" s="80"/>
      <c r="E209" s="159" t="n">
        <v>95.33</v>
      </c>
      <c r="F209" s="159" t="n">
        <v>87.45</v>
      </c>
      <c r="G209" s="159" t="n">
        <v>91.72</v>
      </c>
      <c r="H209" s="159" t="n">
        <v>30.53</v>
      </c>
      <c r="I209" s="159" t="n">
        <v>33.3</v>
      </c>
      <c r="J209" s="159"/>
      <c r="K209" s="159" t="n">
        <v>62.6854263060927</v>
      </c>
      <c r="L209" s="159"/>
      <c r="M209" s="160" t="n">
        <f aca="false">G209-F209</f>
        <v>4.27</v>
      </c>
      <c r="N209" s="179"/>
      <c r="O209" s="77" t="n">
        <v>109.721064026615</v>
      </c>
      <c r="P209" s="77" t="n">
        <v>172.1</v>
      </c>
      <c r="Q209" s="74"/>
      <c r="R209" s="162"/>
      <c r="S209" s="163"/>
      <c r="T209" s="164"/>
      <c r="U209" s="165"/>
      <c r="V209" s="155"/>
      <c r="W209" s="163"/>
      <c r="X209" s="163"/>
      <c r="Y209" s="172"/>
      <c r="Z209" s="163"/>
      <c r="AA209" s="172"/>
      <c r="AB209" s="162"/>
      <c r="AC209" s="163"/>
      <c r="AD209" s="164"/>
      <c r="AE209" s="163"/>
      <c r="AF209" s="155"/>
      <c r="AG209" s="163"/>
      <c r="AH209" s="155"/>
      <c r="AI209" s="155"/>
      <c r="AJ209" s="155"/>
      <c r="AK209" s="173"/>
      <c r="AL209" s="162"/>
      <c r="AM209" s="37"/>
      <c r="AN209" s="57" t="n">
        <f aca="false">IF(ABS(E209-E208)&lt;0.05,0,E209-E208)</f>
        <v>-1.78</v>
      </c>
      <c r="AO209" s="164" t="n">
        <f aca="false">IF((E209/E208-1)&lt;0.05,0,(E209/E208-1))</f>
        <v>0</v>
      </c>
      <c r="AP209" s="163" t="n">
        <f aca="false">IF(ABS(E209-E197)&lt;0.05,0,E209-E197)</f>
        <v>5.92</v>
      </c>
      <c r="AQ209" s="164" t="n">
        <f aca="false">IF(ABS(E209/E197-1)&lt;0.05,0,(E209/E197-1))</f>
        <v>0.0662118331282855</v>
      </c>
      <c r="AR209" s="57" t="n">
        <f aca="false">(E209/1.2)-57.95</f>
        <v>21.4916666666667</v>
      </c>
      <c r="AW209" s="162"/>
      <c r="BG209" s="162"/>
      <c r="BQ209" s="162"/>
    </row>
    <row r="210" customFormat="false" ht="12.75" hidden="false" customHeight="true" outlineLevel="0" collapsed="false">
      <c r="A210" s="156" t="n">
        <v>38718</v>
      </c>
      <c r="B210" s="73" t="n">
        <v>2006</v>
      </c>
      <c r="C210" s="157" t="s">
        <v>59</v>
      </c>
      <c r="D210" s="80"/>
      <c r="E210" s="159" t="n">
        <v>94.73</v>
      </c>
      <c r="F210" s="159" t="n">
        <v>88.84</v>
      </c>
      <c r="G210" s="159" t="n">
        <v>93.07</v>
      </c>
      <c r="H210" s="159" t="n">
        <v>31.58</v>
      </c>
      <c r="I210" s="159" t="n">
        <v>33.6</v>
      </c>
      <c r="J210" s="159"/>
      <c r="K210" s="159" t="n">
        <v>67.8060595428494</v>
      </c>
      <c r="L210" s="159"/>
      <c r="M210" s="160" t="n">
        <f aca="false">G210-F210</f>
        <v>4.22999999999999</v>
      </c>
      <c r="N210" s="179"/>
      <c r="O210" s="77" t="n">
        <v>118.69920366678</v>
      </c>
      <c r="P210" s="77" t="n">
        <v>186.2</v>
      </c>
      <c r="Q210" s="74"/>
      <c r="R210" s="162"/>
      <c r="S210" s="163"/>
      <c r="T210" s="164"/>
      <c r="U210" s="165"/>
      <c r="V210" s="155"/>
      <c r="W210" s="163"/>
      <c r="X210" s="163"/>
      <c r="Y210" s="172"/>
      <c r="Z210" s="163"/>
      <c r="AA210" s="172"/>
      <c r="AB210" s="162"/>
      <c r="AC210" s="163"/>
      <c r="AD210" s="164"/>
      <c r="AE210" s="163"/>
      <c r="AF210" s="155"/>
      <c r="AG210" s="163"/>
      <c r="AH210" s="155"/>
      <c r="AI210" s="155"/>
      <c r="AJ210" s="155"/>
      <c r="AK210" s="173"/>
      <c r="AL210" s="162"/>
      <c r="AM210" s="37"/>
      <c r="AN210" s="57" t="n">
        <f aca="false">IF(ABS(E210-E209)&lt;0.05,0,E210-E209)</f>
        <v>-0.599999999999994</v>
      </c>
      <c r="AO210" s="164" t="n">
        <f aca="false">IF((E210/E209-1)&lt;0.05,0,(E210/E209-1))</f>
        <v>0</v>
      </c>
      <c r="AP210" s="163" t="n">
        <f aca="false">IF(ABS(E210-E198)&lt;0.05,0,E210-E198)</f>
        <v>7.3</v>
      </c>
      <c r="AQ210" s="164" t="n">
        <f aca="false">IF(ABS(E210/E198-1)&lt;0.05,0,(E210/E198-1))</f>
        <v>0.0834953677227497</v>
      </c>
      <c r="AR210" s="57" t="n">
        <f aca="false">(E210/1.2)-57.95</f>
        <v>20.9916666666667</v>
      </c>
      <c r="AW210" s="162"/>
      <c r="BG210" s="162"/>
      <c r="BQ210" s="162"/>
    </row>
    <row r="211" customFormat="false" ht="12.75" hidden="false" customHeight="true" outlineLevel="0" collapsed="false">
      <c r="A211" s="156" t="n">
        <v>38749</v>
      </c>
      <c r="B211" s="73" t="n">
        <v>2006</v>
      </c>
      <c r="C211" s="157" t="s">
        <v>60</v>
      </c>
      <c r="D211" s="80"/>
      <c r="E211" s="159" t="n">
        <v>96.8</v>
      </c>
      <c r="F211" s="159" t="n">
        <v>89.46</v>
      </c>
      <c r="G211" s="159" t="n">
        <v>93.66</v>
      </c>
      <c r="H211" s="159" t="n">
        <v>32.16</v>
      </c>
      <c r="I211" s="159" t="n">
        <v>33.79</v>
      </c>
      <c r="J211" s="159"/>
      <c r="K211" s="159" t="n">
        <v>66.5669550070562</v>
      </c>
      <c r="L211" s="159"/>
      <c r="M211" s="160" t="n">
        <f aca="false">G211-F211</f>
        <v>4.2</v>
      </c>
      <c r="N211" s="179"/>
      <c r="O211" s="77" t="n">
        <v>116.494362456781</v>
      </c>
      <c r="P211" s="77" t="n">
        <v>182.7</v>
      </c>
      <c r="Q211" s="74"/>
      <c r="R211" s="162"/>
      <c r="S211" s="163"/>
      <c r="T211" s="164"/>
      <c r="U211" s="165"/>
      <c r="V211" s="155"/>
      <c r="W211" s="163"/>
      <c r="X211" s="163"/>
      <c r="Y211" s="172"/>
      <c r="Z211" s="163"/>
      <c r="AA211" s="172"/>
      <c r="AB211" s="162"/>
      <c r="AC211" s="163"/>
      <c r="AD211" s="164"/>
      <c r="AE211" s="163"/>
      <c r="AF211" s="155"/>
      <c r="AG211" s="163"/>
      <c r="AH211" s="155"/>
      <c r="AI211" s="155"/>
      <c r="AJ211" s="155"/>
      <c r="AK211" s="173"/>
      <c r="AL211" s="162"/>
      <c r="AM211" s="37"/>
      <c r="AN211" s="57" t="n">
        <f aca="false">IF(ABS(E211-E210)&lt;0.05,0,E211-E210)</f>
        <v>2.06999999999999</v>
      </c>
      <c r="AO211" s="164" t="n">
        <f aca="false">IF((E211/E210-1)&lt;0.05,0,(E211/E210-1))</f>
        <v>0</v>
      </c>
      <c r="AP211" s="163" t="n">
        <f aca="false">IF(ABS(E211-E199)&lt;0.05,0,E211-E199)</f>
        <v>9.36</v>
      </c>
      <c r="AQ211" s="164" t="n">
        <f aca="false">IF(ABS(E211/E199-1)&lt;0.05,0,(E211/E199-1))</f>
        <v>0.10704483074108</v>
      </c>
      <c r="AR211" s="57" t="n">
        <f aca="false">(E211/1.2)-57.95</f>
        <v>22.7166666666667</v>
      </c>
      <c r="AW211" s="162"/>
      <c r="BG211" s="162"/>
      <c r="BQ211" s="162"/>
    </row>
    <row r="212" customFormat="false" ht="12.75" hidden="false" customHeight="true" outlineLevel="0" collapsed="false">
      <c r="A212" s="156" t="n">
        <v>38777</v>
      </c>
      <c r="B212" s="73" t="n">
        <v>2006</v>
      </c>
      <c r="C212" s="157" t="s">
        <v>61</v>
      </c>
      <c r="D212" s="80"/>
      <c r="E212" s="159" t="n">
        <v>96.61</v>
      </c>
      <c r="F212" s="159" t="n">
        <v>89.43</v>
      </c>
      <c r="G212" s="159" t="n">
        <v>93.75</v>
      </c>
      <c r="H212" s="159" t="n">
        <v>32.12</v>
      </c>
      <c r="I212" s="159" t="n">
        <v>34.08</v>
      </c>
      <c r="J212" s="159"/>
      <c r="K212" s="159" t="n">
        <v>67.4810559388981</v>
      </c>
      <c r="L212" s="159"/>
      <c r="M212" s="160" t="n">
        <f aca="false">G212-F212</f>
        <v>4.31999999999999</v>
      </c>
      <c r="N212" s="179"/>
      <c r="O212" s="77" t="n">
        <v>118.14867516521</v>
      </c>
      <c r="P212" s="77" t="n">
        <v>185.1</v>
      </c>
      <c r="Q212" s="74"/>
      <c r="R212" s="162"/>
      <c r="S212" s="163"/>
      <c r="T212" s="164"/>
      <c r="U212" s="165"/>
      <c r="V212" s="155"/>
      <c r="W212" s="163"/>
      <c r="X212" s="163"/>
      <c r="Y212" s="172"/>
      <c r="Z212" s="163"/>
      <c r="AA212" s="172"/>
      <c r="AB212" s="162"/>
      <c r="AC212" s="163"/>
      <c r="AD212" s="164"/>
      <c r="AE212" s="163"/>
      <c r="AF212" s="155"/>
      <c r="AG212" s="163"/>
      <c r="AH212" s="155"/>
      <c r="AI212" s="155"/>
      <c r="AJ212" s="155"/>
      <c r="AK212" s="173"/>
      <c r="AL212" s="162"/>
      <c r="AM212" s="37"/>
      <c r="AN212" s="57" t="n">
        <f aca="false">IF(ABS(E212-E211)&lt;0.05,0,E212-E211)</f>
        <v>-0.189999999999998</v>
      </c>
      <c r="AO212" s="164" t="n">
        <f aca="false">IF((E212/E211-1)&lt;0.05,0,(E212/E211-1))</f>
        <v>0</v>
      </c>
      <c r="AP212" s="163" t="n">
        <f aca="false">IF(ABS(E212-E200)&lt;0.05,0,E212-E200)</f>
        <v>8.63</v>
      </c>
      <c r="AQ212" s="164" t="n">
        <f aca="false">IF(ABS(E212/E200-1)&lt;0.05,0,(E212/E200-1))</f>
        <v>0.098090475107979</v>
      </c>
      <c r="AR212" s="57" t="n">
        <f aca="false">(E212/1.2)-57.95</f>
        <v>22.5583333333333</v>
      </c>
      <c r="AW212" s="162"/>
      <c r="BG212" s="162"/>
      <c r="BQ212" s="162"/>
    </row>
    <row r="213" customFormat="false" ht="12.75" hidden="false" customHeight="true" outlineLevel="0" collapsed="false">
      <c r="A213" s="156" t="n">
        <v>38808</v>
      </c>
      <c r="B213" s="73" t="n">
        <v>2006</v>
      </c>
      <c r="C213" s="157" t="s">
        <v>62</v>
      </c>
      <c r="D213" s="80"/>
      <c r="E213" s="159" t="n">
        <v>99.42</v>
      </c>
      <c r="F213" s="159" t="n">
        <v>94.14</v>
      </c>
      <c r="G213" s="159" t="n">
        <v>97.59</v>
      </c>
      <c r="H213" s="159" t="n">
        <v>33.16</v>
      </c>
      <c r="I213" s="159" t="n">
        <v>35.31</v>
      </c>
      <c r="J213" s="159"/>
      <c r="K213" s="159" t="n">
        <v>75.312329012664</v>
      </c>
      <c r="L213" s="159"/>
      <c r="M213" s="160" t="n">
        <f aca="false">G213-F213</f>
        <v>3.45</v>
      </c>
      <c r="N213" s="179"/>
      <c r="O213" s="77" t="n">
        <v>131.728167098908</v>
      </c>
      <c r="P213" s="77" t="n">
        <v>206.7</v>
      </c>
      <c r="Q213" s="74"/>
      <c r="R213" s="162"/>
      <c r="S213" s="163"/>
      <c r="T213" s="164"/>
      <c r="U213" s="165"/>
      <c r="V213" s="155"/>
      <c r="W213" s="163"/>
      <c r="X213" s="163"/>
      <c r="Y213" s="172"/>
      <c r="Z213" s="163"/>
      <c r="AA213" s="172"/>
      <c r="AB213" s="162"/>
      <c r="AC213" s="163"/>
      <c r="AD213" s="164"/>
      <c r="AE213" s="163"/>
      <c r="AF213" s="155"/>
      <c r="AG213" s="163"/>
      <c r="AH213" s="155"/>
      <c r="AI213" s="155"/>
      <c r="AJ213" s="155"/>
      <c r="AK213" s="173"/>
      <c r="AL213" s="162"/>
      <c r="AM213" s="37"/>
      <c r="AN213" s="57" t="n">
        <f aca="false">IF(ABS(E213-E212)&lt;0.05,0,E213-E212)</f>
        <v>2.81</v>
      </c>
      <c r="AO213" s="164" t="n">
        <f aca="false">IF((E213/E212-1)&lt;0.05,0,(E213/E212-1))</f>
        <v>0</v>
      </c>
      <c r="AP213" s="163" t="n">
        <f aca="false">IF(ABS(E213-E201)&lt;0.05,0,E213-E201)</f>
        <v>8.31</v>
      </c>
      <c r="AQ213" s="164" t="n">
        <f aca="false">IF(ABS(E213/E201-1)&lt;0.05,0,(E213/E201-1))</f>
        <v>0.09120842937109</v>
      </c>
      <c r="AR213" s="57" t="n">
        <f aca="false">(E213/1.2)-57.95</f>
        <v>24.9</v>
      </c>
      <c r="AW213" s="162"/>
      <c r="BG213" s="162"/>
      <c r="BQ213" s="162"/>
    </row>
    <row r="214" customFormat="false" ht="12.75" hidden="false" customHeight="true" outlineLevel="0" collapsed="false">
      <c r="A214" s="156" t="n">
        <v>38838</v>
      </c>
      <c r="B214" s="73" t="n">
        <v>2006</v>
      </c>
      <c r="C214" s="157" t="s">
        <v>63</v>
      </c>
      <c r="D214" s="80"/>
      <c r="E214" s="159" t="n">
        <v>102.35</v>
      </c>
      <c r="F214" s="159" t="n">
        <v>96.12</v>
      </c>
      <c r="G214" s="159" t="n">
        <v>98.47</v>
      </c>
      <c r="H214" s="159" t="n">
        <v>34.07</v>
      </c>
      <c r="I214" s="159" t="n">
        <v>36.12</v>
      </c>
      <c r="J214" s="159"/>
      <c r="K214" s="159" t="n">
        <v>71.391944914759</v>
      </c>
      <c r="L214" s="159"/>
      <c r="M214" s="160" t="n">
        <f aca="false">G214-F214</f>
        <v>2.34999999999999</v>
      </c>
      <c r="N214" s="179"/>
      <c r="O214" s="77" t="n">
        <v>124.98568725865</v>
      </c>
      <c r="P214" s="77" t="n">
        <v>195.8</v>
      </c>
      <c r="Q214" s="74"/>
      <c r="R214" s="162"/>
      <c r="S214" s="163"/>
      <c r="T214" s="164"/>
      <c r="U214" s="165"/>
      <c r="V214" s="155"/>
      <c r="W214" s="163"/>
      <c r="X214" s="163"/>
      <c r="Y214" s="172"/>
      <c r="Z214" s="163"/>
      <c r="AA214" s="172"/>
      <c r="AB214" s="162"/>
      <c r="AC214" s="163"/>
      <c r="AD214" s="164"/>
      <c r="AE214" s="163"/>
      <c r="AF214" s="155"/>
      <c r="AG214" s="163"/>
      <c r="AH214" s="155"/>
      <c r="AI214" s="155"/>
      <c r="AJ214" s="155"/>
      <c r="AK214" s="173"/>
      <c r="AL214" s="162"/>
      <c r="AM214" s="37"/>
      <c r="AN214" s="57" t="n">
        <f aca="false">IF(ABS(E214-E213)&lt;0.05,0,E214-E213)</f>
        <v>2.92999999999999</v>
      </c>
      <c r="AO214" s="164" t="n">
        <f aca="false">IF((E214/E213-1)&lt;0.05,0,(E214/E213-1))</f>
        <v>0</v>
      </c>
      <c r="AP214" s="163" t="n">
        <f aca="false">IF(ABS(E214-E202)&lt;0.05,0,E214-E202)</f>
        <v>10.75</v>
      </c>
      <c r="AQ214" s="164" t="n">
        <f aca="false">IF(ABS(E214/E202-1)&lt;0.05,0,(E214/E202-1))</f>
        <v>0.11735807860262</v>
      </c>
      <c r="AR214" s="57" t="n">
        <f aca="false">(E214/1.2)-57.95</f>
        <v>27.3416666666667</v>
      </c>
      <c r="AW214" s="162"/>
      <c r="BG214" s="162"/>
      <c r="BQ214" s="162"/>
    </row>
    <row r="215" customFormat="false" ht="12.75" hidden="false" customHeight="true" outlineLevel="0" collapsed="false">
      <c r="A215" s="156" t="n">
        <v>38869</v>
      </c>
      <c r="B215" s="73" t="n">
        <v>2006</v>
      </c>
      <c r="C215" s="157" t="s">
        <v>64</v>
      </c>
      <c r="D215" s="80"/>
      <c r="E215" s="159" t="n">
        <v>101.37</v>
      </c>
      <c r="F215" s="159" t="n">
        <v>95.3</v>
      </c>
      <c r="G215" s="159" t="n">
        <v>97.66</v>
      </c>
      <c r="H215" s="159" t="n">
        <v>33.75</v>
      </c>
      <c r="I215" s="159" t="n">
        <v>36.17</v>
      </c>
      <c r="J215" s="159"/>
      <c r="K215" s="159" t="n">
        <v>70.7722061545501</v>
      </c>
      <c r="L215" s="159"/>
      <c r="M215" s="160" t="n">
        <f aca="false">G215-F215</f>
        <v>2.36</v>
      </c>
      <c r="N215" s="179"/>
      <c r="O215" s="77" t="n">
        <v>123.864107654309</v>
      </c>
      <c r="P215" s="77" t="n">
        <v>194.3</v>
      </c>
      <c r="Q215" s="74"/>
      <c r="R215" s="162"/>
      <c r="S215" s="163"/>
      <c r="T215" s="164"/>
      <c r="U215" s="165"/>
      <c r="V215" s="155"/>
      <c r="W215" s="163"/>
      <c r="X215" s="163"/>
      <c r="Y215" s="172"/>
      <c r="Z215" s="163"/>
      <c r="AA215" s="172"/>
      <c r="AB215" s="162"/>
      <c r="AC215" s="163"/>
      <c r="AD215" s="164"/>
      <c r="AE215" s="163"/>
      <c r="AF215" s="155"/>
      <c r="AG215" s="163"/>
      <c r="AH215" s="155"/>
      <c r="AI215" s="155"/>
      <c r="AJ215" s="155"/>
      <c r="AK215" s="173"/>
      <c r="AL215" s="162"/>
      <c r="AM215" s="37"/>
      <c r="AN215" s="57" t="n">
        <f aca="false">IF(ABS(E215-E214)&lt;0.05,0,E215-E214)</f>
        <v>-0.97999999999999</v>
      </c>
      <c r="AO215" s="164" t="n">
        <f aca="false">IF((E215/E214-1)&lt;0.05,0,(E215/E214-1))</f>
        <v>0</v>
      </c>
      <c r="AP215" s="163" t="n">
        <f aca="false">IF(ABS(E215-E203)&lt;0.05,0,E215-E203)</f>
        <v>9.7</v>
      </c>
      <c r="AQ215" s="164" t="n">
        <f aca="false">IF(ABS(E215/E203-1)&lt;0.05,0,(E215/E203-1))</f>
        <v>0.105814334024217</v>
      </c>
      <c r="AR215" s="57" t="n">
        <f aca="false">(E215/1.2)-57.95</f>
        <v>26.525</v>
      </c>
      <c r="AW215" s="162"/>
      <c r="BG215" s="162"/>
      <c r="BQ215" s="162"/>
    </row>
    <row r="216" customFormat="false" ht="12.75" hidden="false" customHeight="true" outlineLevel="0" collapsed="false">
      <c r="A216" s="156" t="n">
        <v>38899</v>
      </c>
      <c r="B216" s="73" t="n">
        <v>2006</v>
      </c>
      <c r="C216" s="157" t="s">
        <v>65</v>
      </c>
      <c r="D216" s="80"/>
      <c r="E216" s="159" t="n">
        <v>102.53</v>
      </c>
      <c r="F216" s="159" t="n">
        <v>96.78</v>
      </c>
      <c r="G216" s="159" t="n">
        <v>98.68</v>
      </c>
      <c r="H216" s="159" t="n">
        <v>37.4</v>
      </c>
      <c r="I216" s="159" t="n">
        <v>40.82</v>
      </c>
      <c r="J216" s="159"/>
      <c r="K216" s="159" t="n">
        <v>76.4199739912147</v>
      </c>
      <c r="L216" s="159"/>
      <c r="M216" s="160" t="n">
        <f aca="false">G216-F216</f>
        <v>1.90000000000001</v>
      </c>
      <c r="N216" s="179"/>
      <c r="O216" s="77" t="n">
        <v>133.782623468982</v>
      </c>
      <c r="P216" s="77" t="n">
        <v>209.7</v>
      </c>
      <c r="Q216" s="74"/>
      <c r="R216" s="162"/>
      <c r="S216" s="163"/>
      <c r="T216" s="164"/>
      <c r="U216" s="165"/>
      <c r="V216" s="155"/>
      <c r="W216" s="163"/>
      <c r="X216" s="163"/>
      <c r="Y216" s="172"/>
      <c r="Z216" s="163"/>
      <c r="AA216" s="172"/>
      <c r="AB216" s="162"/>
      <c r="AC216" s="163"/>
      <c r="AD216" s="164"/>
      <c r="AE216" s="163"/>
      <c r="AF216" s="155"/>
      <c r="AG216" s="163"/>
      <c r="AH216" s="155"/>
      <c r="AI216" s="155"/>
      <c r="AJ216" s="155"/>
      <c r="AK216" s="173"/>
      <c r="AL216" s="162"/>
      <c r="AM216" s="37"/>
      <c r="AN216" s="57" t="n">
        <f aca="false">IF(ABS(E216-E215)&lt;0.05,0,E216-E215)</f>
        <v>1.16</v>
      </c>
      <c r="AO216" s="164" t="n">
        <f aca="false">IF((E216/E215-1)&lt;0.05,0,(E216/E215-1))</f>
        <v>0</v>
      </c>
      <c r="AP216" s="163" t="n">
        <f aca="false">IF(ABS(E216-E204)&lt;0.05,0,E216-E204)</f>
        <v>7.72</v>
      </c>
      <c r="AQ216" s="164" t="n">
        <f aca="false">IF(ABS(E216/E204-1)&lt;0.05,0,(E216/E204-1))</f>
        <v>0.0814260099145661</v>
      </c>
      <c r="AR216" s="57" t="n">
        <f aca="false">(E216/1.2)-57.95</f>
        <v>27.4916666666667</v>
      </c>
      <c r="AW216" s="162"/>
      <c r="BG216" s="162"/>
      <c r="BQ216" s="162"/>
    </row>
    <row r="217" customFormat="false" ht="12.75" hidden="false" customHeight="true" outlineLevel="0" collapsed="false">
      <c r="A217" s="156" t="n">
        <v>38930</v>
      </c>
      <c r="B217" s="73" t="n">
        <v>2006</v>
      </c>
      <c r="C217" s="157" t="s">
        <v>66</v>
      </c>
      <c r="D217" s="80"/>
      <c r="E217" s="159" t="n">
        <v>103.01</v>
      </c>
      <c r="F217" s="159" t="n">
        <v>97.67</v>
      </c>
      <c r="G217" s="159" t="n">
        <v>99.38</v>
      </c>
      <c r="H217" s="159" t="n">
        <v>37.36</v>
      </c>
      <c r="I217" s="159" t="n">
        <v>41.11</v>
      </c>
      <c r="J217" s="159"/>
      <c r="K217" s="159" t="n">
        <v>74.1580430240815</v>
      </c>
      <c r="L217" s="159"/>
      <c r="M217" s="160" t="n">
        <f aca="false">G217-F217</f>
        <v>1.70999999999999</v>
      </c>
      <c r="N217" s="179"/>
      <c r="O217" s="77" t="n">
        <v>129.76337684628</v>
      </c>
      <c r="P217" s="77" t="n">
        <v>203.7</v>
      </c>
      <c r="Q217" s="74"/>
      <c r="R217" s="162"/>
      <c r="S217" s="163"/>
      <c r="T217" s="164"/>
      <c r="U217" s="165"/>
      <c r="V217" s="155"/>
      <c r="W217" s="163"/>
      <c r="X217" s="163"/>
      <c r="Y217" s="172"/>
      <c r="Z217" s="163"/>
      <c r="AA217" s="172"/>
      <c r="AB217" s="162"/>
      <c r="AC217" s="163"/>
      <c r="AD217" s="164"/>
      <c r="AE217" s="163"/>
      <c r="AF217" s="155"/>
      <c r="AG217" s="163"/>
      <c r="AH217" s="155"/>
      <c r="AI217" s="155"/>
      <c r="AJ217" s="155"/>
      <c r="AK217" s="173"/>
      <c r="AL217" s="162"/>
      <c r="AM217" s="37"/>
      <c r="AN217" s="57" t="n">
        <f aca="false">IF(ABS(E217-E216)&lt;0.05,0,E217-E216)</f>
        <v>0.480000000000004</v>
      </c>
      <c r="AO217" s="164" t="n">
        <f aca="false">IF((E217/E216-1)&lt;0.05,0,(E217/E216-1))</f>
        <v>0</v>
      </c>
      <c r="AP217" s="163" t="n">
        <f aca="false">IF(ABS(E217-E205)&lt;0.05,0,E217-E205)</f>
        <v>6.42</v>
      </c>
      <c r="AQ217" s="164" t="n">
        <f aca="false">IF(ABS(E217/E205-1)&lt;0.05,0,(E217/E205-1))</f>
        <v>0.0664665079200746</v>
      </c>
      <c r="AR217" s="57" t="n">
        <f aca="false">(E217/1.2)-57.95</f>
        <v>27.8916666666667</v>
      </c>
      <c r="AW217" s="162"/>
      <c r="BG217" s="162"/>
      <c r="BQ217" s="162"/>
    </row>
    <row r="218" customFormat="false" ht="12.75" hidden="false" customHeight="true" outlineLevel="0" collapsed="false">
      <c r="A218" s="156" t="n">
        <v>38961</v>
      </c>
      <c r="B218" s="73" t="n">
        <v>2006</v>
      </c>
      <c r="C218" s="157" t="s">
        <v>67</v>
      </c>
      <c r="D218" s="80"/>
      <c r="E218" s="159" t="n">
        <v>96.81</v>
      </c>
      <c r="F218" s="159" t="n">
        <v>89.35</v>
      </c>
      <c r="G218" s="159" t="n">
        <v>94.43</v>
      </c>
      <c r="H218" s="159" t="n">
        <v>35.76</v>
      </c>
      <c r="I218" s="159" t="n">
        <v>39.34</v>
      </c>
      <c r="J218" s="159"/>
      <c r="K218" s="159" t="n">
        <v>63.1771330281799</v>
      </c>
      <c r="L218" s="159"/>
      <c r="M218" s="160" t="n">
        <f aca="false">G218-F218</f>
        <v>5.08000000000001</v>
      </c>
      <c r="N218" s="179"/>
      <c r="O218" s="77" t="n">
        <v>110.514297123464</v>
      </c>
      <c r="P218" s="77" t="n">
        <v>173.6</v>
      </c>
      <c r="Q218" s="74"/>
      <c r="R218" s="162"/>
      <c r="S218" s="163"/>
      <c r="T218" s="164"/>
      <c r="U218" s="165"/>
      <c r="V218" s="155"/>
      <c r="W218" s="163"/>
      <c r="X218" s="163"/>
      <c r="Y218" s="172"/>
      <c r="Z218" s="163"/>
      <c r="AA218" s="172"/>
      <c r="AB218" s="162"/>
      <c r="AC218" s="163"/>
      <c r="AD218" s="164"/>
      <c r="AE218" s="163"/>
      <c r="AF218" s="155"/>
      <c r="AG218" s="163"/>
      <c r="AH218" s="155"/>
      <c r="AI218" s="155"/>
      <c r="AJ218" s="155"/>
      <c r="AK218" s="173"/>
      <c r="AL218" s="162"/>
      <c r="AM218" s="37"/>
      <c r="AN218" s="57" t="n">
        <f aca="false">IF(ABS(E218-E217)&lt;0.05,0,E218-E217)</f>
        <v>-6.2</v>
      </c>
      <c r="AO218" s="164" t="n">
        <f aca="false">IF((E218/E217-1)&lt;0.05,0,(E218/E217-1))</f>
        <v>0</v>
      </c>
      <c r="AP218" s="163" t="n">
        <f aca="false">IF(ABS(E218-E206)&lt;0.05,0,E218-E206)</f>
        <v>-2.67</v>
      </c>
      <c r="AQ218" s="164" t="n">
        <f aca="false">IF(ABS(E218/E206-1)&lt;0.05,0,(E218/E206-1))</f>
        <v>0</v>
      </c>
      <c r="AR218" s="57" t="n">
        <f aca="false">(E218/1.2)-57.95</f>
        <v>22.725</v>
      </c>
      <c r="AW218" s="162"/>
      <c r="BG218" s="162"/>
      <c r="BQ218" s="162"/>
    </row>
    <row r="219" customFormat="false" ht="12.75" hidden="false" customHeight="true" outlineLevel="0" collapsed="false">
      <c r="A219" s="156" t="n">
        <v>38991</v>
      </c>
      <c r="B219" s="73" t="n">
        <v>2006</v>
      </c>
      <c r="C219" s="157" t="s">
        <v>68</v>
      </c>
      <c r="D219" s="80"/>
      <c r="E219" s="159" t="n">
        <v>94.06</v>
      </c>
      <c r="F219" s="159" t="n">
        <v>85.74</v>
      </c>
      <c r="G219" s="159" t="n">
        <v>91.5</v>
      </c>
      <c r="H219" s="159" t="n">
        <v>33.25</v>
      </c>
      <c r="I219" s="159" t="n">
        <v>37.09</v>
      </c>
      <c r="J219" s="159"/>
      <c r="K219" s="159" t="n">
        <v>59.4039170171084</v>
      </c>
      <c r="L219" s="159"/>
      <c r="M219" s="160" t="n">
        <f aca="false">G219-F219</f>
        <v>5.76000000000001</v>
      </c>
      <c r="N219" s="75"/>
      <c r="O219" s="77" t="n">
        <v>103.995368017598</v>
      </c>
      <c r="P219" s="77" t="n">
        <v>163.016551834023</v>
      </c>
      <c r="Q219" s="74"/>
      <c r="R219" s="162"/>
      <c r="S219" s="163"/>
      <c r="T219" s="164"/>
      <c r="U219" s="165"/>
      <c r="V219" s="155"/>
      <c r="W219" s="163"/>
      <c r="X219" s="163"/>
      <c r="Y219" s="172"/>
      <c r="Z219" s="163"/>
      <c r="AA219" s="172"/>
      <c r="AB219" s="162"/>
      <c r="AC219" s="163"/>
      <c r="AD219" s="164"/>
      <c r="AE219" s="163"/>
      <c r="AF219" s="155"/>
      <c r="AG219" s="163"/>
      <c r="AH219" s="155"/>
      <c r="AI219" s="155"/>
      <c r="AJ219" s="155"/>
      <c r="AK219" s="173"/>
      <c r="AL219" s="162"/>
      <c r="AM219" s="37"/>
      <c r="AN219" s="57" t="n">
        <f aca="false">IF(ABS(E219-E218)&lt;0.05,0,E219-E218)</f>
        <v>-2.75</v>
      </c>
      <c r="AO219" s="164" t="n">
        <f aca="false">IF((E219/E218-1)&lt;0.05,0,(E219/E218-1))</f>
        <v>0</v>
      </c>
      <c r="AP219" s="163" t="n">
        <f aca="false">IF(ABS(E219-E207)&lt;0.05,0,E219-E207)</f>
        <v>-6.24</v>
      </c>
      <c r="AQ219" s="164" t="n">
        <f aca="false">IF(ABS(E219/E207-1)&lt;0.05,0,(E219/E207-1))</f>
        <v>-0.0622133599202392</v>
      </c>
      <c r="AR219" s="57" t="n">
        <f aca="false">(E219/1.2)-57.95</f>
        <v>20.4333333333333</v>
      </c>
      <c r="AW219" s="162"/>
      <c r="BG219" s="162"/>
      <c r="BQ219" s="162"/>
    </row>
    <row r="220" customFormat="false" ht="12.75" hidden="false" customHeight="true" outlineLevel="0" collapsed="false">
      <c r="A220" s="156" t="n">
        <v>39022</v>
      </c>
      <c r="B220" s="73" t="n">
        <v>2006</v>
      </c>
      <c r="C220" s="157" t="s">
        <v>69</v>
      </c>
      <c r="D220" s="80"/>
      <c r="E220" s="159" t="n">
        <v>93.21</v>
      </c>
      <c r="F220" s="159" t="n">
        <v>85.37</v>
      </c>
      <c r="G220" s="159" t="n">
        <v>91.09</v>
      </c>
      <c r="H220" s="159" t="n">
        <v>31.25</v>
      </c>
      <c r="I220" s="159" t="n">
        <v>35.53</v>
      </c>
      <c r="J220" s="159"/>
      <c r="K220" s="159" t="n">
        <v>58.3666686746408</v>
      </c>
      <c r="L220" s="159"/>
      <c r="M220" s="160" t="n">
        <f aca="false">G220-F220</f>
        <v>5.72</v>
      </c>
      <c r="N220" s="75"/>
      <c r="O220" s="77" t="n">
        <v>102.147230986889</v>
      </c>
      <c r="P220" s="77" t="n">
        <v>160.261376590891</v>
      </c>
      <c r="Q220" s="74"/>
      <c r="R220" s="162"/>
      <c r="S220" s="163"/>
      <c r="T220" s="164"/>
      <c r="U220" s="165"/>
      <c r="V220" s="155"/>
      <c r="W220" s="163"/>
      <c r="X220" s="163"/>
      <c r="Y220" s="172"/>
      <c r="Z220" s="163"/>
      <c r="AA220" s="172"/>
      <c r="AB220" s="162"/>
      <c r="AC220" s="163"/>
      <c r="AD220" s="164"/>
      <c r="AE220" s="163"/>
      <c r="AF220" s="155"/>
      <c r="AG220" s="163"/>
      <c r="AH220" s="155"/>
      <c r="AI220" s="155"/>
      <c r="AJ220" s="155"/>
      <c r="AK220" s="173"/>
      <c r="AL220" s="162"/>
      <c r="AM220" s="37"/>
      <c r="AN220" s="57" t="n">
        <f aca="false">IF(ABS(E220-E219)&lt;0.05,0,E220-E219)</f>
        <v>-0.850000000000009</v>
      </c>
      <c r="AO220" s="164" t="n">
        <f aca="false">IF((E220/E219-1)&lt;0.05,0,(E220/E219-1))</f>
        <v>0</v>
      </c>
      <c r="AP220" s="163" t="n">
        <f aca="false">IF(ABS(E220-E208)&lt;0.05,0,E220-E208)</f>
        <v>-3.90000000000001</v>
      </c>
      <c r="AQ220" s="164" t="n">
        <f aca="false">IF(ABS(E220/E208-1)&lt;0.05,0,(E220/E208-1))</f>
        <v>0</v>
      </c>
      <c r="AR220" s="57" t="n">
        <f aca="false">(E220/1.2)-57.95</f>
        <v>19.725</v>
      </c>
      <c r="AW220" s="162"/>
      <c r="BG220" s="162"/>
      <c r="BQ220" s="162"/>
    </row>
    <row r="221" customFormat="false" ht="12.75" hidden="false" customHeight="true" outlineLevel="0" collapsed="false">
      <c r="A221" s="156" t="n">
        <v>39052</v>
      </c>
      <c r="B221" s="73" t="n">
        <v>2006</v>
      </c>
      <c r="C221" s="157" t="s">
        <v>70</v>
      </c>
      <c r="D221" s="159"/>
      <c r="E221" s="159" t="n">
        <v>95.68</v>
      </c>
      <c r="F221" s="159" t="n">
        <v>87.63</v>
      </c>
      <c r="G221" s="159" t="n">
        <v>93.23</v>
      </c>
      <c r="H221" s="159" t="n">
        <v>32.05</v>
      </c>
      <c r="I221" s="159" t="n">
        <v>35.99</v>
      </c>
      <c r="J221" s="159"/>
      <c r="K221" s="159" t="n">
        <v>61.2475740233982</v>
      </c>
      <c r="L221" s="159"/>
      <c r="M221" s="160" t="n">
        <f aca="false">G221-F221</f>
        <v>5.60000000000001</v>
      </c>
      <c r="N221" s="179"/>
      <c r="O221" s="77" t="n">
        <v>107.177744585849</v>
      </c>
      <c r="P221" s="77" t="n">
        <v>168.2</v>
      </c>
      <c r="Q221" s="74"/>
      <c r="R221" s="162"/>
      <c r="S221" s="163"/>
      <c r="T221" s="164"/>
      <c r="U221" s="165"/>
      <c r="V221" s="155"/>
      <c r="W221" s="163"/>
      <c r="X221" s="163"/>
      <c r="Y221" s="172"/>
      <c r="Z221" s="163"/>
      <c r="AA221" s="172"/>
      <c r="AB221" s="162"/>
      <c r="AC221" s="163"/>
      <c r="AD221" s="164"/>
      <c r="AE221" s="163"/>
      <c r="AF221" s="155"/>
      <c r="AG221" s="163"/>
      <c r="AH221" s="155"/>
      <c r="AI221" s="155"/>
      <c r="AJ221" s="155"/>
      <c r="AK221" s="173"/>
      <c r="AL221" s="162"/>
      <c r="AM221" s="37"/>
      <c r="AN221" s="57" t="n">
        <f aca="false">IF(ABS(E221-E220)&lt;0.05,0,E221-E220)</f>
        <v>2.47000000000001</v>
      </c>
      <c r="AO221" s="164" t="n">
        <f aca="false">IF((E221/E220-1)&lt;0.05,0,(E221/E220-1))</f>
        <v>0</v>
      </c>
      <c r="AP221" s="163" t="n">
        <f aca="false">IF(ABS(E221-E209)&lt;0.05,0,E221-E209)</f>
        <v>0.350000000000009</v>
      </c>
      <c r="AQ221" s="164" t="n">
        <f aca="false">IF(ABS(E221/E209-1)&lt;0.05,0,(E221/E209-1))</f>
        <v>0</v>
      </c>
      <c r="AR221" s="57" t="n">
        <f aca="false">(E221/1.2)-57.95</f>
        <v>21.7833333333333</v>
      </c>
      <c r="AW221" s="162"/>
      <c r="BG221" s="162"/>
      <c r="BQ221" s="162"/>
    </row>
    <row r="222" customFormat="false" ht="12.75" hidden="false" customHeight="true" outlineLevel="0" collapsed="false">
      <c r="A222" s="156" t="n">
        <v>39083</v>
      </c>
      <c r="B222" s="73" t="n">
        <v>2007</v>
      </c>
      <c r="C222" s="157" t="s">
        <v>59</v>
      </c>
      <c r="D222" s="159"/>
      <c r="E222" s="159" t="n">
        <v>94.8</v>
      </c>
      <c r="F222" s="159" t="n">
        <v>86.91</v>
      </c>
      <c r="G222" s="159" t="n">
        <v>91.44</v>
      </c>
      <c r="H222" s="159" t="n">
        <v>30.88</v>
      </c>
      <c r="I222" s="159" t="n">
        <v>34.03</v>
      </c>
      <c r="J222" s="159"/>
      <c r="K222" s="159" t="n">
        <v>53.0208593827049</v>
      </c>
      <c r="L222" s="159"/>
      <c r="M222" s="160" t="n">
        <f aca="false">G222-F222</f>
        <v>4.53</v>
      </c>
      <c r="N222" s="179"/>
      <c r="O222" s="77" t="n">
        <v>92.8975810095475</v>
      </c>
      <c r="P222" s="77" t="n">
        <v>145.3</v>
      </c>
      <c r="Q222" s="74"/>
      <c r="R222" s="162"/>
      <c r="S222" s="163"/>
      <c r="T222" s="164"/>
      <c r="U222" s="165"/>
      <c r="V222" s="155"/>
      <c r="W222" s="163"/>
      <c r="X222" s="163"/>
      <c r="Y222" s="172"/>
      <c r="Z222" s="163"/>
      <c r="AA222" s="172"/>
      <c r="AB222" s="162"/>
      <c r="AC222" s="163"/>
      <c r="AD222" s="164"/>
      <c r="AE222" s="163"/>
      <c r="AF222" s="155"/>
      <c r="AG222" s="163"/>
      <c r="AH222" s="155"/>
      <c r="AI222" s="155"/>
      <c r="AJ222" s="155"/>
      <c r="AK222" s="173"/>
      <c r="AL222" s="162"/>
      <c r="AM222" s="37"/>
      <c r="AN222" s="57" t="n">
        <f aca="false">IF(ABS(E222-E221)&lt;0.05,0,E222-E221)</f>
        <v>-0.88000000000001</v>
      </c>
      <c r="AO222" s="164" t="n">
        <f aca="false">IF((E222/E221-1)&lt;0.05,0,(E222/E221-1))</f>
        <v>0</v>
      </c>
      <c r="AP222" s="163" t="n">
        <f aca="false">IF(ABS(E222-E210)&lt;0.05,0,E222-E210)</f>
        <v>0.0699999999999932</v>
      </c>
      <c r="AQ222" s="164" t="n">
        <f aca="false">IF(ABS(E222/E210-1)&lt;0.05,0,(E222/E210-1))</f>
        <v>0</v>
      </c>
      <c r="AR222" s="57" t="n">
        <f aca="false">(E222/1.2)-57.95</f>
        <v>21.05</v>
      </c>
      <c r="AW222" s="162"/>
      <c r="BG222" s="162"/>
      <c r="BQ222" s="162"/>
    </row>
    <row r="223" customFormat="false" ht="12.75" hidden="false" customHeight="true" outlineLevel="0" collapsed="false">
      <c r="A223" s="156" t="n">
        <v>39114</v>
      </c>
      <c r="B223" s="73" t="n">
        <v>2007</v>
      </c>
      <c r="C223" s="157" t="s">
        <v>60</v>
      </c>
      <c r="D223" s="80"/>
      <c r="E223" s="159" t="n">
        <v>94.01</v>
      </c>
      <c r="F223" s="159" t="n">
        <v>86.17</v>
      </c>
      <c r="G223" s="159" t="n">
        <v>90.18</v>
      </c>
      <c r="H223" s="159" t="n">
        <v>30.63</v>
      </c>
      <c r="I223" s="159" t="n">
        <v>34.1</v>
      </c>
      <c r="J223" s="159"/>
      <c r="K223" s="159" t="n">
        <v>56.4091710908274</v>
      </c>
      <c r="L223" s="159"/>
      <c r="M223" s="160" t="n">
        <f aca="false">G223-F223</f>
        <v>4.01000000000001</v>
      </c>
      <c r="N223" s="179"/>
      <c r="O223" s="77" t="n">
        <v>98.7256343644131</v>
      </c>
      <c r="P223" s="77" t="n">
        <v>154.9</v>
      </c>
      <c r="Q223" s="74"/>
      <c r="R223" s="162"/>
      <c r="S223" s="163"/>
      <c r="T223" s="164"/>
      <c r="U223" s="165"/>
      <c r="V223" s="155"/>
      <c r="W223" s="163"/>
      <c r="X223" s="163"/>
      <c r="Y223" s="172"/>
      <c r="Z223" s="163"/>
      <c r="AA223" s="172"/>
      <c r="AB223" s="162"/>
      <c r="AC223" s="163"/>
      <c r="AD223" s="164"/>
      <c r="AE223" s="163"/>
      <c r="AF223" s="155"/>
      <c r="AG223" s="163"/>
      <c r="AH223" s="155"/>
      <c r="AI223" s="155"/>
      <c r="AJ223" s="155"/>
      <c r="AK223" s="173"/>
      <c r="AL223" s="162"/>
      <c r="AM223" s="37"/>
      <c r="AN223" s="57" t="n">
        <f aca="false">IF(ABS(E223-E222)&lt;0.05,0,E223-E222)</f>
        <v>-0.789999999999992</v>
      </c>
      <c r="AO223" s="164" t="n">
        <f aca="false">IF((E223/E222-1)&lt;0.05,0,(E223/E222-1))</f>
        <v>0</v>
      </c>
      <c r="AP223" s="163" t="n">
        <f aca="false">IF(ABS(E223-E211)&lt;0.05,0,E223-E211)</f>
        <v>-2.78999999999999</v>
      </c>
      <c r="AQ223" s="164" t="n">
        <f aca="false">IF(ABS(E223/E211-1)&lt;0.05,0,(E223/E211-1))</f>
        <v>0</v>
      </c>
      <c r="AR223" s="57" t="n">
        <f aca="false">(E223/1.2)-57.95</f>
        <v>20.3916666666667</v>
      </c>
      <c r="AW223" s="162"/>
      <c r="BG223" s="162"/>
      <c r="BQ223" s="162"/>
    </row>
    <row r="224" customFormat="false" ht="12.75" hidden="false" customHeight="true" outlineLevel="0" collapsed="false">
      <c r="A224" s="156" t="n">
        <v>39142</v>
      </c>
      <c r="B224" s="73" t="n">
        <v>2007</v>
      </c>
      <c r="C224" s="157" t="s">
        <v>61</v>
      </c>
      <c r="D224" s="80"/>
      <c r="E224" s="159" t="n">
        <v>96.01</v>
      </c>
      <c r="F224" s="159" t="n">
        <v>88.39</v>
      </c>
      <c r="G224" s="159" t="n">
        <v>92.16</v>
      </c>
      <c r="H224" s="159" t="n">
        <v>31.65</v>
      </c>
      <c r="I224" s="159" t="n">
        <v>36.14</v>
      </c>
      <c r="J224" s="159"/>
      <c r="K224" s="159" t="n">
        <v>61.8284563935988</v>
      </c>
      <c r="L224" s="159"/>
      <c r="M224" s="160" t="n">
        <f aca="false">G224-F224</f>
        <v>3.77</v>
      </c>
      <c r="N224" s="75"/>
      <c r="O224" s="77" t="n">
        <v>108.19885507799</v>
      </c>
      <c r="P224" s="77" t="n">
        <v>169.777269182161</v>
      </c>
      <c r="Q224" s="74"/>
      <c r="R224" s="162"/>
      <c r="S224" s="163"/>
      <c r="T224" s="164"/>
      <c r="U224" s="165"/>
      <c r="V224" s="155"/>
      <c r="W224" s="163"/>
      <c r="X224" s="163"/>
      <c r="Y224" s="172"/>
      <c r="Z224" s="163"/>
      <c r="AA224" s="172"/>
      <c r="AB224" s="162"/>
      <c r="AC224" s="163"/>
      <c r="AD224" s="164"/>
      <c r="AE224" s="163"/>
      <c r="AF224" s="155"/>
      <c r="AG224" s="163"/>
      <c r="AH224" s="155"/>
      <c r="AI224" s="155"/>
      <c r="AJ224" s="155"/>
      <c r="AK224" s="173"/>
      <c r="AL224" s="162"/>
      <c r="AM224" s="37"/>
      <c r="AN224" s="57" t="n">
        <f aca="false">IF(ABS(E224-E223)&lt;0.05,0,E224-E223)</f>
        <v>2</v>
      </c>
      <c r="AO224" s="164" t="n">
        <f aca="false">IF((E224/E223-1)&lt;0.05,0,(E224/E223-1))</f>
        <v>0</v>
      </c>
      <c r="AP224" s="163" t="n">
        <f aca="false">IF(ABS(E224-E212)&lt;0.05,0,E224-E212)</f>
        <v>-0.599999999999994</v>
      </c>
      <c r="AQ224" s="164" t="n">
        <f aca="false">IF(ABS(E224/E212-1)&lt;0.05,0,(E224/E212-1))</f>
        <v>0</v>
      </c>
      <c r="AR224" s="57" t="n">
        <f aca="false">(E224/1.2)-57.95</f>
        <v>22.0583333333333</v>
      </c>
      <c r="AW224" s="162"/>
      <c r="BG224" s="162"/>
      <c r="BQ224" s="162"/>
    </row>
    <row r="225" customFormat="false" ht="12.75" hidden="false" customHeight="true" outlineLevel="0" collapsed="false">
      <c r="A225" s="156" t="n">
        <v>39173</v>
      </c>
      <c r="B225" s="73" t="n">
        <v>2007</v>
      </c>
      <c r="C225" s="157" t="s">
        <v>62</v>
      </c>
      <c r="D225" s="80"/>
      <c r="E225" s="159" t="n">
        <v>98.42</v>
      </c>
      <c r="F225" s="159" t="n">
        <v>91.92</v>
      </c>
      <c r="G225" s="159" t="n">
        <v>94.73</v>
      </c>
      <c r="H225" s="159" t="n">
        <v>33.43</v>
      </c>
      <c r="I225" s="159" t="n">
        <v>38.25</v>
      </c>
      <c r="J225" s="159"/>
      <c r="K225" s="159" t="n">
        <v>65.2528861549204</v>
      </c>
      <c r="L225" s="159"/>
      <c r="M225" s="160" t="n">
        <f aca="false">G225-F225</f>
        <v>2.81</v>
      </c>
      <c r="N225" s="75"/>
      <c r="O225" s="77" t="n">
        <v>114.163894993617</v>
      </c>
      <c r="P225" s="77" t="n">
        <v>179.065093738779</v>
      </c>
      <c r="Q225" s="74"/>
      <c r="R225" s="162"/>
      <c r="S225" s="163"/>
      <c r="T225" s="164"/>
      <c r="U225" s="165"/>
      <c r="V225" s="155"/>
      <c r="W225" s="163"/>
      <c r="X225" s="163"/>
      <c r="Y225" s="172"/>
      <c r="Z225" s="163"/>
      <c r="AA225" s="172"/>
      <c r="AB225" s="162"/>
      <c r="AC225" s="163"/>
      <c r="AD225" s="164"/>
      <c r="AE225" s="163"/>
      <c r="AF225" s="155"/>
      <c r="AG225" s="163"/>
      <c r="AH225" s="155"/>
      <c r="AI225" s="155"/>
      <c r="AJ225" s="155"/>
      <c r="AK225" s="173"/>
      <c r="AL225" s="162"/>
      <c r="AM225" s="37"/>
      <c r="AN225" s="57" t="n">
        <f aca="false">IF(ABS(E225-E224)&lt;0.05,0,E225-E224)</f>
        <v>2.41</v>
      </c>
      <c r="AO225" s="164" t="n">
        <f aca="false">IF((E225/E224-1)&lt;0.05,0,(E225/E224-1))</f>
        <v>0</v>
      </c>
      <c r="AP225" s="163" t="n">
        <f aca="false">IF(ABS(E225-E213)&lt;0.05,0,E225-E213)</f>
        <v>-1</v>
      </c>
      <c r="AQ225" s="164" t="n">
        <f aca="false">IF(ABS(E225/E213-1)&lt;0.05,0,(E225/E213-1))</f>
        <v>0</v>
      </c>
      <c r="AR225" s="57" t="n">
        <f aca="false">(E225/1.2)-57.95</f>
        <v>24.0666666666667</v>
      </c>
      <c r="AW225" s="162"/>
      <c r="BG225" s="162"/>
      <c r="BQ225" s="162"/>
    </row>
    <row r="226" customFormat="false" ht="12.75" hidden="false" customHeight="true" outlineLevel="0" collapsed="false">
      <c r="A226" s="156" t="n">
        <v>39203</v>
      </c>
      <c r="B226" s="73" t="n">
        <v>2007</v>
      </c>
      <c r="C226" s="157" t="s">
        <v>63</v>
      </c>
      <c r="D226" s="80"/>
      <c r="E226" s="159" t="n">
        <v>100.63</v>
      </c>
      <c r="F226" s="159" t="n">
        <v>95.05</v>
      </c>
      <c r="G226" s="159" t="n">
        <v>96.41</v>
      </c>
      <c r="H226" s="159" t="n">
        <v>33.47</v>
      </c>
      <c r="I226" s="159" t="n">
        <v>37.98</v>
      </c>
      <c r="J226" s="159"/>
      <c r="K226" s="159" t="n">
        <v>65.4499989838863</v>
      </c>
      <c r="L226" s="159"/>
      <c r="M226" s="160" t="n">
        <f aca="false">G226-F226</f>
        <v>1.36</v>
      </c>
      <c r="N226" s="75"/>
      <c r="O226" s="77" t="n">
        <v>114.465666379895</v>
      </c>
      <c r="P226" s="77" t="n">
        <v>179.9</v>
      </c>
      <c r="Q226" s="74"/>
      <c r="R226" s="162"/>
      <c r="S226" s="163"/>
      <c r="T226" s="164"/>
      <c r="U226" s="165"/>
      <c r="V226" s="155"/>
      <c r="W226" s="163"/>
      <c r="X226" s="163"/>
      <c r="Y226" s="172"/>
      <c r="Z226" s="163"/>
      <c r="AA226" s="172"/>
      <c r="AB226" s="162"/>
      <c r="AC226" s="163"/>
      <c r="AD226" s="164"/>
      <c r="AE226" s="163"/>
      <c r="AF226" s="155"/>
      <c r="AG226" s="163"/>
      <c r="AH226" s="155"/>
      <c r="AI226" s="155"/>
      <c r="AJ226" s="155"/>
      <c r="AK226" s="173"/>
      <c r="AL226" s="162"/>
      <c r="AM226" s="37"/>
      <c r="AN226" s="57" t="n">
        <f aca="false">IF(ABS(E226-E225)&lt;0.05,0,E226-E225)</f>
        <v>2.20999999999999</v>
      </c>
      <c r="AO226" s="164" t="n">
        <f aca="false">IF((E226/E225-1)&lt;0.05,0,(E226/E225-1))</f>
        <v>0</v>
      </c>
      <c r="AP226" s="163" t="n">
        <f aca="false">IF(ABS(E226-E214)&lt;0.05,0,E226-E214)</f>
        <v>-1.72</v>
      </c>
      <c r="AQ226" s="164" t="n">
        <f aca="false">IF(ABS(E226/E214-1)&lt;0.05,0,(E226/E214-1))</f>
        <v>0</v>
      </c>
      <c r="AR226" s="57" t="n">
        <f aca="false">(E226/1.2)-57.95</f>
        <v>25.9083333333333</v>
      </c>
      <c r="AW226" s="162"/>
      <c r="BG226" s="162"/>
      <c r="BQ226" s="162"/>
    </row>
    <row r="227" customFormat="false" ht="12.75" hidden="false" customHeight="true" outlineLevel="0" collapsed="false">
      <c r="A227" s="156" t="n">
        <v>39234</v>
      </c>
      <c r="B227" s="73" t="n">
        <v>2007</v>
      </c>
      <c r="C227" s="157" t="s">
        <v>64</v>
      </c>
      <c r="D227" s="80"/>
      <c r="E227" s="159" t="n">
        <v>101.98</v>
      </c>
      <c r="F227" s="159" t="n">
        <v>96.44</v>
      </c>
      <c r="G227" s="159" t="n">
        <v>97.02</v>
      </c>
      <c r="H227" s="159" t="n">
        <v>34.46</v>
      </c>
      <c r="I227" s="159" t="n">
        <v>38.85</v>
      </c>
      <c r="J227" s="159"/>
      <c r="K227" s="159" t="n">
        <v>70.0833894775964</v>
      </c>
      <c r="L227" s="159"/>
      <c r="M227" s="160" t="n">
        <f aca="false">G227-F227</f>
        <v>0.579999999999998</v>
      </c>
      <c r="N227" s="75"/>
      <c r="O227" s="77" t="n">
        <v>122.610029067011</v>
      </c>
      <c r="P227" s="77" t="n">
        <v>192.1</v>
      </c>
      <c r="Q227" s="74"/>
      <c r="R227" s="162"/>
      <c r="S227" s="163"/>
      <c r="T227" s="164"/>
      <c r="U227" s="165"/>
      <c r="V227" s="155"/>
      <c r="W227" s="163"/>
      <c r="X227" s="163"/>
      <c r="Y227" s="172"/>
      <c r="Z227" s="163"/>
      <c r="AA227" s="172"/>
      <c r="AB227" s="162"/>
      <c r="AC227" s="163"/>
      <c r="AD227" s="164"/>
      <c r="AE227" s="163"/>
      <c r="AF227" s="155"/>
      <c r="AG227" s="163"/>
      <c r="AH227" s="155"/>
      <c r="AI227" s="155"/>
      <c r="AJ227" s="155"/>
      <c r="AK227" s="173"/>
      <c r="AL227" s="162"/>
      <c r="AM227" s="37"/>
      <c r="AN227" s="57" t="n">
        <f aca="false">IF(ABS(E227-E226)&lt;0.05,0,E227-E226)</f>
        <v>1.35000000000001</v>
      </c>
      <c r="AO227" s="164" t="n">
        <f aca="false">IF((E227/E226-1)&lt;0.05,0,(E227/E226-1))</f>
        <v>0</v>
      </c>
      <c r="AP227" s="163" t="n">
        <f aca="false">IF(ABS(E227-E215)&lt;0.05,0,E227-E215)</f>
        <v>0.609999999999999</v>
      </c>
      <c r="AQ227" s="164" t="n">
        <f aca="false">IF(ABS(E227/E215-1)&lt;0.05,0,(E227/E215-1))</f>
        <v>0</v>
      </c>
      <c r="AR227" s="57" t="n">
        <f aca="false">(E227/1.2)-57.95</f>
        <v>27.0333333333333</v>
      </c>
      <c r="AW227" s="162"/>
      <c r="BG227" s="162"/>
      <c r="BQ227" s="162"/>
    </row>
    <row r="228" customFormat="false" ht="12.75" hidden="false" customHeight="true" outlineLevel="0" collapsed="false">
      <c r="A228" s="156" t="n">
        <v>39264</v>
      </c>
      <c r="B228" s="73" t="n">
        <v>2007</v>
      </c>
      <c r="C228" s="157" t="s">
        <v>65</v>
      </c>
      <c r="D228" s="80"/>
      <c r="E228" s="159" t="n">
        <v>101.8</v>
      </c>
      <c r="F228" s="159" t="n">
        <v>96.05</v>
      </c>
      <c r="G228" s="159" t="n">
        <v>96.65</v>
      </c>
      <c r="H228" s="159" t="n">
        <v>34.82</v>
      </c>
      <c r="I228" s="159" t="n">
        <v>39.57</v>
      </c>
      <c r="J228" s="159"/>
      <c r="K228" s="159" t="n">
        <v>73.5166485068543</v>
      </c>
      <c r="L228" s="159"/>
      <c r="M228" s="160" t="n">
        <f aca="false">G228-F228</f>
        <v>0.600000000000009</v>
      </c>
      <c r="N228" s="75"/>
      <c r="O228" s="77" t="n">
        <v>128.618279990389</v>
      </c>
      <c r="P228" s="77" t="n">
        <v>201.7</v>
      </c>
      <c r="Q228" s="74"/>
      <c r="R228" s="162"/>
      <c r="S228" s="163"/>
      <c r="T228" s="164"/>
      <c r="U228" s="165"/>
      <c r="V228" s="155"/>
      <c r="W228" s="163"/>
      <c r="X228" s="163"/>
      <c r="Y228" s="172"/>
      <c r="Z228" s="163"/>
      <c r="AA228" s="172"/>
      <c r="AB228" s="162"/>
      <c r="AC228" s="163"/>
      <c r="AD228" s="164"/>
      <c r="AE228" s="163"/>
      <c r="AF228" s="155"/>
      <c r="AG228" s="163"/>
      <c r="AH228" s="155"/>
      <c r="AI228" s="155"/>
      <c r="AJ228" s="155"/>
      <c r="AK228" s="173"/>
      <c r="AL228" s="162"/>
      <c r="AM228" s="37"/>
      <c r="AN228" s="57" t="n">
        <f aca="false">IF(ABS(E228-E227)&lt;0.05,0,E228-E227)</f>
        <v>-0.180000000000007</v>
      </c>
      <c r="AO228" s="164" t="n">
        <f aca="false">IF((E228/E227-1)&lt;0.05,0,(E228/E227-1))</f>
        <v>0</v>
      </c>
      <c r="AP228" s="163" t="n">
        <f aca="false">IF(ABS(E228-E216)&lt;0.05,0,E228-E216)</f>
        <v>-0.730000000000004</v>
      </c>
      <c r="AQ228" s="164" t="n">
        <f aca="false">IF(ABS(E228/E216-1)&lt;0.05,0,(E228/E216-1))</f>
        <v>0</v>
      </c>
      <c r="AR228" s="57" t="n">
        <f aca="false">(E228/1.2)-57.95</f>
        <v>26.8833333333333</v>
      </c>
      <c r="AW228" s="162"/>
      <c r="BG228" s="162"/>
      <c r="BQ228" s="162"/>
    </row>
    <row r="229" customFormat="false" ht="12.75" hidden="false" customHeight="true" outlineLevel="0" collapsed="false">
      <c r="A229" s="156" t="n">
        <v>39295</v>
      </c>
      <c r="B229" s="73" t="n">
        <v>2007</v>
      </c>
      <c r="C229" s="157" t="s">
        <v>66</v>
      </c>
      <c r="D229" s="80"/>
      <c r="E229" s="159" t="n">
        <v>101.49</v>
      </c>
      <c r="F229" s="159" t="n">
        <v>95.7</v>
      </c>
      <c r="G229" s="159" t="n">
        <v>96.54</v>
      </c>
      <c r="H229" s="159" t="n">
        <v>34.45</v>
      </c>
      <c r="I229" s="159" t="n">
        <v>39.21</v>
      </c>
      <c r="J229" s="159"/>
      <c r="K229" s="159" t="n">
        <v>69.3455923132004</v>
      </c>
      <c r="L229" s="159"/>
      <c r="M229" s="160" t="n">
        <f aca="false">G229-F229</f>
        <v>0.840000000000003</v>
      </c>
      <c r="N229" s="75"/>
      <c r="O229" s="77" t="n">
        <v>121.255344769559</v>
      </c>
      <c r="P229" s="77" t="n">
        <v>191</v>
      </c>
      <c r="Q229" s="74"/>
      <c r="R229" s="162"/>
      <c r="S229" s="163"/>
      <c r="T229" s="164"/>
      <c r="U229" s="165"/>
      <c r="V229" s="155"/>
      <c r="W229" s="163"/>
      <c r="X229" s="163"/>
      <c r="Y229" s="172"/>
      <c r="Z229" s="163"/>
      <c r="AA229" s="172"/>
      <c r="AB229" s="162"/>
      <c r="AC229" s="163"/>
      <c r="AD229" s="164"/>
      <c r="AE229" s="163"/>
      <c r="AF229" s="155"/>
      <c r="AG229" s="163"/>
      <c r="AH229" s="155"/>
      <c r="AI229" s="155"/>
      <c r="AJ229" s="155"/>
      <c r="AK229" s="173"/>
      <c r="AL229" s="162"/>
      <c r="AM229" s="37"/>
      <c r="AN229" s="57" t="n">
        <f aca="false">IF(ABS(E229-E228)&lt;0.05,0,E229-E228)</f>
        <v>-0.310000000000002</v>
      </c>
      <c r="AO229" s="164" t="n">
        <f aca="false">IF((E229/E228-1)&lt;0.05,0,(E229/E228-1))</f>
        <v>0</v>
      </c>
      <c r="AP229" s="163" t="n">
        <f aca="false">IF(ABS(E229-E217)&lt;0.05,0,E229-E217)</f>
        <v>-1.52000000000001</v>
      </c>
      <c r="AQ229" s="164" t="n">
        <f aca="false">IF(ABS(E229/E217-1)&lt;0.05,0,(E229/E217-1))</f>
        <v>0</v>
      </c>
      <c r="AR229" s="57" t="n">
        <f aca="false">(E229/1.2)-57.95</f>
        <v>26.625</v>
      </c>
      <c r="AW229" s="162"/>
      <c r="BG229" s="162"/>
      <c r="BQ229" s="162"/>
    </row>
    <row r="230" customFormat="false" ht="12.75" hidden="false" customHeight="true" outlineLevel="0" collapsed="false">
      <c r="A230" s="156" t="n">
        <v>39326</v>
      </c>
      <c r="B230" s="73" t="n">
        <v>2007</v>
      </c>
      <c r="C230" s="157" t="s">
        <v>67</v>
      </c>
      <c r="D230" s="80"/>
      <c r="E230" s="159" t="n">
        <v>100.75</v>
      </c>
      <c r="F230" s="159" t="n">
        <v>94.45</v>
      </c>
      <c r="G230" s="159" t="n">
        <v>96.3</v>
      </c>
      <c r="H230" s="159" t="n">
        <v>35.46</v>
      </c>
      <c r="I230" s="159" t="n">
        <v>41.22</v>
      </c>
      <c r="J230" s="159"/>
      <c r="K230" s="159" t="n">
        <v>73.6069139326257</v>
      </c>
      <c r="L230" s="159"/>
      <c r="M230" s="160" t="n">
        <f aca="false">G230-F230</f>
        <v>1.84999999999999</v>
      </c>
      <c r="N230" s="75"/>
      <c r="O230" s="77" t="n">
        <v>128.835212431997</v>
      </c>
      <c r="P230" s="77" t="n">
        <v>202</v>
      </c>
      <c r="Q230" s="74"/>
      <c r="R230" s="162"/>
      <c r="S230" s="163"/>
      <c r="T230" s="164"/>
      <c r="U230" s="165"/>
      <c r="V230" s="155"/>
      <c r="W230" s="163"/>
      <c r="X230" s="163"/>
      <c r="Y230" s="172"/>
      <c r="Z230" s="163"/>
      <c r="AA230" s="172"/>
      <c r="AB230" s="162"/>
      <c r="AC230" s="163"/>
      <c r="AD230" s="164"/>
      <c r="AE230" s="163"/>
      <c r="AF230" s="155"/>
      <c r="AG230" s="163"/>
      <c r="AH230" s="155"/>
      <c r="AI230" s="155"/>
      <c r="AJ230" s="155"/>
      <c r="AK230" s="173"/>
      <c r="AL230" s="162"/>
      <c r="AM230" s="37"/>
      <c r="AN230" s="57" t="n">
        <f aca="false">IF(ABS(E230-E229)&lt;0.05,0,E230-E229)</f>
        <v>-0.739999999999995</v>
      </c>
      <c r="AO230" s="164" t="n">
        <f aca="false">IF((E230/E229-1)&lt;0.05,0,(E230/E229-1))</f>
        <v>0</v>
      </c>
      <c r="AP230" s="163" t="n">
        <f aca="false">IF(ABS(E230-E218)&lt;0.05,0,E230-E218)</f>
        <v>3.94</v>
      </c>
      <c r="AQ230" s="164" t="n">
        <f aca="false">IF(ABS(E230/E218-1)&lt;0.05,0,(E230/E218-1))</f>
        <v>0</v>
      </c>
      <c r="AR230" s="57" t="n">
        <f aca="false">(E230/1.2)-57.95</f>
        <v>26.0083333333333</v>
      </c>
      <c r="AW230" s="162"/>
      <c r="BG230" s="162"/>
      <c r="BQ230" s="162"/>
    </row>
    <row r="231" customFormat="false" ht="12.75" hidden="false" customHeight="true" outlineLevel="0" collapsed="false">
      <c r="A231" s="156" t="n">
        <v>39356</v>
      </c>
      <c r="B231" s="73" t="n">
        <v>2007</v>
      </c>
      <c r="C231" s="157" t="s">
        <v>68</v>
      </c>
      <c r="D231" s="80"/>
      <c r="E231" s="159" t="n">
        <v>102.83</v>
      </c>
      <c r="F231" s="159" t="n">
        <v>97.03</v>
      </c>
      <c r="G231" s="159" t="n">
        <v>99.15</v>
      </c>
      <c r="H231" s="159" t="n">
        <v>37.13</v>
      </c>
      <c r="I231" s="159" t="n">
        <v>43.93</v>
      </c>
      <c r="J231" s="159"/>
      <c r="K231" s="159" t="n">
        <v>78.5511645960685</v>
      </c>
      <c r="L231" s="159"/>
      <c r="M231" s="160" t="n">
        <f aca="false">G231-F231</f>
        <v>2.12</v>
      </c>
      <c r="N231" s="75"/>
      <c r="O231" s="77" t="n">
        <v>137.427641037718</v>
      </c>
      <c r="P231" s="77" t="n">
        <v>215.9</v>
      </c>
      <c r="Q231" s="74"/>
      <c r="R231" s="162"/>
      <c r="S231" s="163"/>
      <c r="T231" s="164"/>
      <c r="U231" s="165"/>
      <c r="V231" s="155"/>
      <c r="W231" s="163"/>
      <c r="X231" s="163"/>
      <c r="Y231" s="172"/>
      <c r="Z231" s="163"/>
      <c r="AA231" s="172"/>
      <c r="AB231" s="162"/>
      <c r="AC231" s="163"/>
      <c r="AD231" s="164"/>
      <c r="AE231" s="163"/>
      <c r="AF231" s="155"/>
      <c r="AG231" s="163"/>
      <c r="AH231" s="155"/>
      <c r="AI231" s="155"/>
      <c r="AJ231" s="155"/>
      <c r="AK231" s="173"/>
      <c r="AL231" s="162"/>
      <c r="AM231" s="37"/>
      <c r="AN231" s="57" t="n">
        <f aca="false">IF(ABS(E231-E230)&lt;0.05,0,E231-E230)</f>
        <v>2.08</v>
      </c>
      <c r="AO231" s="164" t="n">
        <f aca="false">IF((E231/E230-1)&lt;0.05,0,(E231/E230-1))</f>
        <v>0</v>
      </c>
      <c r="AP231" s="163" t="n">
        <f aca="false">IF(ABS(E231-E219)&lt;0.05,0,E231-E219)</f>
        <v>8.77</v>
      </c>
      <c r="AQ231" s="164" t="n">
        <f aca="false">IF(ABS(E231/E219-1)&lt;0.05,0,(E231/E219-1))</f>
        <v>0.093238358494578</v>
      </c>
      <c r="AR231" s="57" t="n">
        <f aca="false">(E231/1.2)-57.95</f>
        <v>27.7416666666667</v>
      </c>
      <c r="AW231" s="162"/>
      <c r="BG231" s="162"/>
      <c r="BQ231" s="162"/>
    </row>
    <row r="232" customFormat="false" ht="12.75" hidden="false" customHeight="true" outlineLevel="0" collapsed="false">
      <c r="A232" s="156" t="n">
        <v>39387</v>
      </c>
      <c r="B232" s="73" t="n">
        <v>2007</v>
      </c>
      <c r="C232" s="157" t="s">
        <v>69</v>
      </c>
      <c r="D232" s="80"/>
      <c r="E232" s="159" t="n">
        <v>104.67</v>
      </c>
      <c r="F232" s="159" t="n">
        <v>100.46</v>
      </c>
      <c r="G232" s="159" t="n">
        <v>104.19</v>
      </c>
      <c r="H232" s="159" t="n">
        <v>41.6</v>
      </c>
      <c r="I232" s="159" t="n">
        <v>48.65</v>
      </c>
      <c r="J232" s="159"/>
      <c r="K232" s="159" t="n">
        <v>85.8001194462391</v>
      </c>
      <c r="L232" s="159"/>
      <c r="M232" s="160" t="n">
        <f aca="false">G232-F232</f>
        <v>3.73</v>
      </c>
      <c r="N232" s="75"/>
      <c r="O232" s="77" t="n">
        <v>150.137767839915</v>
      </c>
      <c r="P232" s="77" t="n">
        <v>235.6</v>
      </c>
      <c r="Q232" s="74"/>
      <c r="R232" s="162"/>
      <c r="S232" s="163"/>
      <c r="T232" s="164"/>
      <c r="U232" s="165"/>
      <c r="V232" s="155"/>
      <c r="W232" s="163"/>
      <c r="X232" s="163"/>
      <c r="Y232" s="172"/>
      <c r="Z232" s="163"/>
      <c r="AA232" s="172"/>
      <c r="AB232" s="162"/>
      <c r="AC232" s="163"/>
      <c r="AD232" s="164"/>
      <c r="AE232" s="163"/>
      <c r="AF232" s="155"/>
      <c r="AG232" s="163"/>
      <c r="AH232" s="155"/>
      <c r="AI232" s="155"/>
      <c r="AJ232" s="155"/>
      <c r="AK232" s="173"/>
      <c r="AL232" s="162"/>
      <c r="AM232" s="37"/>
      <c r="AN232" s="57" t="n">
        <f aca="false">IF(ABS(E232-E231)&lt;0.05,0,E232-E231)</f>
        <v>1.84</v>
      </c>
      <c r="AO232" s="164" t="n">
        <f aca="false">IF((E232/E231-1)&lt;0.05,0,(E232/E231-1))</f>
        <v>0</v>
      </c>
      <c r="AP232" s="163" t="n">
        <f aca="false">IF(ABS(E232-E220)&lt;0.05,0,E232-E220)</f>
        <v>11.46</v>
      </c>
      <c r="AQ232" s="164" t="n">
        <f aca="false">IF(ABS(E232/E220-1)&lt;0.05,0,(E232/E220-1))</f>
        <v>0.122948181525588</v>
      </c>
      <c r="AR232" s="57" t="n">
        <f aca="false">(E232/1.2)-57.95</f>
        <v>29.275</v>
      </c>
      <c r="AW232" s="162"/>
      <c r="BG232" s="162"/>
      <c r="BQ232" s="162"/>
    </row>
    <row r="233" customFormat="false" ht="12.75" hidden="false" customHeight="true" outlineLevel="0" collapsed="false">
      <c r="A233" s="156" t="n">
        <v>39417</v>
      </c>
      <c r="B233" s="73" t="n">
        <v>2007</v>
      </c>
      <c r="C233" s="157" t="s">
        <v>70</v>
      </c>
      <c r="D233" s="80"/>
      <c r="E233" s="159" t="n">
        <v>107.37</v>
      </c>
      <c r="F233" s="159" t="n">
        <v>102.36</v>
      </c>
      <c r="G233" s="159" t="n">
        <v>107.41</v>
      </c>
      <c r="H233" s="159" t="n">
        <v>42.42</v>
      </c>
      <c r="I233" s="159" t="n">
        <v>48.37</v>
      </c>
      <c r="J233" s="159"/>
      <c r="K233" s="159" t="n">
        <v>87.9806685176369</v>
      </c>
      <c r="L233" s="159"/>
      <c r="M233" s="160" t="n">
        <f aca="false">G233-F233</f>
        <v>5.05</v>
      </c>
      <c r="N233" s="75"/>
      <c r="O233" s="77" t="n">
        <v>153.88340451196</v>
      </c>
      <c r="P233" s="77" t="n">
        <v>242</v>
      </c>
      <c r="Q233" s="74"/>
      <c r="R233" s="181"/>
      <c r="S233" s="163"/>
      <c r="T233" s="164"/>
      <c r="U233" s="165"/>
      <c r="V233" s="155"/>
      <c r="W233" s="163"/>
      <c r="X233" s="163"/>
      <c r="Y233" s="172"/>
      <c r="Z233" s="163"/>
      <c r="AA233" s="172"/>
      <c r="AB233" s="181"/>
      <c r="AC233" s="163"/>
      <c r="AD233" s="164"/>
      <c r="AE233" s="163"/>
      <c r="AF233" s="155"/>
      <c r="AG233" s="163"/>
      <c r="AH233" s="155"/>
      <c r="AI233" s="155"/>
      <c r="AJ233" s="155"/>
      <c r="AK233" s="173"/>
      <c r="AL233" s="181"/>
      <c r="AM233" s="63"/>
      <c r="AN233" s="57" t="n">
        <f aca="false">IF(ABS(E233-E232)&lt;0.05,0,E233-E232)</f>
        <v>2.7</v>
      </c>
      <c r="AO233" s="164" t="n">
        <f aca="false">IF((E233/E232-1)&lt;0.05,0,(E233/E232-1))</f>
        <v>0</v>
      </c>
      <c r="AP233" s="163" t="n">
        <f aca="false">IF(ABS(E233-E221)&lt;0.05,0,E233-E221)</f>
        <v>11.69</v>
      </c>
      <c r="AQ233" s="164" t="n">
        <f aca="false">IF(ABS(E233/E221-1)&lt;0.05,0,(E233/E221-1))</f>
        <v>0.122178093645485</v>
      </c>
      <c r="AR233" s="57" t="n">
        <f aca="false">(E233/1.2)-57.95</f>
        <v>31.525</v>
      </c>
      <c r="AW233" s="181"/>
      <c r="BG233" s="181"/>
      <c r="BQ233" s="181"/>
    </row>
    <row r="234" customFormat="false" ht="12.75" hidden="false" customHeight="true" outlineLevel="0" collapsed="false">
      <c r="A234" s="156" t="n">
        <v>39448</v>
      </c>
      <c r="B234" s="73" t="n">
        <v>2008</v>
      </c>
      <c r="C234" s="157" t="s">
        <v>59</v>
      </c>
      <c r="D234" s="80"/>
      <c r="E234" s="159" t="n">
        <v>110.59</v>
      </c>
      <c r="F234" s="159" t="n">
        <v>103.71</v>
      </c>
      <c r="G234" s="159" t="n">
        <v>108.7</v>
      </c>
      <c r="H234" s="159" t="n">
        <v>43.9</v>
      </c>
      <c r="I234" s="159" t="n">
        <v>51.01</v>
      </c>
      <c r="J234" s="159"/>
      <c r="K234" s="159" t="n">
        <v>91.0628136451638</v>
      </c>
      <c r="L234" s="159"/>
      <c r="M234" s="160" t="n">
        <f aca="false">G234-F234</f>
        <v>4.99000000000001</v>
      </c>
      <c r="N234" s="75"/>
      <c r="O234" s="77" t="n">
        <v>159.296078863438</v>
      </c>
      <c r="P234" s="77" t="n">
        <v>249.5</v>
      </c>
      <c r="Q234" s="74"/>
      <c r="R234" s="181"/>
      <c r="S234" s="163"/>
      <c r="T234" s="164"/>
      <c r="U234" s="165"/>
      <c r="V234" s="155"/>
      <c r="W234" s="163"/>
      <c r="X234" s="163"/>
      <c r="Y234" s="172"/>
      <c r="Z234" s="163"/>
      <c r="AA234" s="172"/>
      <c r="AB234" s="181"/>
      <c r="AC234" s="163"/>
      <c r="AD234" s="164"/>
      <c r="AE234" s="163"/>
      <c r="AF234" s="155"/>
      <c r="AG234" s="163"/>
      <c r="AH234" s="155"/>
      <c r="AI234" s="155"/>
      <c r="AJ234" s="155"/>
      <c r="AK234" s="173"/>
      <c r="AL234" s="181"/>
      <c r="AM234" s="63"/>
      <c r="AN234" s="57" t="n">
        <f aca="false">IF(ABS(E234-E233)&lt;0.05,0,E234-E233)</f>
        <v>3.22</v>
      </c>
      <c r="AO234" s="164" t="n">
        <f aca="false">IF((E234/E233-1)&lt;0.05,0,(E234/E233-1))</f>
        <v>0</v>
      </c>
      <c r="AP234" s="163" t="n">
        <f aca="false">IF(ABS(E234-E222)&lt;0.05,0,E234-E222)</f>
        <v>15.79</v>
      </c>
      <c r="AQ234" s="164" t="n">
        <f aca="false">IF(ABS(E234/E222-1)&lt;0.05,0,(E234/E222-1))</f>
        <v>0.166561181434599</v>
      </c>
      <c r="AR234" s="57" t="n">
        <f aca="false">(E234/1.2)-57.95</f>
        <v>34.2083333333333</v>
      </c>
      <c r="AW234" s="181"/>
      <c r="BG234" s="181"/>
      <c r="BQ234" s="181"/>
    </row>
    <row r="235" customFormat="false" ht="12.75" hidden="false" customHeight="true" outlineLevel="0" collapsed="false">
      <c r="A235" s="156" t="n">
        <v>39479</v>
      </c>
      <c r="B235" s="73" t="n">
        <v>2008</v>
      </c>
      <c r="C235" s="157" t="s">
        <v>60</v>
      </c>
      <c r="D235" s="80"/>
      <c r="E235" s="159" t="n">
        <v>110.28</v>
      </c>
      <c r="F235" s="159" t="n">
        <v>103.5</v>
      </c>
      <c r="G235" s="159" t="n">
        <v>108.85</v>
      </c>
      <c r="H235" s="159" t="n">
        <v>44.33</v>
      </c>
      <c r="I235" s="159" t="n">
        <v>51.75</v>
      </c>
      <c r="J235" s="159"/>
      <c r="K235" s="159" t="n">
        <v>94.12715793465</v>
      </c>
      <c r="L235" s="159"/>
      <c r="M235" s="160" t="n">
        <f aca="false">G235-F235</f>
        <v>5.34999999999999</v>
      </c>
      <c r="N235" s="75"/>
      <c r="O235" s="77" t="n">
        <v>164.704749865774</v>
      </c>
      <c r="P235" s="77" t="n">
        <v>258.2</v>
      </c>
      <c r="Q235" s="74"/>
      <c r="R235" s="181"/>
      <c r="S235" s="163"/>
      <c r="T235" s="164"/>
      <c r="U235" s="165"/>
      <c r="V235" s="155"/>
      <c r="W235" s="163"/>
      <c r="X235" s="163"/>
      <c r="Y235" s="172"/>
      <c r="Z235" s="163"/>
      <c r="AA235" s="172"/>
      <c r="AB235" s="181"/>
      <c r="AC235" s="163"/>
      <c r="AD235" s="164"/>
      <c r="AE235" s="163"/>
      <c r="AF235" s="155"/>
      <c r="AG235" s="163"/>
      <c r="AH235" s="155"/>
      <c r="AI235" s="155"/>
      <c r="AJ235" s="155"/>
      <c r="AK235" s="173"/>
      <c r="AL235" s="181"/>
      <c r="AM235" s="63"/>
      <c r="AN235" s="57" t="n">
        <f aca="false">IF(ABS(E235-E234)&lt;0.05,0,E235-E234)</f>
        <v>-0.310000000000002</v>
      </c>
      <c r="AO235" s="164" t="n">
        <f aca="false">IF((E235/E234-1)&lt;0.05,0,(E235/E234-1))</f>
        <v>0</v>
      </c>
      <c r="AP235" s="163" t="n">
        <f aca="false">IF(ABS(E235-E223)&lt;0.05,0,E235-E223)</f>
        <v>16.27</v>
      </c>
      <c r="AQ235" s="164" t="n">
        <f aca="false">IF(ABS(E235/E223-1)&lt;0.05,0,(E235/E223-1))</f>
        <v>0.173066695032443</v>
      </c>
      <c r="AR235" s="57" t="n">
        <f aca="false">(E235/1.2)-57.95</f>
        <v>33.95</v>
      </c>
      <c r="AW235" s="181"/>
      <c r="BG235" s="181"/>
      <c r="BQ235" s="181"/>
    </row>
    <row r="236" customFormat="false" ht="12.75" hidden="false" customHeight="true" outlineLevel="0" collapsed="false">
      <c r="A236" s="156" t="n">
        <v>39508</v>
      </c>
      <c r="B236" s="73" t="n">
        <v>2008</v>
      </c>
      <c r="C236" s="157" t="s">
        <v>61</v>
      </c>
      <c r="D236" s="80"/>
      <c r="E236" s="159" t="n">
        <v>113.05</v>
      </c>
      <c r="F236" s="159" t="n">
        <v>106.36</v>
      </c>
      <c r="G236" s="159" t="n">
        <v>113.15</v>
      </c>
      <c r="H236" s="159" t="n">
        <v>47.54</v>
      </c>
      <c r="I236" s="159" t="n">
        <v>55.82</v>
      </c>
      <c r="J236" s="159"/>
      <c r="K236" s="159" t="n">
        <v>99.5614953376685</v>
      </c>
      <c r="L236" s="159"/>
      <c r="M236" s="160" t="n">
        <f aca="false">G236-F236</f>
        <v>6.79000000000001</v>
      </c>
      <c r="N236" s="75"/>
      <c r="O236" s="77" t="n">
        <v>174.188761236653</v>
      </c>
      <c r="P236" s="77" t="n">
        <v>272.9</v>
      </c>
      <c r="Q236" s="74"/>
      <c r="R236" s="181"/>
      <c r="S236" s="163"/>
      <c r="T236" s="164"/>
      <c r="U236" s="165"/>
      <c r="V236" s="155"/>
      <c r="W236" s="163"/>
      <c r="X236" s="163"/>
      <c r="Y236" s="172"/>
      <c r="Z236" s="163"/>
      <c r="AA236" s="172"/>
      <c r="AB236" s="181"/>
      <c r="AC236" s="163"/>
      <c r="AD236" s="164"/>
      <c r="AE236" s="163"/>
      <c r="AF236" s="155"/>
      <c r="AG236" s="163"/>
      <c r="AH236" s="155"/>
      <c r="AI236" s="155"/>
      <c r="AJ236" s="155"/>
      <c r="AK236" s="173"/>
      <c r="AL236" s="181"/>
      <c r="AM236" s="63"/>
      <c r="AN236" s="57" t="n">
        <f aca="false">IF(ABS(E236-E235)&lt;0.05,0,E236-E235)</f>
        <v>2.77</v>
      </c>
      <c r="AO236" s="164" t="n">
        <f aca="false">IF((E236/E235-1)&lt;0.05,0,(E236/E235-1))</f>
        <v>0</v>
      </c>
      <c r="AP236" s="163" t="n">
        <f aca="false">IF(ABS(E236-E224)&lt;0.05,0,E236-E224)</f>
        <v>17.04</v>
      </c>
      <c r="AQ236" s="164" t="n">
        <f aca="false">IF(ABS(E236/E224-1)&lt;0.05,0,(E236/E224-1))</f>
        <v>0.177481512342464</v>
      </c>
      <c r="AR236" s="57" t="n">
        <f aca="false">(E236/1.2)-57.95</f>
        <v>36.2583333333333</v>
      </c>
      <c r="AW236" s="181"/>
      <c r="BG236" s="181"/>
      <c r="BQ236" s="181"/>
    </row>
    <row r="237" customFormat="false" ht="12.75" hidden="false" customHeight="true" outlineLevel="0" collapsed="false">
      <c r="A237" s="156" t="n">
        <v>39539</v>
      </c>
      <c r="B237" s="73" t="n">
        <v>2008</v>
      </c>
      <c r="C237" s="157" t="s">
        <v>62</v>
      </c>
      <c r="D237" s="80"/>
      <c r="E237" s="159" t="n">
        <v>113.61</v>
      </c>
      <c r="F237" s="159" t="n">
        <v>107.56</v>
      </c>
      <c r="G237" s="159" t="n">
        <v>116.55</v>
      </c>
      <c r="H237" s="159" t="n">
        <v>53.39</v>
      </c>
      <c r="I237" s="159" t="n">
        <v>59.49</v>
      </c>
      <c r="J237" s="159"/>
      <c r="K237" s="159" t="n">
        <v>107.53115722383</v>
      </c>
      <c r="L237" s="159"/>
      <c r="M237" s="160" t="n">
        <f aca="false">G237-F237</f>
        <v>8.99</v>
      </c>
      <c r="N237" s="75"/>
      <c r="O237" s="77" t="n">
        <v>188.180398116753</v>
      </c>
      <c r="P237" s="77" t="n">
        <v>295.1</v>
      </c>
      <c r="Q237" s="74"/>
      <c r="R237" s="181"/>
      <c r="S237" s="163"/>
      <c r="T237" s="164"/>
      <c r="U237" s="165"/>
      <c r="V237" s="155"/>
      <c r="W237" s="163"/>
      <c r="X237" s="163"/>
      <c r="Y237" s="172"/>
      <c r="Z237" s="163"/>
      <c r="AA237" s="172"/>
      <c r="AB237" s="181"/>
      <c r="AC237" s="163"/>
      <c r="AD237" s="164"/>
      <c r="AE237" s="163"/>
      <c r="AF237" s="155"/>
      <c r="AG237" s="163"/>
      <c r="AH237" s="155"/>
      <c r="AI237" s="155"/>
      <c r="AJ237" s="155"/>
      <c r="AK237" s="173"/>
      <c r="AL237" s="181"/>
      <c r="AM237" s="63"/>
      <c r="AN237" s="57" t="n">
        <f aca="false">IF(ABS(E237-E236)&lt;0.05,0,E237-E236)</f>
        <v>0.560000000000002</v>
      </c>
      <c r="AO237" s="164" t="n">
        <f aca="false">IF((E237/E236-1)&lt;0.05,0,(E237/E236-1))</f>
        <v>0</v>
      </c>
      <c r="AP237" s="163" t="n">
        <f aca="false">IF(ABS(E237-E225)&lt;0.05,0,E237-E225)</f>
        <v>15.19</v>
      </c>
      <c r="AQ237" s="164" t="n">
        <f aca="false">IF(ABS(E237/E225-1)&lt;0.05,0,(E237/E225-1))</f>
        <v>0.154338549075391</v>
      </c>
      <c r="AR237" s="57" t="n">
        <f aca="false">(E237/1.2)-57.95</f>
        <v>36.725</v>
      </c>
      <c r="AW237" s="181"/>
      <c r="BG237" s="181"/>
      <c r="BQ237" s="181"/>
    </row>
    <row r="238" customFormat="false" ht="12.75" hidden="false" customHeight="true" outlineLevel="0" collapsed="false">
      <c r="A238" s="156" t="n">
        <v>39569</v>
      </c>
      <c r="B238" s="73" t="n">
        <v>2008</v>
      </c>
      <c r="C238" s="157" t="s">
        <v>63</v>
      </c>
      <c r="D238" s="80"/>
      <c r="E238" s="159" t="n">
        <v>117.87</v>
      </c>
      <c r="F238" s="159" t="n">
        <v>112.69</v>
      </c>
      <c r="G238" s="159" t="n">
        <v>124.2</v>
      </c>
      <c r="H238" s="159" t="n">
        <v>60.1</v>
      </c>
      <c r="I238" s="159" t="n">
        <v>67.34</v>
      </c>
      <c r="J238" s="159"/>
      <c r="K238" s="159" t="n">
        <v>120.650460662685</v>
      </c>
      <c r="L238" s="159"/>
      <c r="M238" s="160" t="n">
        <f aca="false">G238-F238</f>
        <v>11.51</v>
      </c>
      <c r="N238" s="75"/>
      <c r="O238" s="77" t="n">
        <v>211.115951373485</v>
      </c>
      <c r="P238" s="77" t="n">
        <v>331</v>
      </c>
      <c r="Q238" s="74"/>
      <c r="R238" s="181"/>
      <c r="S238" s="163"/>
      <c r="T238" s="164"/>
      <c r="U238" s="165"/>
      <c r="V238" s="155"/>
      <c r="W238" s="163"/>
      <c r="X238" s="163"/>
      <c r="Y238" s="172"/>
      <c r="Z238" s="163"/>
      <c r="AA238" s="172"/>
      <c r="AB238" s="181"/>
      <c r="AC238" s="163"/>
      <c r="AD238" s="164"/>
      <c r="AE238" s="163"/>
      <c r="AF238" s="155"/>
      <c r="AG238" s="163"/>
      <c r="AH238" s="155"/>
      <c r="AI238" s="155"/>
      <c r="AJ238" s="155"/>
      <c r="AK238" s="173"/>
      <c r="AL238" s="181"/>
      <c r="AM238" s="63"/>
      <c r="AN238" s="57" t="n">
        <f aca="false">IF(ABS(E238-E237)&lt;0.05,0,E238-E237)</f>
        <v>4.26000000000001</v>
      </c>
      <c r="AO238" s="164" t="n">
        <f aca="false">IF((E238/E237-1)&lt;0.05,0,(E238/E237-1))</f>
        <v>0</v>
      </c>
      <c r="AP238" s="163" t="n">
        <f aca="false">IF(ABS(E238-E226)&lt;0.05,0,E238-E226)</f>
        <v>17.24</v>
      </c>
      <c r="AQ238" s="164" t="n">
        <f aca="false">IF(ABS(E238/E226-1)&lt;0.05,0,(E238/E226-1))</f>
        <v>0.171320679717778</v>
      </c>
      <c r="AR238" s="57" t="n">
        <f aca="false">(E238/1.2)-57.95</f>
        <v>40.275</v>
      </c>
      <c r="AW238" s="181"/>
      <c r="BG238" s="181"/>
      <c r="BQ238" s="181"/>
    </row>
    <row r="239" customFormat="false" ht="12.75" hidden="false" customHeight="true" outlineLevel="0" collapsed="false">
      <c r="A239" s="156" t="n">
        <v>39600</v>
      </c>
      <c r="B239" s="73" t="n">
        <v>2008</v>
      </c>
      <c r="C239" s="157" t="s">
        <v>64</v>
      </c>
      <c r="D239" s="80"/>
      <c r="E239" s="159" t="n">
        <v>123.41</v>
      </c>
      <c r="F239" s="159" t="n">
        <v>117.49</v>
      </c>
      <c r="G239" s="159" t="n">
        <v>130.59</v>
      </c>
      <c r="H239" s="159" t="n">
        <v>61.78</v>
      </c>
      <c r="I239" s="159" t="n">
        <v>69.21</v>
      </c>
      <c r="J239" s="159"/>
      <c r="K239" s="159" t="n">
        <v>129.90410530647</v>
      </c>
      <c r="L239" s="159"/>
      <c r="M239" s="160" t="n">
        <f aca="false">G239-F239</f>
        <v>13.1</v>
      </c>
      <c r="N239" s="75"/>
      <c r="O239" s="77" t="n">
        <v>227.278198470211</v>
      </c>
      <c r="P239" s="77" t="n">
        <v>356.2</v>
      </c>
      <c r="Q239" s="74"/>
      <c r="R239" s="181"/>
      <c r="S239" s="163"/>
      <c r="T239" s="164"/>
      <c r="U239" s="165"/>
      <c r="V239" s="155"/>
      <c r="W239" s="163"/>
      <c r="X239" s="163"/>
      <c r="Y239" s="172"/>
      <c r="Z239" s="163"/>
      <c r="AA239" s="172"/>
      <c r="AB239" s="181"/>
      <c r="AC239" s="163"/>
      <c r="AD239" s="164"/>
      <c r="AE239" s="163"/>
      <c r="AF239" s="155"/>
      <c r="AG239" s="163"/>
      <c r="AH239" s="155"/>
      <c r="AI239" s="155"/>
      <c r="AJ239" s="155"/>
      <c r="AK239" s="173"/>
      <c r="AL239" s="181"/>
      <c r="AM239" s="63"/>
      <c r="AN239" s="57" t="n">
        <f aca="false">IF(ABS(E239-E238)&lt;0.05,0,E239-E238)</f>
        <v>5.53999999999999</v>
      </c>
      <c r="AO239" s="164" t="n">
        <f aca="false">IF((E239/E238-1)&lt;0.05,0,(E239/E238-1))</f>
        <v>0</v>
      </c>
      <c r="AP239" s="163" t="n">
        <f aca="false">IF(ABS(E239-E227)&lt;0.05,0,E239-E227)</f>
        <v>21.43</v>
      </c>
      <c r="AQ239" s="164" t="n">
        <f aca="false">IF(ABS(E239/E227-1)&lt;0.05,0,(E239/E227-1))</f>
        <v>0.210139242988821</v>
      </c>
      <c r="AR239" s="57" t="n">
        <f aca="false">(E239/1.2)-57.95</f>
        <v>44.8916666666667</v>
      </c>
      <c r="AW239" s="181"/>
      <c r="BG239" s="181"/>
      <c r="BQ239" s="181"/>
    </row>
    <row r="240" customFormat="false" ht="12.75" hidden="false" customHeight="true" outlineLevel="0" collapsed="false">
      <c r="A240" s="156" t="n">
        <v>39630</v>
      </c>
      <c r="B240" s="73" t="n">
        <v>2008</v>
      </c>
      <c r="C240" s="157" t="s">
        <v>65</v>
      </c>
      <c r="D240" s="80"/>
      <c r="E240" s="159" t="n">
        <v>126.04</v>
      </c>
      <c r="F240" s="159" t="n">
        <v>119.62</v>
      </c>
      <c r="G240" s="159" t="n">
        <v>132.98</v>
      </c>
      <c r="H240" s="159" t="n">
        <v>63.83</v>
      </c>
      <c r="I240" s="159" t="n">
        <v>69.79</v>
      </c>
      <c r="J240" s="182"/>
      <c r="K240" s="159" t="n">
        <v>129.962013843484</v>
      </c>
      <c r="L240" s="159"/>
      <c r="M240" s="160" t="n">
        <f aca="false">G240-F240</f>
        <v>13.36</v>
      </c>
      <c r="N240" s="75"/>
      <c r="O240" s="77" t="n">
        <v>227.277933227806</v>
      </c>
      <c r="P240" s="77" t="n">
        <v>355.617899625437</v>
      </c>
      <c r="Q240" s="74"/>
      <c r="R240" s="181"/>
      <c r="S240" s="163"/>
      <c r="T240" s="164"/>
      <c r="U240" s="165"/>
      <c r="V240" s="155"/>
      <c r="W240" s="163"/>
      <c r="X240" s="163"/>
      <c r="Y240" s="172"/>
      <c r="Z240" s="163"/>
      <c r="AA240" s="172"/>
      <c r="AB240" s="181"/>
      <c r="AC240" s="163"/>
      <c r="AD240" s="164"/>
      <c r="AE240" s="163"/>
      <c r="AF240" s="155"/>
      <c r="AG240" s="163"/>
      <c r="AH240" s="155"/>
      <c r="AI240" s="155"/>
      <c r="AJ240" s="155"/>
      <c r="AK240" s="173"/>
      <c r="AL240" s="181"/>
      <c r="AM240" s="63"/>
      <c r="AN240" s="57" t="n">
        <f aca="false">IF(ABS(E240-E239)&lt;0.05,0,E240-E239)</f>
        <v>2.63000000000001</v>
      </c>
      <c r="AO240" s="164" t="n">
        <f aca="false">IF((E240/E239-1)&lt;0.05,0,(E240/E239-1))</f>
        <v>0</v>
      </c>
      <c r="AP240" s="163" t="n">
        <f aca="false">IF(ABS(E240-E228)&lt;0.05,0,E240-E228)</f>
        <v>24.24</v>
      </c>
      <c r="AQ240" s="164" t="n">
        <f aca="false">IF(ABS(E240/E228-1)&lt;0.05,0,(E240/E228-1))</f>
        <v>0.23811394891945</v>
      </c>
      <c r="AR240" s="57" t="n">
        <f aca="false">(E240/1.2)-57.95</f>
        <v>47.0833333333333</v>
      </c>
      <c r="AW240" s="181"/>
      <c r="BG240" s="181"/>
      <c r="BQ240" s="181"/>
    </row>
    <row r="241" customFormat="false" ht="12.75" hidden="false" customHeight="true" outlineLevel="0" collapsed="false">
      <c r="A241" s="156" t="n">
        <v>39661</v>
      </c>
      <c r="B241" s="73" t="n">
        <v>2008</v>
      </c>
      <c r="C241" s="157" t="s">
        <v>66</v>
      </c>
      <c r="D241" s="74"/>
      <c r="E241" s="159" t="n">
        <v>118.18</v>
      </c>
      <c r="F241" s="159" t="n">
        <v>112.06</v>
      </c>
      <c r="G241" s="159" t="n">
        <v>123.95</v>
      </c>
      <c r="H241" s="159" t="n">
        <v>55.3</v>
      </c>
      <c r="I241" s="159" t="n">
        <v>62.31</v>
      </c>
      <c r="J241" s="159"/>
      <c r="K241" s="159" t="n">
        <v>117.149228334815</v>
      </c>
      <c r="L241" s="159"/>
      <c r="M241" s="160" t="n">
        <f aca="false">G241-F241</f>
        <v>11.89</v>
      </c>
      <c r="N241" s="75"/>
      <c r="O241" s="77" t="n">
        <v>204.847471072845</v>
      </c>
      <c r="P241" s="77" t="n">
        <v>320.397751724601</v>
      </c>
      <c r="Q241" s="74"/>
      <c r="R241" s="181"/>
      <c r="S241" s="163"/>
      <c r="T241" s="164"/>
      <c r="U241" s="165"/>
      <c r="V241" s="155"/>
      <c r="W241" s="163"/>
      <c r="X241" s="163"/>
      <c r="Y241" s="172"/>
      <c r="Z241" s="163"/>
      <c r="AA241" s="172"/>
      <c r="AB241" s="181"/>
      <c r="AC241" s="163"/>
      <c r="AD241" s="164"/>
      <c r="AE241" s="163"/>
      <c r="AF241" s="155"/>
      <c r="AG241" s="163"/>
      <c r="AH241" s="155"/>
      <c r="AI241" s="155"/>
      <c r="AJ241" s="155"/>
      <c r="AK241" s="173"/>
      <c r="AL241" s="181"/>
      <c r="AM241" s="63"/>
      <c r="AN241" s="57" t="n">
        <f aca="false">IF(ABS(E241-E240)&lt;0.05,0,E241-E240)</f>
        <v>-7.86</v>
      </c>
      <c r="AO241" s="164" t="n">
        <f aca="false">IF((E241/E240-1)&lt;0.05,0,(E241/E240-1))</f>
        <v>0</v>
      </c>
      <c r="AP241" s="163" t="n">
        <f aca="false">IF(ABS(E241-E229)&lt;0.05,0,E241-E229)</f>
        <v>16.69</v>
      </c>
      <c r="AQ241" s="164" t="n">
        <f aca="false">IF(ABS(E241/E229-1)&lt;0.05,0,(E241/E229-1))</f>
        <v>0.164449699477781</v>
      </c>
      <c r="AR241" s="57" t="n">
        <f aca="false">(E241/1.2)-57.95</f>
        <v>40.5333333333333</v>
      </c>
      <c r="AW241" s="181"/>
      <c r="BG241" s="181"/>
      <c r="BQ241" s="181"/>
    </row>
    <row r="242" customFormat="false" ht="12.75" hidden="false" customHeight="true" outlineLevel="0" collapsed="false">
      <c r="A242" s="156" t="n">
        <v>39692</v>
      </c>
      <c r="B242" s="73" t="n">
        <v>2008</v>
      </c>
      <c r="C242" s="157" t="s">
        <v>67</v>
      </c>
      <c r="D242" s="74"/>
      <c r="E242" s="159" t="n">
        <v>118.68</v>
      </c>
      <c r="F242" s="159" t="n">
        <v>112.3</v>
      </c>
      <c r="G242" s="159" t="n">
        <v>123.92</v>
      </c>
      <c r="H242" s="159" t="n">
        <v>54.6</v>
      </c>
      <c r="I242" s="159" t="n">
        <v>62.05</v>
      </c>
      <c r="J242" s="159"/>
      <c r="K242" s="159" t="n">
        <v>107.089577328513</v>
      </c>
      <c r="L242" s="159"/>
      <c r="M242" s="160" t="n">
        <f aca="false">G242-F242</f>
        <v>11.62</v>
      </c>
      <c r="N242" s="75"/>
      <c r="O242" s="77" t="n">
        <v>187.294715821863</v>
      </c>
      <c r="P242" s="77" t="n">
        <v>293.142111450799</v>
      </c>
      <c r="Q242" s="74"/>
      <c r="R242" s="181"/>
      <c r="S242" s="163"/>
      <c r="T242" s="164"/>
      <c r="U242" s="165"/>
      <c r="V242" s="155"/>
      <c r="W242" s="163"/>
      <c r="X242" s="163"/>
      <c r="Y242" s="172"/>
      <c r="Z242" s="163"/>
      <c r="AA242" s="172"/>
      <c r="AB242" s="181"/>
      <c r="AC242" s="163"/>
      <c r="AD242" s="164"/>
      <c r="AE242" s="163"/>
      <c r="AF242" s="155"/>
      <c r="AG242" s="163"/>
      <c r="AH242" s="155"/>
      <c r="AI242" s="155"/>
      <c r="AJ242" s="155"/>
      <c r="AK242" s="173"/>
      <c r="AL242" s="181"/>
      <c r="AM242" s="63"/>
      <c r="AN242" s="57" t="n">
        <f aca="false">IF(ABS(E242-E241)&lt;0.05,0,E242-E241)</f>
        <v>0.5</v>
      </c>
      <c r="AO242" s="164" t="n">
        <f aca="false">IF((E242/E241-1)&lt;0.05,0,(E242/E241-1))</f>
        <v>0</v>
      </c>
      <c r="AP242" s="163" t="n">
        <f aca="false">IF(ABS(E242-E230)&lt;0.05,0,E242-E230)</f>
        <v>17.93</v>
      </c>
      <c r="AQ242" s="164" t="n">
        <f aca="false">IF(ABS(E242/E230-1)&lt;0.05,0,(E242/E230-1))</f>
        <v>0.177965260545906</v>
      </c>
      <c r="AR242" s="57" t="n">
        <f aca="false">(E242/1.2)-57.95</f>
        <v>40.95</v>
      </c>
      <c r="AW242" s="181"/>
      <c r="BG242" s="181"/>
      <c r="BQ242" s="181"/>
    </row>
    <row r="243" customFormat="false" ht="12.75" hidden="false" customHeight="true" outlineLevel="0" collapsed="false">
      <c r="A243" s="156" t="n">
        <v>39722</v>
      </c>
      <c r="B243" s="73" t="n">
        <v>2008</v>
      </c>
      <c r="C243" s="157" t="s">
        <v>68</v>
      </c>
      <c r="D243" s="74"/>
      <c r="E243" s="159" t="n">
        <v>113.04</v>
      </c>
      <c r="F243" s="159" t="n">
        <v>106.03</v>
      </c>
      <c r="G243" s="159" t="n">
        <v>117.54</v>
      </c>
      <c r="H243" s="159" t="n">
        <v>48.75</v>
      </c>
      <c r="I243" s="159" t="n">
        <v>56.32</v>
      </c>
      <c r="J243" s="159"/>
      <c r="K243" s="159" t="n">
        <v>85.8390507378898</v>
      </c>
      <c r="L243" s="159"/>
      <c r="M243" s="160" t="n">
        <f aca="false">G243-F243</f>
        <v>11.51</v>
      </c>
      <c r="N243" s="75"/>
      <c r="O243" s="77" t="n">
        <v>150.109604543821</v>
      </c>
      <c r="P243" s="77" t="n">
        <v>234.842453432819</v>
      </c>
      <c r="Q243" s="74"/>
      <c r="R243" s="181"/>
      <c r="S243" s="163"/>
      <c r="T243" s="164"/>
      <c r="U243" s="165"/>
      <c r="V243" s="155"/>
      <c r="W243" s="163"/>
      <c r="X243" s="163"/>
      <c r="Y243" s="172"/>
      <c r="Z243" s="163"/>
      <c r="AA243" s="172"/>
      <c r="AB243" s="181"/>
      <c r="AC243" s="163"/>
      <c r="AD243" s="164"/>
      <c r="AE243" s="163"/>
      <c r="AF243" s="155"/>
      <c r="AG243" s="163"/>
      <c r="AH243" s="155"/>
      <c r="AI243" s="155"/>
      <c r="AJ243" s="155"/>
      <c r="AK243" s="173"/>
      <c r="AL243" s="181"/>
      <c r="AM243" s="63"/>
      <c r="AN243" s="57" t="n">
        <f aca="false">IF(ABS(E243-E242)&lt;0.05,0,E243-E242)</f>
        <v>-5.64</v>
      </c>
      <c r="AO243" s="164" t="n">
        <f aca="false">IF((E243/E242-1)&lt;0.05,0,(E243/E242-1))</f>
        <v>0</v>
      </c>
      <c r="AP243" s="163" t="n">
        <f aca="false">IF(ABS(E243-E231)&lt;0.05,0,E243-E231)</f>
        <v>10.21</v>
      </c>
      <c r="AQ243" s="164" t="n">
        <f aca="false">IF(ABS(E243/E231-1)&lt;0.05,0,(E243/E231-1))</f>
        <v>0.0992900904405329</v>
      </c>
      <c r="AR243" s="57" t="n">
        <f aca="false">(E243/1.2)-57.95</f>
        <v>36.25</v>
      </c>
      <c r="AW243" s="181"/>
      <c r="BG243" s="181"/>
      <c r="BQ243" s="181"/>
    </row>
    <row r="244" customFormat="false" ht="12.75" hidden="false" customHeight="true" outlineLevel="0" collapsed="false">
      <c r="A244" s="156" t="n">
        <v>39753</v>
      </c>
      <c r="B244" s="73" t="n">
        <v>2008</v>
      </c>
      <c r="C244" s="157" t="s">
        <v>69</v>
      </c>
      <c r="D244" s="74"/>
      <c r="E244" s="159" t="n">
        <v>101.18</v>
      </c>
      <c r="F244" s="159" t="n">
        <v>94.65</v>
      </c>
      <c r="G244" s="159" t="n">
        <v>108.6</v>
      </c>
      <c r="H244" s="159" t="n">
        <v>40.81</v>
      </c>
      <c r="I244" s="159" t="n">
        <v>50.12</v>
      </c>
      <c r="J244" s="159"/>
      <c r="K244" s="159" t="n">
        <v>68.3310423943425</v>
      </c>
      <c r="L244" s="159"/>
      <c r="M244" s="160" t="n">
        <f aca="false">G244-F244</f>
        <v>13.95</v>
      </c>
      <c r="N244" s="75"/>
      <c r="O244" s="77" t="n">
        <v>119.37484161841</v>
      </c>
      <c r="P244" s="77" t="n">
        <v>186.136608424379</v>
      </c>
      <c r="Q244" s="74"/>
      <c r="R244" s="181"/>
      <c r="S244" s="163"/>
      <c r="T244" s="164"/>
      <c r="U244" s="165"/>
      <c r="V244" s="155"/>
      <c r="W244" s="163"/>
      <c r="X244" s="163"/>
      <c r="Y244" s="172"/>
      <c r="Z244" s="163"/>
      <c r="AA244" s="172"/>
      <c r="AB244" s="181"/>
      <c r="AC244" s="163"/>
      <c r="AD244" s="164"/>
      <c r="AE244" s="163"/>
      <c r="AF244" s="155"/>
      <c r="AG244" s="163"/>
      <c r="AH244" s="155"/>
      <c r="AI244" s="155"/>
      <c r="AJ244" s="155"/>
      <c r="AK244" s="173"/>
      <c r="AL244" s="181"/>
      <c r="AM244" s="63"/>
      <c r="AN244" s="57" t="n">
        <f aca="false">IF(ABS(E244-E243)&lt;0.05,0,E244-E243)</f>
        <v>-11.86</v>
      </c>
      <c r="AO244" s="164" t="n">
        <f aca="false">IF((E244/E243-1)&lt;0.05,0,(E244/E243-1))</f>
        <v>0</v>
      </c>
      <c r="AP244" s="163" t="n">
        <f aca="false">IF(ABS(E244-E232)&lt;0.05,0,E244-E232)</f>
        <v>-3.49</v>
      </c>
      <c r="AQ244" s="164" t="n">
        <f aca="false">IF(ABS(E244/E232-1)&lt;0.05,0,(E244/E232-1))</f>
        <v>0</v>
      </c>
      <c r="AR244" s="57" t="n">
        <f aca="false">(E244/1.2)-57.95</f>
        <v>26.3666666666667</v>
      </c>
      <c r="AW244" s="181"/>
      <c r="BG244" s="181"/>
      <c r="BQ244" s="181"/>
    </row>
    <row r="245" customFormat="false" ht="12.75" hidden="false" customHeight="true" outlineLevel="0" collapsed="false">
      <c r="A245" s="156" t="n">
        <v>39783</v>
      </c>
      <c r="B245" s="73" t="n">
        <v>2008</v>
      </c>
      <c r="C245" s="157" t="s">
        <v>70</v>
      </c>
      <c r="D245" s="74"/>
      <c r="E245" s="159" t="n">
        <v>95.7</v>
      </c>
      <c r="F245" s="159" t="n">
        <v>88.94</v>
      </c>
      <c r="G245" s="159" t="n">
        <v>101.1</v>
      </c>
      <c r="H245" s="159" t="n">
        <v>38.23</v>
      </c>
      <c r="I245" s="159" t="n">
        <v>45.79</v>
      </c>
      <c r="J245" s="159"/>
      <c r="K245" s="159" t="n">
        <v>53.062181846942</v>
      </c>
      <c r="L245" s="159"/>
      <c r="M245" s="160" t="n">
        <f aca="false">G245-F245</f>
        <v>12.16</v>
      </c>
      <c r="N245" s="75"/>
      <c r="O245" s="77" t="n">
        <v>92.7363132793699</v>
      </c>
      <c r="P245" s="77" t="n">
        <v>144.791788922181</v>
      </c>
      <c r="Q245" s="74"/>
      <c r="R245" s="181"/>
      <c r="S245" s="163"/>
      <c r="T245" s="164"/>
      <c r="U245" s="165"/>
      <c r="V245" s="155"/>
      <c r="W245" s="163"/>
      <c r="X245" s="163"/>
      <c r="Y245" s="172"/>
      <c r="Z245" s="163"/>
      <c r="AA245" s="172"/>
      <c r="AB245" s="181"/>
      <c r="AC245" s="163"/>
      <c r="AD245" s="164"/>
      <c r="AE245" s="163"/>
      <c r="AF245" s="155"/>
      <c r="AG245" s="163"/>
      <c r="AH245" s="155"/>
      <c r="AI245" s="155"/>
      <c r="AJ245" s="155"/>
      <c r="AK245" s="173"/>
      <c r="AL245" s="181"/>
      <c r="AM245" s="63"/>
      <c r="AN245" s="57" t="n">
        <f aca="false">IF(ABS(E245-E244)&lt;0.05,0,E245-E244)</f>
        <v>-5.48</v>
      </c>
      <c r="AO245" s="164" t="n">
        <f aca="false">IF((E245/E244-1)&lt;0.05,0,(E245/E244-1))</f>
        <v>0</v>
      </c>
      <c r="AP245" s="163" t="n">
        <f aca="false">IF(ABS(E245-E233)&lt;0.05,0,E245-E233)</f>
        <v>-11.67</v>
      </c>
      <c r="AQ245" s="164" t="n">
        <f aca="false">IF(ABS(E245/E233-1)&lt;0.05,0,(E245/E233-1))</f>
        <v>-0.10868957809444</v>
      </c>
      <c r="AR245" s="57" t="n">
        <f aca="false">(E245/1.2)-57.95</f>
        <v>21.8</v>
      </c>
      <c r="AW245" s="181"/>
      <c r="BG245" s="181"/>
      <c r="BQ245" s="181"/>
    </row>
    <row r="246" customFormat="false" ht="12.75" hidden="false" customHeight="true" outlineLevel="0" collapsed="false">
      <c r="A246" s="156" t="n">
        <v>39814</v>
      </c>
      <c r="B246" s="73" t="n">
        <v>2009</v>
      </c>
      <c r="C246" s="157" t="s">
        <v>59</v>
      </c>
      <c r="D246" s="74"/>
      <c r="E246" s="159" t="n">
        <v>93.3</v>
      </c>
      <c r="F246" s="159" t="n">
        <v>86.33</v>
      </c>
      <c r="G246" s="159" t="n">
        <v>98.74</v>
      </c>
      <c r="H246" s="159" t="n">
        <v>36.01</v>
      </c>
      <c r="I246" s="159" t="n">
        <v>43.83</v>
      </c>
      <c r="J246" s="159"/>
      <c r="K246" s="159" t="n">
        <v>54.9873127152801</v>
      </c>
      <c r="L246" s="159"/>
      <c r="M246" s="160" t="n">
        <f aca="false">G246-F246</f>
        <v>12.41</v>
      </c>
      <c r="N246" s="75"/>
      <c r="O246" s="77" t="n">
        <v>96.1889696716456</v>
      </c>
      <c r="P246" s="77" t="n">
        <v>150.647691582578</v>
      </c>
      <c r="Q246" s="74"/>
      <c r="R246" s="181"/>
      <c r="S246" s="163"/>
      <c r="T246" s="164"/>
      <c r="U246" s="165"/>
      <c r="V246" s="155"/>
      <c r="W246" s="163"/>
      <c r="X246" s="163"/>
      <c r="Y246" s="172"/>
      <c r="Z246" s="163"/>
      <c r="AA246" s="172"/>
      <c r="AB246" s="181"/>
      <c r="AC246" s="163"/>
      <c r="AD246" s="164"/>
      <c r="AE246" s="163"/>
      <c r="AF246" s="155"/>
      <c r="AG246" s="163"/>
      <c r="AH246" s="155"/>
      <c r="AI246" s="155"/>
      <c r="AJ246" s="155"/>
      <c r="AK246" s="173"/>
      <c r="AL246" s="181"/>
      <c r="AM246" s="63"/>
      <c r="AN246" s="57" t="n">
        <f aca="false">IF(ABS(E246-E245)&lt;0.05,0,E246-E245)</f>
        <v>-2.40000000000001</v>
      </c>
      <c r="AO246" s="164" t="n">
        <f aca="false">IF((E246/E245-1)&lt;0.05,0,(E246/E245-1))</f>
        <v>0</v>
      </c>
      <c r="AP246" s="163" t="n">
        <f aca="false">IF(ABS(E246-E234)&lt;0.05,0,E246-E234)</f>
        <v>-17.29</v>
      </c>
      <c r="AQ246" s="164" t="n">
        <f aca="false">IF(ABS(E246/E234-1)&lt;0.05,0,(E246/E234-1))</f>
        <v>-0.156343249841758</v>
      </c>
      <c r="AR246" s="57" t="n">
        <f aca="false">(E246/1.2)-57.95</f>
        <v>19.8</v>
      </c>
      <c r="AW246" s="181"/>
      <c r="BG246" s="181"/>
      <c r="BQ246" s="181"/>
    </row>
    <row r="247" customFormat="false" ht="12.75" hidden="false" customHeight="true" outlineLevel="0" collapsed="false">
      <c r="A247" s="156" t="n">
        <v>39845</v>
      </c>
      <c r="B247" s="73" t="n">
        <v>2009</v>
      </c>
      <c r="C247" s="157" t="s">
        <v>60</v>
      </c>
      <c r="D247" s="74"/>
      <c r="E247" s="159" t="n">
        <v>96.35</v>
      </c>
      <c r="F247" s="159" t="n">
        <v>89.39</v>
      </c>
      <c r="G247" s="159" t="n">
        <v>100.26</v>
      </c>
      <c r="H247" s="159" t="n">
        <v>33.91</v>
      </c>
      <c r="I247" s="159" t="n">
        <v>41.68</v>
      </c>
      <c r="J247" s="159"/>
      <c r="K247" s="159" t="n">
        <v>59.0919559013052</v>
      </c>
      <c r="L247" s="159"/>
      <c r="M247" s="160" t="n">
        <f aca="false">G247-F247</f>
        <v>10.87</v>
      </c>
      <c r="N247" s="75"/>
      <c r="O247" s="77" t="n">
        <v>103.332067760295</v>
      </c>
      <c r="P247" s="77" t="n">
        <v>161.639137958334</v>
      </c>
      <c r="Q247" s="74"/>
      <c r="R247" s="181"/>
      <c r="S247" s="163"/>
      <c r="T247" s="164"/>
      <c r="U247" s="165"/>
      <c r="V247" s="155"/>
      <c r="W247" s="163"/>
      <c r="X247" s="163"/>
      <c r="Y247" s="172"/>
      <c r="Z247" s="163"/>
      <c r="AA247" s="172"/>
      <c r="AB247" s="181"/>
      <c r="AC247" s="163"/>
      <c r="AD247" s="164"/>
      <c r="AE247" s="163"/>
      <c r="AF247" s="155"/>
      <c r="AG247" s="163"/>
      <c r="AH247" s="155"/>
      <c r="AI247" s="155"/>
      <c r="AJ247" s="155"/>
      <c r="AK247" s="173"/>
      <c r="AL247" s="181"/>
      <c r="AM247" s="63"/>
      <c r="AN247" s="57" t="n">
        <f aca="false">IF(ABS(E247-E246)&lt;0.05,0,E247-E246)</f>
        <v>3.05</v>
      </c>
      <c r="AO247" s="164" t="n">
        <f aca="false">IF((E247/E246-1)&lt;0.05,0,(E247/E246-1))</f>
        <v>0</v>
      </c>
      <c r="AP247" s="163" t="n">
        <f aca="false">IF(ABS(E247-E235)&lt;0.05,0,E247-E235)</f>
        <v>-13.93</v>
      </c>
      <c r="AQ247" s="164" t="n">
        <f aca="false">IF(ABS(E247/E235-1)&lt;0.05,0,(E247/E235-1))</f>
        <v>-0.126314834965542</v>
      </c>
      <c r="AR247" s="57" t="n">
        <f aca="false">(E247/1.2)-57.95</f>
        <v>22.3416666666667</v>
      </c>
      <c r="AW247" s="181"/>
      <c r="BG247" s="181"/>
      <c r="BQ247" s="181"/>
    </row>
    <row r="248" customFormat="false" ht="12.75" hidden="false" customHeight="true" outlineLevel="0" collapsed="false">
      <c r="A248" s="156" t="n">
        <v>39873</v>
      </c>
      <c r="B248" s="73" t="n">
        <v>2009</v>
      </c>
      <c r="C248" s="157" t="s">
        <v>61</v>
      </c>
      <c r="D248" s="74"/>
      <c r="E248" s="159" t="n">
        <v>96.46</v>
      </c>
      <c r="F248" s="159" t="n">
        <v>90.05</v>
      </c>
      <c r="G248" s="159" t="n">
        <v>99.88</v>
      </c>
      <c r="H248" s="159" t="n">
        <v>31.78</v>
      </c>
      <c r="I248" s="159" t="n">
        <v>39.8</v>
      </c>
      <c r="J248" s="159"/>
      <c r="K248" s="159" t="n">
        <v>63.5885512764328</v>
      </c>
      <c r="L248" s="159"/>
      <c r="M248" s="160" t="n">
        <f aca="false">G248-F248</f>
        <v>9.83</v>
      </c>
      <c r="N248" s="75"/>
      <c r="O248" s="77" t="n">
        <v>111.251811352158</v>
      </c>
      <c r="P248" s="77" t="n">
        <v>174.326896391502</v>
      </c>
      <c r="Q248" s="74"/>
      <c r="R248" s="181"/>
      <c r="S248" s="163"/>
      <c r="T248" s="164"/>
      <c r="U248" s="165"/>
      <c r="V248" s="155"/>
      <c r="W248" s="163"/>
      <c r="X248" s="163"/>
      <c r="Y248" s="172"/>
      <c r="Z248" s="163"/>
      <c r="AA248" s="172"/>
      <c r="AB248" s="181"/>
      <c r="AC248" s="163"/>
      <c r="AD248" s="164"/>
      <c r="AE248" s="163"/>
      <c r="AF248" s="155"/>
      <c r="AG248" s="163"/>
      <c r="AH248" s="155"/>
      <c r="AI248" s="155"/>
      <c r="AJ248" s="155"/>
      <c r="AK248" s="173"/>
      <c r="AL248" s="181"/>
      <c r="AM248" s="63"/>
      <c r="AN248" s="57" t="n">
        <f aca="false">IF(ABS(E248-E247)&lt;0.05,0,E248-E247)</f>
        <v>0.109999999999999</v>
      </c>
      <c r="AO248" s="164" t="n">
        <f aca="false">IF((E248/E247-1)&lt;0.05,0,(E248/E247-1))</f>
        <v>0</v>
      </c>
      <c r="AP248" s="163" t="n">
        <f aca="false">IF(ABS(E248-E236)&lt;0.05,0,E248-E236)</f>
        <v>-16.59</v>
      </c>
      <c r="AQ248" s="164" t="n">
        <f aca="false">IF(ABS(E248/E236-1)&lt;0.05,0,(E248/E236-1))</f>
        <v>-0.146749226006192</v>
      </c>
      <c r="AR248" s="57" t="n">
        <f aca="false">(E248/1.2)-57.95</f>
        <v>22.4333333333333</v>
      </c>
      <c r="AW248" s="181"/>
      <c r="BG248" s="181"/>
      <c r="BQ248" s="181"/>
    </row>
    <row r="249" customFormat="false" ht="12.75" hidden="false" customHeight="true" outlineLevel="0" collapsed="false">
      <c r="A249" s="156" t="n">
        <v>39904</v>
      </c>
      <c r="B249" s="73" t="n">
        <v>2009</v>
      </c>
      <c r="C249" s="157" t="s">
        <v>62</v>
      </c>
      <c r="D249" s="74"/>
      <c r="E249" s="159" t="n">
        <v>99.45</v>
      </c>
      <c r="F249" s="159" t="n">
        <v>93.61</v>
      </c>
      <c r="G249" s="159" t="n">
        <v>101.93</v>
      </c>
      <c r="H249" s="159" t="n">
        <v>33.19</v>
      </c>
      <c r="I249" s="159" t="n">
        <v>41.59</v>
      </c>
      <c r="J249" s="159"/>
      <c r="K249" s="159" t="n">
        <v>66.3104460662698</v>
      </c>
      <c r="L249" s="159"/>
      <c r="M249" s="160" t="n">
        <f aca="false">G249-F249</f>
        <v>8.32000000000001</v>
      </c>
      <c r="N249" s="75"/>
      <c r="O249" s="77" t="n">
        <v>115.984851358142</v>
      </c>
      <c r="P249" s="77" t="n">
        <v>181.590076636284</v>
      </c>
      <c r="Q249" s="74"/>
      <c r="R249" s="181"/>
      <c r="S249" s="163"/>
      <c r="T249" s="164"/>
      <c r="U249" s="165"/>
      <c r="V249" s="155"/>
      <c r="W249" s="163"/>
      <c r="X249" s="163"/>
      <c r="Y249" s="172"/>
      <c r="Z249" s="163"/>
      <c r="AA249" s="172"/>
      <c r="AB249" s="181"/>
      <c r="AC249" s="163"/>
      <c r="AD249" s="164"/>
      <c r="AE249" s="163"/>
      <c r="AF249" s="155"/>
      <c r="AG249" s="163"/>
      <c r="AH249" s="155"/>
      <c r="AI249" s="155"/>
      <c r="AJ249" s="155"/>
      <c r="AK249" s="173"/>
      <c r="AL249" s="181"/>
      <c r="AM249" s="63"/>
      <c r="AN249" s="57" t="n">
        <f aca="false">IF(ABS(E249-E248)&lt;0.05,0,E249-E248)</f>
        <v>2.99000000000001</v>
      </c>
      <c r="AO249" s="164" t="n">
        <f aca="false">IF((E249/E248-1)&lt;0.05,0,(E249/E248-1))</f>
        <v>0</v>
      </c>
      <c r="AP249" s="163" t="n">
        <f aca="false">IF(ABS(E249-E237)&lt;0.05,0,E249-E237)</f>
        <v>-14.16</v>
      </c>
      <c r="AQ249" s="164" t="n">
        <f aca="false">IF(ABS(E249/E237-1)&lt;0.05,0,(E249/E237-1))</f>
        <v>-0.124636915764457</v>
      </c>
      <c r="AR249" s="57" t="n">
        <f aca="false">(E249/1.2)-57.95</f>
        <v>24.925</v>
      </c>
      <c r="AW249" s="181"/>
      <c r="BG249" s="181"/>
      <c r="BQ249" s="181"/>
    </row>
    <row r="250" customFormat="false" ht="12.75" hidden="false" customHeight="true" outlineLevel="0" collapsed="false">
      <c r="A250" s="156" t="n">
        <v>39934</v>
      </c>
      <c r="B250" s="73" t="n">
        <v>2009</v>
      </c>
      <c r="C250" s="157" t="s">
        <v>63</v>
      </c>
      <c r="D250" s="74"/>
      <c r="E250" s="159" t="n">
        <v>103.2</v>
      </c>
      <c r="F250" s="159" t="n">
        <v>96.98</v>
      </c>
      <c r="G250" s="159" t="n">
        <v>102.98</v>
      </c>
      <c r="H250" s="159" t="n">
        <v>34.49</v>
      </c>
      <c r="I250" s="159" t="n">
        <v>41.91</v>
      </c>
      <c r="J250" s="159"/>
      <c r="K250" s="159" t="n">
        <v>71.7698667664104</v>
      </c>
      <c r="L250" s="159"/>
      <c r="M250" s="160" t="n">
        <f aca="false">G250-F250</f>
        <v>6</v>
      </c>
      <c r="N250" s="75"/>
      <c r="O250" s="77" t="n">
        <v>125.667687076684</v>
      </c>
      <c r="P250" s="77" t="n">
        <v>197.454857061781</v>
      </c>
      <c r="Q250" s="74"/>
      <c r="R250" s="181"/>
      <c r="S250" s="163"/>
      <c r="T250" s="164"/>
      <c r="U250" s="165"/>
      <c r="V250" s="155"/>
      <c r="W250" s="163"/>
      <c r="X250" s="163"/>
      <c r="Y250" s="172"/>
      <c r="Z250" s="163"/>
      <c r="AA250" s="172"/>
      <c r="AB250" s="181"/>
      <c r="AC250" s="163"/>
      <c r="AD250" s="164"/>
      <c r="AE250" s="163"/>
      <c r="AF250" s="155"/>
      <c r="AG250" s="163"/>
      <c r="AH250" s="155"/>
      <c r="AI250" s="155"/>
      <c r="AJ250" s="155"/>
      <c r="AK250" s="173"/>
      <c r="AL250" s="181"/>
      <c r="AM250" s="63"/>
      <c r="AN250" s="57" t="n">
        <f aca="false">IF(ABS(E250-E249)&lt;0.05,0,E250-E249)</f>
        <v>3.75</v>
      </c>
      <c r="AO250" s="164" t="n">
        <f aca="false">IF((E250/E249-1)&lt;0.05,0,(E250/E249-1))</f>
        <v>0</v>
      </c>
      <c r="AP250" s="163" t="n">
        <f aca="false">IF(ABS(E250-E238)&lt;0.05,0,E250-E238)</f>
        <v>-14.67</v>
      </c>
      <c r="AQ250" s="164" t="n">
        <f aca="false">IF(ABS(E250/E238-1)&lt;0.05,0,(E250/E238-1))</f>
        <v>-0.124459149910919</v>
      </c>
      <c r="AR250" s="57" t="n">
        <f aca="false">(E250/1.2)-57.95</f>
        <v>28.05</v>
      </c>
      <c r="AW250" s="181"/>
      <c r="BG250" s="181"/>
      <c r="BQ250" s="181"/>
    </row>
    <row r="251" customFormat="false" ht="12.75" hidden="false" customHeight="true" outlineLevel="0" collapsed="false">
      <c r="A251" s="156" t="n">
        <v>39965</v>
      </c>
      <c r="B251" s="73" t="n">
        <v>2009</v>
      </c>
      <c r="C251" s="157" t="s">
        <v>64</v>
      </c>
      <c r="D251" s="74"/>
      <c r="E251" s="159" t="n">
        <v>107.97</v>
      </c>
      <c r="F251" s="159" t="n">
        <v>101.81</v>
      </c>
      <c r="G251" s="159" t="n">
        <v>104.33</v>
      </c>
      <c r="H251" s="159" t="n">
        <v>36.13</v>
      </c>
      <c r="I251" s="159" t="n">
        <v>43.35</v>
      </c>
      <c r="J251" s="159"/>
      <c r="K251" s="159" t="n">
        <v>79.7090592234316</v>
      </c>
      <c r="L251" s="159"/>
      <c r="M251" s="160" t="n">
        <f aca="false">G251-F251</f>
        <v>2.52</v>
      </c>
      <c r="N251" s="75"/>
      <c r="O251" s="77" t="n">
        <v>139.502548768234</v>
      </c>
      <c r="P251" s="77" t="n">
        <v>218.84284238632</v>
      </c>
      <c r="Q251" s="74"/>
      <c r="R251" s="181"/>
      <c r="S251" s="163"/>
      <c r="T251" s="164"/>
      <c r="U251" s="165"/>
      <c r="V251" s="155"/>
      <c r="W251" s="163"/>
      <c r="X251" s="163"/>
      <c r="Y251" s="172"/>
      <c r="Z251" s="163"/>
      <c r="AA251" s="172"/>
      <c r="AB251" s="181"/>
      <c r="AC251" s="163"/>
      <c r="AD251" s="164"/>
      <c r="AE251" s="163"/>
      <c r="AF251" s="155"/>
      <c r="AG251" s="163"/>
      <c r="AH251" s="155"/>
      <c r="AI251" s="155"/>
      <c r="AJ251" s="155"/>
      <c r="AK251" s="173"/>
      <c r="AL251" s="181"/>
      <c r="AM251" s="63"/>
      <c r="AN251" s="57" t="n">
        <f aca="false">IF(ABS(E251-E250)&lt;0.05,0,E251-E250)</f>
        <v>4.77</v>
      </c>
      <c r="AO251" s="164" t="n">
        <f aca="false">IF((E251/E250-1)&lt;0.05,0,(E251/E250-1))</f>
        <v>0</v>
      </c>
      <c r="AP251" s="163" t="n">
        <f aca="false">IF(ABS(E251-E239)&lt;0.05,0,E251-E239)</f>
        <v>-15.44</v>
      </c>
      <c r="AQ251" s="164" t="n">
        <f aca="false">IF(ABS(E251/E239-1)&lt;0.05,0,(E251/E239-1))</f>
        <v>-0.125111417227129</v>
      </c>
      <c r="AR251" s="57" t="n">
        <f aca="false">(E251/1.2)-57.95</f>
        <v>32.025</v>
      </c>
      <c r="AW251" s="181"/>
      <c r="BG251" s="181"/>
      <c r="BQ251" s="181"/>
    </row>
    <row r="252" customFormat="false" ht="12.75" hidden="false" customHeight="true" outlineLevel="0" collapsed="false">
      <c r="A252" s="156" t="n">
        <v>39995</v>
      </c>
      <c r="B252" s="73" t="n">
        <v>2009</v>
      </c>
      <c r="C252" s="157" t="s">
        <v>65</v>
      </c>
      <c r="D252" s="74"/>
      <c r="E252" s="159" t="n">
        <v>108.84</v>
      </c>
      <c r="F252" s="159" t="n">
        <v>102.65</v>
      </c>
      <c r="G252" s="159" t="n">
        <v>103.85</v>
      </c>
      <c r="H252" s="159" t="n">
        <v>35.99</v>
      </c>
      <c r="I252" s="159" t="n">
        <v>43.11</v>
      </c>
      <c r="J252" s="159"/>
      <c r="K252" s="159" t="n">
        <v>77.4088498021563</v>
      </c>
      <c r="L252" s="159"/>
      <c r="M252" s="160" t="n">
        <f aca="false">G252-F252</f>
        <v>1.19999999999999</v>
      </c>
      <c r="N252" s="75"/>
      <c r="O252" s="77" t="n">
        <v>135.431959615438</v>
      </c>
      <c r="P252" s="77" t="n">
        <v>212.2</v>
      </c>
      <c r="Q252" s="74"/>
      <c r="R252" s="181"/>
      <c r="S252" s="163"/>
      <c r="T252" s="164"/>
      <c r="U252" s="165"/>
      <c r="V252" s="155"/>
      <c r="W252" s="163"/>
      <c r="X252" s="163"/>
      <c r="Y252" s="172"/>
      <c r="Z252" s="163"/>
      <c r="AA252" s="172"/>
      <c r="AB252" s="181"/>
      <c r="AC252" s="163"/>
      <c r="AD252" s="164"/>
      <c r="AE252" s="163"/>
      <c r="AF252" s="155"/>
      <c r="AG252" s="163"/>
      <c r="AH252" s="155"/>
      <c r="AI252" s="155"/>
      <c r="AJ252" s="155"/>
      <c r="AK252" s="173"/>
      <c r="AL252" s="181"/>
      <c r="AM252" s="63"/>
      <c r="AN252" s="57" t="n">
        <f aca="false">IF(ABS(E252-E251)&lt;0.05,0,E252-E251)</f>
        <v>0.870000000000005</v>
      </c>
      <c r="AO252" s="164" t="n">
        <f aca="false">IF((E252/E251-1)&lt;0.05,0,(E252/E251-1))</f>
        <v>0</v>
      </c>
      <c r="AP252" s="163" t="n">
        <f aca="false">IF(ABS(E252-E240)&lt;0.05,0,E252-E240)</f>
        <v>-17.2</v>
      </c>
      <c r="AQ252" s="164" t="n">
        <f aca="false">IF(ABS(E252/E240-1)&lt;0.05,0,(E252/E240-1))</f>
        <v>-0.136464614408124</v>
      </c>
      <c r="AR252" s="57" t="n">
        <f aca="false">(E252/1.2)-57.95</f>
        <v>32.75</v>
      </c>
      <c r="AW252" s="181"/>
      <c r="BG252" s="181"/>
      <c r="BQ252" s="181"/>
    </row>
    <row r="253" customFormat="false" ht="12.75" hidden="false" customHeight="true" outlineLevel="0" collapsed="false">
      <c r="A253" s="156" t="n">
        <v>40026</v>
      </c>
      <c r="B253" s="73" t="n">
        <v>2009</v>
      </c>
      <c r="C253" s="157" t="s">
        <v>66</v>
      </c>
      <c r="D253" s="74"/>
      <c r="E253" s="159" t="n">
        <v>110.06</v>
      </c>
      <c r="F253" s="159" t="n">
        <v>103.78</v>
      </c>
      <c r="G253" s="159" t="n">
        <v>104.27</v>
      </c>
      <c r="H253" s="159" t="n">
        <v>37.06</v>
      </c>
      <c r="I253" s="159" t="n">
        <v>44.84</v>
      </c>
      <c r="J253" s="159"/>
      <c r="K253" s="159" t="n">
        <v>84.9869658274281</v>
      </c>
      <c r="L253" s="159"/>
      <c r="M253" s="160" t="n">
        <f aca="false">G253-F253</f>
        <v>0.489999999999995</v>
      </c>
      <c r="N253" s="75"/>
      <c r="O253" s="77" t="n">
        <v>148.729174239115</v>
      </c>
      <c r="P253" s="77" t="n">
        <v>233.261219399327</v>
      </c>
      <c r="Q253" s="74"/>
      <c r="R253" s="162"/>
      <c r="S253" s="163"/>
      <c r="T253" s="164"/>
      <c r="U253" s="165"/>
      <c r="V253" s="155"/>
      <c r="W253" s="163"/>
      <c r="X253" s="163"/>
      <c r="Y253" s="172"/>
      <c r="Z253" s="163"/>
      <c r="AA253" s="172"/>
      <c r="AB253" s="162"/>
      <c r="AC253" s="163"/>
      <c r="AD253" s="164"/>
      <c r="AE253" s="163"/>
      <c r="AF253" s="155"/>
      <c r="AG253" s="163"/>
      <c r="AH253" s="155"/>
      <c r="AI253" s="155"/>
      <c r="AJ253" s="155"/>
      <c r="AK253" s="173"/>
      <c r="AL253" s="162"/>
      <c r="AM253" s="37"/>
      <c r="AN253" s="57" t="n">
        <f aca="false">IF(ABS(E253-E252)&lt;0.05,0,E253-E252)</f>
        <v>1.22</v>
      </c>
      <c r="AO253" s="164" t="n">
        <f aca="false">IF((E253/E252-1)&lt;0.05,0,(E253/E252-1))</f>
        <v>0</v>
      </c>
      <c r="AP253" s="163" t="n">
        <f aca="false">IF(ABS(E253-E241)&lt;0.05,0,E253-E241)</f>
        <v>-8.12000000000001</v>
      </c>
      <c r="AQ253" s="164" t="n">
        <f aca="false">IF(ABS(E253/E241-1)&lt;0.05,0,(E253/E241-1))</f>
        <v>-0.0687087493653749</v>
      </c>
      <c r="AR253" s="57" t="n">
        <f aca="false">(E253/1.2)-57.95</f>
        <v>33.7666666666667</v>
      </c>
      <c r="AW253" s="162"/>
      <c r="BG253" s="162"/>
      <c r="BQ253" s="162"/>
    </row>
    <row r="254" customFormat="false" ht="12.75" hidden="false" customHeight="true" outlineLevel="0" collapsed="false">
      <c r="A254" s="156" t="n">
        <v>40057</v>
      </c>
      <c r="B254" s="73" t="n">
        <v>2009</v>
      </c>
      <c r="C254" s="157" t="s">
        <v>67</v>
      </c>
      <c r="D254" s="74"/>
      <c r="E254" s="159" t="n">
        <v>112.41</v>
      </c>
      <c r="F254" s="159" t="n">
        <v>105.89</v>
      </c>
      <c r="G254" s="159" t="n">
        <v>106.58</v>
      </c>
      <c r="H254" s="159" t="n">
        <v>37.4</v>
      </c>
      <c r="I254" s="159" t="n">
        <v>45.04</v>
      </c>
      <c r="J254" s="159"/>
      <c r="K254" s="159" t="n">
        <v>81.0341345534594</v>
      </c>
      <c r="L254" s="159"/>
      <c r="M254" s="160" t="n">
        <f aca="false">G254-F254</f>
        <v>0.689999999999998</v>
      </c>
      <c r="N254" s="75"/>
      <c r="O254" s="77" t="n">
        <v>141.725819574549</v>
      </c>
      <c r="P254" s="77" t="n">
        <v>221.825068498641</v>
      </c>
      <c r="Q254" s="74"/>
      <c r="R254" s="162"/>
      <c r="S254" s="163"/>
      <c r="T254" s="164"/>
      <c r="U254" s="165"/>
      <c r="V254" s="155"/>
      <c r="W254" s="163"/>
      <c r="X254" s="163"/>
      <c r="Y254" s="172"/>
      <c r="Z254" s="163"/>
      <c r="AA254" s="172"/>
      <c r="AB254" s="162"/>
      <c r="AC254" s="163"/>
      <c r="AD254" s="164"/>
      <c r="AE254" s="163"/>
      <c r="AF254" s="155"/>
      <c r="AG254" s="163"/>
      <c r="AH254" s="155"/>
      <c r="AI254" s="155"/>
      <c r="AJ254" s="155"/>
      <c r="AK254" s="173"/>
      <c r="AL254" s="162"/>
      <c r="AM254" s="37"/>
      <c r="AN254" s="57" t="n">
        <f aca="false">IF(ABS(E254-E253)&lt;0.05,0,E254-E253)</f>
        <v>2.34999999999999</v>
      </c>
      <c r="AO254" s="164" t="n">
        <f aca="false">IF((E254/E253-1)&lt;0.05,0,(E254/E253-1))</f>
        <v>0</v>
      </c>
      <c r="AP254" s="163" t="n">
        <f aca="false">IF(ABS(E254-E242)&lt;0.05,0,E254-E242)</f>
        <v>-6.27000000000001</v>
      </c>
      <c r="AQ254" s="164" t="n">
        <f aca="false">IF(ABS(E254/E242-1)&lt;0.05,0,(E254/E242-1))</f>
        <v>-0.0528311425682508</v>
      </c>
      <c r="AR254" s="57" t="n">
        <f aca="false">(E254/1.2)-57.95</f>
        <v>35.725</v>
      </c>
      <c r="AW254" s="162"/>
      <c r="BG254" s="162"/>
      <c r="BQ254" s="162"/>
    </row>
    <row r="255" customFormat="false" ht="12.75" hidden="false" customHeight="true" outlineLevel="0" collapsed="false">
      <c r="A255" s="156" t="n">
        <v>40087</v>
      </c>
      <c r="B255" s="73" t="n">
        <v>2009</v>
      </c>
      <c r="C255" s="157" t="s">
        <v>68</v>
      </c>
      <c r="D255" s="74"/>
      <c r="E255" s="159" t="n">
        <v>110.9</v>
      </c>
      <c r="F255" s="159" t="n">
        <v>104.54</v>
      </c>
      <c r="G255" s="159" t="n">
        <v>105.54</v>
      </c>
      <c r="H255" s="159" t="n">
        <v>37.96</v>
      </c>
      <c r="I255" s="159" t="n">
        <v>46.19</v>
      </c>
      <c r="J255" s="159"/>
      <c r="K255" s="159" t="n">
        <v>87.0941101774049</v>
      </c>
      <c r="L255" s="159"/>
      <c r="M255" s="160" t="n">
        <f aca="false">G255-F255</f>
        <v>1</v>
      </c>
      <c r="N255" s="75"/>
      <c r="O255" s="77" t="n">
        <v>152.426698541589</v>
      </c>
      <c r="P255" s="77" t="n">
        <v>239.112849081971</v>
      </c>
      <c r="Q255" s="74"/>
      <c r="R255" s="162"/>
      <c r="S255" s="163"/>
      <c r="T255" s="164"/>
      <c r="U255" s="165"/>
      <c r="V255" s="155"/>
      <c r="W255" s="163"/>
      <c r="X255" s="163"/>
      <c r="Y255" s="172"/>
      <c r="Z255" s="163"/>
      <c r="AA255" s="172"/>
      <c r="AB255" s="162"/>
      <c r="AC255" s="163"/>
      <c r="AD255" s="164"/>
      <c r="AE255" s="163"/>
      <c r="AF255" s="155"/>
      <c r="AG255" s="163"/>
      <c r="AH255" s="155"/>
      <c r="AI255" s="155"/>
      <c r="AJ255" s="155"/>
      <c r="AK255" s="173"/>
      <c r="AL255" s="162"/>
      <c r="AM255" s="37"/>
      <c r="AN255" s="57" t="n">
        <f aca="false">IF(ABS(E255-E254)&lt;0.05,0,E255-E254)</f>
        <v>-1.50999999999999</v>
      </c>
      <c r="AO255" s="164" t="n">
        <f aca="false">IF((E255/E254-1)&lt;0.05,0,(E255/E254-1))</f>
        <v>0</v>
      </c>
      <c r="AP255" s="163" t="n">
        <f aca="false">IF(ABS(E255-E243)&lt;0.05,0,E255-E243)</f>
        <v>-2.14</v>
      </c>
      <c r="AQ255" s="164" t="n">
        <f aca="false">IF(ABS(E255/E243-1)&lt;0.05,0,(E255/E243-1))</f>
        <v>0</v>
      </c>
      <c r="AR255" s="57" t="n">
        <f aca="false">(E255/1.2)-57.95</f>
        <v>34.4666666666667</v>
      </c>
      <c r="AW255" s="162"/>
      <c r="BG255" s="162"/>
      <c r="BQ255" s="162"/>
    </row>
    <row r="256" customFormat="false" ht="12.75" hidden="false" customHeight="true" outlineLevel="0" collapsed="false">
      <c r="A256" s="156" t="n">
        <v>40118</v>
      </c>
      <c r="B256" s="73" t="n">
        <v>2009</v>
      </c>
      <c r="C256" s="157" t="s">
        <v>69</v>
      </c>
      <c r="D256" s="74"/>
      <c r="E256" s="159" t="n">
        <v>114.841567260048</v>
      </c>
      <c r="F256" s="159" t="n">
        <v>108.272572</v>
      </c>
      <c r="G256" s="159" t="n">
        <v>109.455838990242</v>
      </c>
      <c r="H256" s="159" t="n">
        <v>39.7716617803838</v>
      </c>
      <c r="I256" s="159" t="n">
        <v>48.1904347355899</v>
      </c>
      <c r="J256" s="159"/>
      <c r="K256" s="159" t="n">
        <v>89.9199588631813</v>
      </c>
      <c r="L256" s="159"/>
      <c r="M256" s="160" t="n">
        <f aca="false">G256-F256</f>
        <v>1.18326699024185</v>
      </c>
      <c r="N256" s="75"/>
      <c r="O256" s="77" t="n">
        <v>157.326861261053</v>
      </c>
      <c r="P256" s="77" t="n">
        <v>246.560121924629</v>
      </c>
      <c r="Q256" s="74"/>
      <c r="R256" s="162"/>
      <c r="S256" s="163"/>
      <c r="T256" s="164"/>
      <c r="U256" s="165"/>
      <c r="V256" s="155"/>
      <c r="W256" s="163"/>
      <c r="X256" s="163"/>
      <c r="Y256" s="172"/>
      <c r="Z256" s="163"/>
      <c r="AA256" s="172"/>
      <c r="AB256" s="162"/>
      <c r="AC256" s="163"/>
      <c r="AD256" s="164"/>
      <c r="AE256" s="163"/>
      <c r="AF256" s="155"/>
      <c r="AG256" s="163"/>
      <c r="AH256" s="155"/>
      <c r="AI256" s="155"/>
      <c r="AJ256" s="155"/>
      <c r="AK256" s="173"/>
      <c r="AL256" s="162"/>
      <c r="AM256" s="37"/>
      <c r="AN256" s="57" t="n">
        <f aca="false">IF(ABS(E256-E255)&lt;0.05,0,E256-E255)</f>
        <v>3.94156726004768</v>
      </c>
      <c r="AO256" s="164" t="n">
        <f aca="false">IF((E256/E255-1)&lt;0.05,0,(E256/E255-1))</f>
        <v>0</v>
      </c>
      <c r="AP256" s="163" t="n">
        <f aca="false">IF(ABS(E256-E244)&lt;0.05,0,E256-E244)</f>
        <v>13.6615672600477</v>
      </c>
      <c r="AQ256" s="164" t="n">
        <f aca="false">IF(ABS(E256/E244-1)&lt;0.05,0,(E256/E244-1))</f>
        <v>0.135022408183907</v>
      </c>
      <c r="AR256" s="57" t="n">
        <f aca="false">(E256/1.2)-57.95</f>
        <v>37.7513060500397</v>
      </c>
      <c r="AW256" s="162"/>
      <c r="BG256" s="162"/>
      <c r="BQ256" s="162"/>
    </row>
    <row r="257" customFormat="false" ht="12.75" hidden="false" customHeight="true" outlineLevel="0" collapsed="false">
      <c r="A257" s="156" t="n">
        <v>40148</v>
      </c>
      <c r="B257" s="73" t="n">
        <v>2009</v>
      </c>
      <c r="C257" s="157" t="s">
        <v>70</v>
      </c>
      <c r="D257" s="74"/>
      <c r="E257" s="159" t="n">
        <v>114.757961093779</v>
      </c>
      <c r="F257" s="159" t="n">
        <v>108.17245</v>
      </c>
      <c r="G257" s="159" t="n">
        <v>109.343296563428</v>
      </c>
      <c r="H257" s="159" t="n">
        <v>40.0509368336887</v>
      </c>
      <c r="I257" s="159" t="n">
        <v>48.4158559532821</v>
      </c>
      <c r="J257" s="159"/>
      <c r="K257" s="159" t="n">
        <v>89.0309170868363</v>
      </c>
      <c r="L257" s="159"/>
      <c r="M257" s="160" t="n">
        <f aca="false">G257-F257</f>
        <v>1.17084656342806</v>
      </c>
      <c r="N257" s="75"/>
      <c r="O257" s="77" t="n">
        <v>155.801510721656</v>
      </c>
      <c r="P257" s="77" t="n">
        <v>244.32857202723</v>
      </c>
      <c r="Q257" s="74"/>
      <c r="R257" s="162"/>
      <c r="S257" s="163"/>
      <c r="T257" s="164"/>
      <c r="U257" s="165"/>
      <c r="V257" s="155"/>
      <c r="W257" s="163"/>
      <c r="X257" s="163"/>
      <c r="Y257" s="172"/>
      <c r="Z257" s="163"/>
      <c r="AA257" s="172"/>
      <c r="AB257" s="162"/>
      <c r="AC257" s="163"/>
      <c r="AD257" s="164"/>
      <c r="AE257" s="163"/>
      <c r="AF257" s="155"/>
      <c r="AG257" s="163"/>
      <c r="AH257" s="155"/>
      <c r="AI257" s="155"/>
      <c r="AJ257" s="155"/>
      <c r="AK257" s="173"/>
      <c r="AL257" s="162"/>
      <c r="AM257" s="37"/>
      <c r="AN257" s="57" t="n">
        <f aca="false">IF(ABS(E257-E256)&lt;0.05,0,E257-E256)</f>
        <v>-0.0836061662690355</v>
      </c>
      <c r="AO257" s="164" t="n">
        <f aca="false">IF((E257/E256-1)&lt;0.05,0,(E257/E256-1))</f>
        <v>0</v>
      </c>
      <c r="AP257" s="163" t="n">
        <f aca="false">IF(ABS(E257-E245)&lt;0.05,0,E257-E245)</f>
        <v>19.0579610937786</v>
      </c>
      <c r="AQ257" s="164" t="n">
        <f aca="false">IF(ABS(E257/E245-1)&lt;0.05,0,(E257/E245-1))</f>
        <v>0.199142749151292</v>
      </c>
      <c r="AR257" s="57" t="n">
        <f aca="false">(E257/1.2)-57.95</f>
        <v>37.6816342448155</v>
      </c>
      <c r="AW257" s="162"/>
      <c r="BG257" s="162"/>
      <c r="BQ257" s="162"/>
    </row>
    <row r="258" customFormat="false" ht="12.75" hidden="false" customHeight="true" outlineLevel="0" collapsed="false">
      <c r="A258" s="156" t="n">
        <v>40179</v>
      </c>
      <c r="B258" s="73" t="n">
        <v>2010</v>
      </c>
      <c r="C258" s="157" t="s">
        <v>59</v>
      </c>
      <c r="D258" s="74"/>
      <c r="E258" s="159" t="n">
        <v>118.529274734791</v>
      </c>
      <c r="F258" s="159" t="n">
        <v>111.488838</v>
      </c>
      <c r="G258" s="159" t="n">
        <v>113.311004454815</v>
      </c>
      <c r="H258" s="159" t="n">
        <v>42.4901958955224</v>
      </c>
      <c r="I258" s="159" t="n">
        <v>50.6394354925922</v>
      </c>
      <c r="J258" s="159"/>
      <c r="K258" s="159" t="n">
        <v>91.8704366732777</v>
      </c>
      <c r="L258" s="159"/>
      <c r="M258" s="160" t="n">
        <f aca="false">G258-F258</f>
        <v>1.82216645481543</v>
      </c>
      <c r="N258" s="176"/>
      <c r="O258" s="77" t="n">
        <v>160.727089889983</v>
      </c>
      <c r="P258" s="77" t="n">
        <v>257.450419229581</v>
      </c>
      <c r="Q258" s="74"/>
      <c r="R258" s="162"/>
      <c r="S258" s="163"/>
      <c r="T258" s="164"/>
      <c r="U258" s="165"/>
      <c r="V258" s="155"/>
      <c r="W258" s="163"/>
      <c r="X258" s="163"/>
      <c r="Y258" s="172"/>
      <c r="Z258" s="163"/>
      <c r="AA258" s="172"/>
      <c r="AB258" s="162"/>
      <c r="AC258" s="163"/>
      <c r="AD258" s="164"/>
      <c r="AE258" s="163"/>
      <c r="AF258" s="155"/>
      <c r="AG258" s="163"/>
      <c r="AH258" s="155"/>
      <c r="AI258" s="155"/>
      <c r="AJ258" s="155"/>
      <c r="AK258" s="173"/>
      <c r="AL258" s="162"/>
      <c r="AM258" s="37"/>
      <c r="AN258" s="57" t="n">
        <f aca="false">IF(ABS(E258-E257)&lt;0.05,0,E258-E257)</f>
        <v>3.77131364101246</v>
      </c>
      <c r="AO258" s="164" t="n">
        <f aca="false">IF((E258/E257-1)&lt;0.05,0,(E258/E257-1))</f>
        <v>0</v>
      </c>
      <c r="AP258" s="163" t="n">
        <f aca="false">IF(ABS(E258-E246)&lt;0.05,0,E258-E246)</f>
        <v>25.2292747347911</v>
      </c>
      <c r="AQ258" s="164" t="n">
        <f aca="false">IF(ABS(E258/E246-1)&lt;0.05,0,(E258/E246-1))</f>
        <v>0.27041023295596</v>
      </c>
      <c r="AR258" s="57" t="n">
        <f aca="false">(E258/1.2)-57.95</f>
        <v>40.8243956123259</v>
      </c>
      <c r="AW258" s="162"/>
      <c r="BG258" s="162"/>
      <c r="BQ258" s="162"/>
    </row>
    <row r="259" customFormat="false" ht="12.75" hidden="false" customHeight="true" outlineLevel="0" collapsed="false">
      <c r="A259" s="156" t="n">
        <v>40210</v>
      </c>
      <c r="B259" s="73" t="n">
        <v>2010</v>
      </c>
      <c r="C259" s="157" t="s">
        <v>60</v>
      </c>
      <c r="D259" s="74"/>
      <c r="E259" s="159" t="n">
        <v>118.528491015371</v>
      </c>
      <c r="F259" s="159" t="n">
        <v>111.645945</v>
      </c>
      <c r="G259" s="159" t="n">
        <v>113.384981968604</v>
      </c>
      <c r="H259" s="159" t="n">
        <v>43.1983208955224</v>
      </c>
      <c r="I259" s="159" t="n">
        <v>50.045117335352</v>
      </c>
      <c r="J259" s="159"/>
      <c r="K259" s="159" t="n">
        <v>92.7396305480752</v>
      </c>
      <c r="L259" s="159"/>
      <c r="M259" s="160" t="n">
        <f aca="false">G259-F259</f>
        <v>1.73903696860417</v>
      </c>
      <c r="N259" s="176"/>
      <c r="O259" s="77" t="n">
        <v>162.241241715613</v>
      </c>
      <c r="P259" s="74"/>
      <c r="Q259" s="74"/>
      <c r="R259" s="162"/>
      <c r="S259" s="163"/>
      <c r="T259" s="164"/>
      <c r="U259" s="165"/>
      <c r="V259" s="155"/>
      <c r="W259" s="163"/>
      <c r="X259" s="163"/>
      <c r="Y259" s="172"/>
      <c r="Z259" s="163"/>
      <c r="AA259" s="172"/>
      <c r="AB259" s="162"/>
      <c r="AC259" s="163"/>
      <c r="AD259" s="164"/>
      <c r="AE259" s="163"/>
      <c r="AF259" s="155"/>
      <c r="AG259" s="163"/>
      <c r="AH259" s="155"/>
      <c r="AI259" s="155"/>
      <c r="AJ259" s="155"/>
      <c r="AK259" s="173"/>
      <c r="AL259" s="162"/>
      <c r="AM259" s="37"/>
      <c r="AN259" s="57" t="n">
        <f aca="false">IF(ABS(E259-E258)&lt;0.05,0,E259-E258)</f>
        <v>0</v>
      </c>
      <c r="AO259" s="164" t="n">
        <f aca="false">IF((E259/E258-1)&lt;0.05,0,(E259/E258-1))</f>
        <v>0</v>
      </c>
      <c r="AP259" s="163" t="n">
        <f aca="false">IF(ABS(E259-E247)&lt;0.05,0,E259-E247)</f>
        <v>22.1784910153713</v>
      </c>
      <c r="AQ259" s="164" t="n">
        <f aca="false">IF(ABS(E259/E247-1)&lt;0.05,0,(E259/E247-1))</f>
        <v>0.230186725639557</v>
      </c>
      <c r="AR259" s="57" t="n">
        <f aca="false">(E259/1.2)-57.95</f>
        <v>40.8237425128094</v>
      </c>
      <c r="AW259" s="162"/>
      <c r="BG259" s="162"/>
      <c r="BQ259" s="162"/>
    </row>
    <row r="260" customFormat="false" ht="12.75" hidden="false" customHeight="true" outlineLevel="0" collapsed="false">
      <c r="A260" s="156" t="n">
        <v>40238</v>
      </c>
      <c r="B260" s="73" t="n">
        <v>2010</v>
      </c>
      <c r="C260" s="157" t="s">
        <v>61</v>
      </c>
      <c r="D260" s="74"/>
      <c r="E260" s="159" t="n">
        <v>121.870837843689</v>
      </c>
      <c r="F260" s="159" t="n">
        <v>115.468758</v>
      </c>
      <c r="G260" s="159" t="n">
        <v>116.204581035214</v>
      </c>
      <c r="H260" s="159" t="n">
        <v>45.1176399253731</v>
      </c>
      <c r="I260" s="159" t="n">
        <v>52.5018189683141</v>
      </c>
      <c r="J260" s="159"/>
      <c r="K260" s="159" t="n">
        <v>101.866784898535</v>
      </c>
      <c r="L260" s="159"/>
      <c r="M260" s="160" t="n">
        <f aca="false">G260-F260</f>
        <v>0.735823035214281</v>
      </c>
      <c r="N260" s="179"/>
      <c r="O260" s="77" t="n">
        <v>178.220820303109</v>
      </c>
      <c r="P260" s="74"/>
      <c r="Q260" s="74"/>
      <c r="R260" s="162"/>
      <c r="S260" s="163"/>
      <c r="T260" s="164"/>
      <c r="U260" s="165"/>
      <c r="V260" s="155"/>
      <c r="W260" s="163"/>
      <c r="X260" s="163"/>
      <c r="Y260" s="172"/>
      <c r="Z260" s="163"/>
      <c r="AA260" s="172"/>
      <c r="AB260" s="162"/>
      <c r="AC260" s="163"/>
      <c r="AD260" s="164"/>
      <c r="AE260" s="163"/>
      <c r="AF260" s="155"/>
      <c r="AG260" s="163"/>
      <c r="AH260" s="155"/>
      <c r="AI260" s="155"/>
      <c r="AJ260" s="155"/>
      <c r="AK260" s="173"/>
      <c r="AL260" s="162"/>
      <c r="AM260" s="37"/>
      <c r="AN260" s="57" t="n">
        <f aca="false">IF(ABS(E260-E259)&lt;0.05,0,E260-E259)</f>
        <v>3.34234682831783</v>
      </c>
      <c r="AO260" s="164" t="n">
        <f aca="false">IF((E260/E259-1)&lt;0.05,0,(E260/E259-1))</f>
        <v>0</v>
      </c>
      <c r="AP260" s="163" t="n">
        <f aca="false">IF(ABS(E260-E248)&lt;0.05,0,E260-E248)</f>
        <v>25.4108378436891</v>
      </c>
      <c r="AQ260" s="164" t="n">
        <f aca="false">IF(ABS(E260/E248-1)&lt;0.05,0,(E260/E248-1))</f>
        <v>0.263433939909695</v>
      </c>
      <c r="AR260" s="57" t="n">
        <f aca="false">(E260/1.2)-57.95</f>
        <v>43.6090315364076</v>
      </c>
      <c r="AW260" s="162"/>
      <c r="BG260" s="162"/>
      <c r="BQ260" s="162"/>
    </row>
    <row r="261" customFormat="false" ht="12.75" hidden="false" customHeight="true" outlineLevel="0" collapsed="false">
      <c r="A261" s="156" t="n">
        <v>40269</v>
      </c>
      <c r="B261" s="73" t="n">
        <v>2010</v>
      </c>
      <c r="C261" s="157" t="s">
        <v>62</v>
      </c>
      <c r="D261" s="74"/>
      <c r="E261" s="159" t="n">
        <v>126.097809049578</v>
      </c>
      <c r="F261" s="159" t="n">
        <v>119.802992</v>
      </c>
      <c r="G261" s="159" t="n">
        <v>120.985505939754</v>
      </c>
      <c r="H261" s="159" t="n">
        <v>46.682493336887</v>
      </c>
      <c r="I261" s="159" t="n">
        <v>55.1552514328972</v>
      </c>
      <c r="J261" s="159"/>
      <c r="K261" s="159" t="n">
        <v>106.525606743102</v>
      </c>
      <c r="L261" s="159"/>
      <c r="M261" s="160" t="n">
        <f aca="false">G261-F261</f>
        <v>1.18251393975393</v>
      </c>
      <c r="N261" s="179"/>
      <c r="O261" s="77" t="n">
        <v>186.4096376359</v>
      </c>
      <c r="P261" s="74"/>
      <c r="Q261" s="74"/>
      <c r="R261" s="162"/>
      <c r="S261" s="163"/>
      <c r="T261" s="164"/>
      <c r="U261" s="165"/>
      <c r="V261" s="155"/>
      <c r="W261" s="163"/>
      <c r="X261" s="163"/>
      <c r="Y261" s="172"/>
      <c r="Z261" s="163"/>
      <c r="AA261" s="172"/>
      <c r="AB261" s="162"/>
      <c r="AC261" s="163"/>
      <c r="AD261" s="164"/>
      <c r="AE261" s="163"/>
      <c r="AF261" s="155"/>
      <c r="AG261" s="163"/>
      <c r="AH261" s="155"/>
      <c r="AI261" s="155"/>
      <c r="AJ261" s="155"/>
      <c r="AK261" s="173"/>
      <c r="AL261" s="162"/>
      <c r="AM261" s="37"/>
      <c r="AN261" s="57" t="n">
        <f aca="false">IF(ABS(E261-E260)&lt;0.05,0,E261-E260)</f>
        <v>4.22697120588873</v>
      </c>
      <c r="AO261" s="164" t="n">
        <f aca="false">IF((E261/E260-1)&lt;0.05,0,(E261/E260-1))</f>
        <v>0</v>
      </c>
      <c r="AP261" s="163" t="n">
        <f aca="false">IF(ABS(E261-E249)&lt;0.05,0,E261-E249)</f>
        <v>26.6478090495779</v>
      </c>
      <c r="AQ261" s="164" t="n">
        <f aca="false">IF(ABS(E261/E249-1)&lt;0.05,0,(E261/E249-1))</f>
        <v>0.267951825536228</v>
      </c>
      <c r="AR261" s="57" t="n">
        <f aca="false">(E261/1.2)-57.95</f>
        <v>47.1315075413149</v>
      </c>
      <c r="AW261" s="162"/>
      <c r="BG261" s="162"/>
      <c r="BQ261" s="162"/>
    </row>
    <row r="262" customFormat="false" ht="12.75" hidden="false" customHeight="true" outlineLevel="0" collapsed="false">
      <c r="A262" s="156" t="n">
        <v>40299</v>
      </c>
      <c r="B262" s="73" t="n">
        <v>2010</v>
      </c>
      <c r="C262" s="157" t="s">
        <v>63</v>
      </c>
      <c r="D262" s="74"/>
      <c r="E262" s="159" t="n">
        <v>127.080878978134</v>
      </c>
      <c r="F262" s="159" t="n">
        <v>121.179187</v>
      </c>
      <c r="G262" s="159" t="n">
        <v>122.753720831566</v>
      </c>
      <c r="H262" s="159" t="n">
        <v>47.413579424307</v>
      </c>
      <c r="I262" s="159" t="n">
        <v>56.4289131610252</v>
      </c>
      <c r="J262" s="159"/>
      <c r="K262" s="159" t="n">
        <v>99.5840317361957</v>
      </c>
      <c r="L262" s="159"/>
      <c r="M262" s="160" t="n">
        <f aca="false">G262-F262</f>
        <v>1.57453383156555</v>
      </c>
      <c r="N262" s="75"/>
      <c r="O262" s="77" t="n">
        <v>174.209309013261</v>
      </c>
      <c r="P262" s="74"/>
      <c r="Q262" s="74"/>
      <c r="R262" s="162"/>
      <c r="S262" s="163"/>
      <c r="T262" s="164"/>
      <c r="U262" s="165"/>
      <c r="V262" s="155"/>
      <c r="W262" s="163"/>
      <c r="X262" s="163"/>
      <c r="Y262" s="172"/>
      <c r="Z262" s="163"/>
      <c r="AA262" s="172"/>
      <c r="AB262" s="162"/>
      <c r="AC262" s="163"/>
      <c r="AD262" s="164"/>
      <c r="AE262" s="163"/>
      <c r="AF262" s="155"/>
      <c r="AG262" s="163"/>
      <c r="AH262" s="155"/>
      <c r="AI262" s="155"/>
      <c r="AJ262" s="155"/>
      <c r="AK262" s="173"/>
      <c r="AL262" s="162"/>
      <c r="AM262" s="37"/>
      <c r="AN262" s="57" t="n">
        <f aca="false">IF(ABS(E262-E261)&lt;0.05,0,E262-E261)</f>
        <v>0.983069928555935</v>
      </c>
      <c r="AO262" s="164" t="n">
        <f aca="false">IF((E262/E261-1)&lt;0.05,0,(E262/E261-1))</f>
        <v>0</v>
      </c>
      <c r="AP262" s="163" t="n">
        <f aca="false">IF(ABS(E262-E250)&lt;0.05,0,E262-E250)</f>
        <v>23.8808789781338</v>
      </c>
      <c r="AQ262" s="164" t="n">
        <f aca="false">IF(ABS(E262/E250-1)&lt;0.05,0,(E262/E250-1))</f>
        <v>0.231403866067188</v>
      </c>
      <c r="AR262" s="57" t="n">
        <f aca="false">(E262/1.2)-57.95</f>
        <v>47.9507324817782</v>
      </c>
      <c r="AW262" s="162"/>
      <c r="BG262" s="162"/>
      <c r="BQ262" s="162"/>
    </row>
    <row r="263" customFormat="false" ht="12.75" hidden="false" customHeight="true" outlineLevel="0" collapsed="false">
      <c r="A263" s="156" t="n">
        <v>40330</v>
      </c>
      <c r="B263" s="73" t="n">
        <v>2010</v>
      </c>
      <c r="C263" s="157" t="s">
        <v>64</v>
      </c>
      <c r="D263" s="74"/>
      <c r="E263" s="159" t="n">
        <v>124.852208270188</v>
      </c>
      <c r="F263" s="159" t="n">
        <v>117.700876</v>
      </c>
      <c r="G263" s="159" t="n">
        <v>120.116710861264</v>
      </c>
      <c r="H263" s="159" t="n">
        <v>46.7521868336887</v>
      </c>
      <c r="I263" s="159" t="n">
        <v>55.3099383583865</v>
      </c>
      <c r="J263" s="159"/>
      <c r="K263" s="159" t="n">
        <v>98.1461866981213</v>
      </c>
      <c r="L263" s="159"/>
      <c r="M263" s="160" t="n">
        <f aca="false">G263-F263</f>
        <v>2.41583486126433</v>
      </c>
      <c r="N263" s="75"/>
      <c r="O263" s="77" t="n">
        <v>171.753538174024</v>
      </c>
      <c r="P263" s="74"/>
      <c r="Q263" s="74"/>
      <c r="R263" s="162"/>
      <c r="S263" s="163"/>
      <c r="T263" s="164"/>
      <c r="U263" s="165"/>
      <c r="V263" s="155"/>
      <c r="W263" s="163"/>
      <c r="X263" s="163"/>
      <c r="Y263" s="172"/>
      <c r="Z263" s="163"/>
      <c r="AA263" s="172"/>
      <c r="AB263" s="162"/>
      <c r="AC263" s="163"/>
      <c r="AD263" s="164"/>
      <c r="AE263" s="163"/>
      <c r="AF263" s="155"/>
      <c r="AG263" s="163"/>
      <c r="AH263" s="155"/>
      <c r="AI263" s="155"/>
      <c r="AJ263" s="155"/>
      <c r="AK263" s="173"/>
      <c r="AL263" s="162"/>
      <c r="AM263" s="37"/>
      <c r="AN263" s="57" t="n">
        <f aca="false">IF(ABS(E263-E262)&lt;0.05,0,E263-E262)</f>
        <v>-2.22867070794545</v>
      </c>
      <c r="AO263" s="164" t="n">
        <f aca="false">IF((E263/E262-1)&lt;0.05,0,(E263/E262-1))</f>
        <v>0</v>
      </c>
      <c r="AP263" s="163" t="n">
        <f aca="false">IF(ABS(E263-E251)&lt;0.05,0,E263-E251)</f>
        <v>16.8822082701883</v>
      </c>
      <c r="AQ263" s="164" t="n">
        <f aca="false">IF(ABS(E263/E251-1)&lt;0.05,0,(E263/E251-1))</f>
        <v>0.156360176624881</v>
      </c>
      <c r="AR263" s="57" t="n">
        <f aca="false">(E263/1.2)-57.95</f>
        <v>46.0935068918236</v>
      </c>
      <c r="AW263" s="162"/>
      <c r="BG263" s="162"/>
      <c r="BQ263" s="162"/>
    </row>
    <row r="264" customFormat="false" ht="12.75" hidden="false" customHeight="true" outlineLevel="0" collapsed="false">
      <c r="A264" s="156" t="n">
        <v>40360</v>
      </c>
      <c r="B264" s="73" t="n">
        <v>2010</v>
      </c>
      <c r="C264" s="157" t="s">
        <v>65</v>
      </c>
      <c r="D264" s="74"/>
      <c r="E264" s="159" t="n">
        <v>124.53616150682</v>
      </c>
      <c r="F264" s="159" t="n">
        <v>117.22383</v>
      </c>
      <c r="G264" s="159" t="n">
        <v>119.66200572762</v>
      </c>
      <c r="H264" s="159" t="n">
        <v>44.4538179637527</v>
      </c>
      <c r="I264" s="159" t="n">
        <v>53.3235892721964</v>
      </c>
      <c r="J264" s="159"/>
      <c r="K264" s="159" t="n">
        <v>96.5123758264056</v>
      </c>
      <c r="L264" s="159"/>
      <c r="M264" s="160" t="n">
        <f aca="false">G264-F264</f>
        <v>2.43817572761985</v>
      </c>
      <c r="N264" s="75"/>
      <c r="O264" s="77" t="n">
        <v>168.884817269254</v>
      </c>
      <c r="P264" s="74"/>
      <c r="Q264" s="74"/>
      <c r="R264" s="162"/>
      <c r="S264" s="163"/>
      <c r="T264" s="164"/>
      <c r="U264" s="165"/>
      <c r="V264" s="155"/>
      <c r="W264" s="163"/>
      <c r="X264" s="163"/>
      <c r="Y264" s="172"/>
      <c r="Z264" s="163"/>
      <c r="AA264" s="172"/>
      <c r="AB264" s="162"/>
      <c r="AC264" s="163"/>
      <c r="AD264" s="164"/>
      <c r="AE264" s="163"/>
      <c r="AF264" s="155"/>
      <c r="AG264" s="163"/>
      <c r="AH264" s="155"/>
      <c r="AI264" s="155"/>
      <c r="AJ264" s="155"/>
      <c r="AK264" s="173"/>
      <c r="AL264" s="162"/>
      <c r="AM264" s="37"/>
      <c r="AN264" s="57" t="n">
        <f aca="false">IF(ABS(E264-E263)&lt;0.05,0,E264-E263)</f>
        <v>-0.316046763368675</v>
      </c>
      <c r="AO264" s="164" t="n">
        <f aca="false">IF((E264/E263-1)&lt;0.05,0,(E264/E263-1))</f>
        <v>0</v>
      </c>
      <c r="AP264" s="163" t="n">
        <f aca="false">IF(ABS(E264-E252)&lt;0.05,0,E264-E252)</f>
        <v>15.6961615068197</v>
      </c>
      <c r="AQ264" s="164" t="n">
        <f aca="false">IF(ABS(E264/E252-1)&lt;0.05,0,(E264/E252-1))</f>
        <v>0.144213170771956</v>
      </c>
      <c r="AR264" s="57" t="n">
        <f aca="false">(E264/1.2)-57.95</f>
        <v>45.8301345890164</v>
      </c>
      <c r="AW264" s="162"/>
      <c r="BG264" s="162"/>
      <c r="BQ264" s="162"/>
    </row>
    <row r="265" customFormat="false" ht="12.75" hidden="false" customHeight="true" outlineLevel="0" collapsed="false">
      <c r="A265" s="156" t="n">
        <v>40391</v>
      </c>
      <c r="B265" s="73" t="n">
        <v>2010</v>
      </c>
      <c r="C265" s="157" t="s">
        <v>66</v>
      </c>
      <c r="D265" s="74"/>
      <c r="E265" s="159" t="n">
        <v>123.156598830916</v>
      </c>
      <c r="F265" s="159" t="n">
        <v>116.195155</v>
      </c>
      <c r="G265" s="159" t="n">
        <v>118.686003394145</v>
      </c>
      <c r="H265" s="159" t="n">
        <v>44.1844389658849</v>
      </c>
      <c r="I265" s="159" t="n">
        <v>52.8888374607981</v>
      </c>
      <c r="J265" s="159"/>
      <c r="K265" s="159" t="n">
        <v>96.9571356457879</v>
      </c>
      <c r="L265" s="159"/>
      <c r="M265" s="160" t="n">
        <f aca="false">G265-F265</f>
        <v>2.4908483941451</v>
      </c>
      <c r="N265" s="75"/>
      <c r="O265" s="77" t="n">
        <v>169.629005542386</v>
      </c>
      <c r="P265" s="74"/>
      <c r="Q265" s="74"/>
      <c r="R265" s="162"/>
      <c r="S265" s="163"/>
      <c r="T265" s="164"/>
      <c r="U265" s="165"/>
      <c r="V265" s="155"/>
      <c r="W265" s="163"/>
      <c r="X265" s="163"/>
      <c r="Y265" s="172"/>
      <c r="Z265" s="163"/>
      <c r="AA265" s="172"/>
      <c r="AB265" s="162"/>
      <c r="AC265" s="163"/>
      <c r="AD265" s="164"/>
      <c r="AE265" s="163"/>
      <c r="AF265" s="155"/>
      <c r="AG265" s="163"/>
      <c r="AH265" s="155"/>
      <c r="AI265" s="155"/>
      <c r="AJ265" s="155"/>
      <c r="AK265" s="173"/>
      <c r="AL265" s="162"/>
      <c r="AM265" s="37"/>
      <c r="AN265" s="57" t="n">
        <f aca="false">IF(ABS(E265-E264)&lt;0.05,0,E265-E264)</f>
        <v>-1.37956267590388</v>
      </c>
      <c r="AO265" s="164" t="n">
        <f aca="false">IF((E265/E264-1)&lt;0.05,0,(E265/E264-1))</f>
        <v>0</v>
      </c>
      <c r="AP265" s="163" t="n">
        <f aca="false">IF(ABS(E265-E253)&lt;0.05,0,E265-E253)</f>
        <v>13.0965988309158</v>
      </c>
      <c r="AQ265" s="164" t="n">
        <f aca="false">IF(ABS(E265/E253-1)&lt;0.05,0,(E265/E253-1))</f>
        <v>0.118995082963073</v>
      </c>
      <c r="AR265" s="57" t="n">
        <f aca="false">(E265/1.2)-57.95</f>
        <v>44.6804990257632</v>
      </c>
      <c r="AW265" s="162"/>
      <c r="BG265" s="162"/>
      <c r="BQ265" s="162"/>
    </row>
    <row r="266" customFormat="false" ht="12.75" hidden="false" customHeight="true" outlineLevel="0" collapsed="false">
      <c r="A266" s="156" t="n">
        <v>40422</v>
      </c>
      <c r="B266" s="73" t="n">
        <v>2010</v>
      </c>
      <c r="C266" s="157" t="s">
        <v>67</v>
      </c>
      <c r="D266" s="74"/>
      <c r="E266" s="159" t="n">
        <v>121.872359818142</v>
      </c>
      <c r="F266" s="159" t="n">
        <v>114.614573</v>
      </c>
      <c r="G266" s="159" t="n">
        <v>117.179706194315</v>
      </c>
      <c r="H266" s="159" t="n">
        <v>42.9268270255864</v>
      </c>
      <c r="I266" s="159" t="n">
        <v>52.9895252514329</v>
      </c>
      <c r="J266" s="159"/>
      <c r="K266" s="159" t="n">
        <v>97.1630401622053</v>
      </c>
      <c r="L266" s="159"/>
      <c r="M266" s="160" t="n">
        <f aca="false">G266-F266</f>
        <v>2.56513319431484</v>
      </c>
      <c r="N266" s="75"/>
      <c r="O266" s="77" t="n">
        <v>169.983878624141</v>
      </c>
      <c r="P266" s="74"/>
      <c r="Q266" s="74"/>
      <c r="R266" s="162"/>
      <c r="S266" s="163"/>
      <c r="T266" s="164"/>
      <c r="U266" s="165"/>
      <c r="V266" s="155"/>
      <c r="W266" s="163"/>
      <c r="X266" s="163"/>
      <c r="Y266" s="172"/>
      <c r="Z266" s="163"/>
      <c r="AA266" s="172"/>
      <c r="AB266" s="162"/>
      <c r="AC266" s="163"/>
      <c r="AD266" s="164"/>
      <c r="AE266" s="163"/>
      <c r="AF266" s="155"/>
      <c r="AG266" s="163"/>
      <c r="AH266" s="155"/>
      <c r="AI266" s="155"/>
      <c r="AJ266" s="155"/>
      <c r="AK266" s="173"/>
      <c r="AL266" s="162"/>
      <c r="AM266" s="37"/>
      <c r="AN266" s="57" t="n">
        <f aca="false">IF(ABS(E266-E265)&lt;0.05,0,E266-E265)</f>
        <v>-1.28423901277331</v>
      </c>
      <c r="AO266" s="164" t="n">
        <f aca="false">IF((E266/E265-1)&lt;0.05,0,(E266/E265-1))</f>
        <v>0</v>
      </c>
      <c r="AP266" s="163" t="n">
        <f aca="false">IF(ABS(E266-E254)&lt;0.05,0,E266-E254)</f>
        <v>9.46235981814247</v>
      </c>
      <c r="AQ266" s="164" t="n">
        <f aca="false">IF(ABS(E266/E254-1)&lt;0.05,0,(E266/E254-1))</f>
        <v>0.0841772068156079</v>
      </c>
      <c r="AR266" s="57" t="n">
        <f aca="false">(E266/1.2)-57.95</f>
        <v>43.6102998484521</v>
      </c>
      <c r="AW266" s="162"/>
      <c r="BG266" s="162"/>
      <c r="BQ266" s="162"/>
    </row>
    <row r="267" customFormat="false" ht="12.75" hidden="false" customHeight="true" outlineLevel="0" collapsed="false">
      <c r="A267" s="156" t="n">
        <v>40452</v>
      </c>
      <c r="B267" s="73" t="n">
        <v>2010</v>
      </c>
      <c r="C267" s="157" t="s">
        <v>68</v>
      </c>
      <c r="D267" s="74"/>
      <c r="E267" s="159" t="n">
        <v>124.648898029877</v>
      </c>
      <c r="F267" s="159" t="n">
        <v>117.202106</v>
      </c>
      <c r="G267" s="159" t="n">
        <v>120.589793169283</v>
      </c>
      <c r="H267" s="159" t="n">
        <v>45.3019629530917</v>
      </c>
      <c r="I267" s="159" t="n">
        <v>54.8269319779388</v>
      </c>
      <c r="J267" s="159"/>
      <c r="K267" s="159" t="n">
        <v>101.571920523243</v>
      </c>
      <c r="L267" s="159"/>
      <c r="M267" s="160" t="n">
        <f aca="false">G267-F267</f>
        <v>3.38768716928298</v>
      </c>
      <c r="N267" s="75"/>
      <c r="O267" s="77" t="n">
        <v>177.702669076871</v>
      </c>
      <c r="P267" s="74"/>
      <c r="Q267" s="74"/>
      <c r="R267" s="162"/>
      <c r="S267" s="163"/>
      <c r="T267" s="164"/>
      <c r="U267" s="165"/>
      <c r="V267" s="155"/>
      <c r="W267" s="163"/>
      <c r="X267" s="163"/>
      <c r="Y267" s="172"/>
      <c r="Z267" s="163"/>
      <c r="AA267" s="172"/>
      <c r="AB267" s="162"/>
      <c r="AC267" s="163"/>
      <c r="AD267" s="164"/>
      <c r="AE267" s="163"/>
      <c r="AF267" s="155"/>
      <c r="AG267" s="163"/>
      <c r="AH267" s="155"/>
      <c r="AI267" s="155"/>
      <c r="AJ267" s="155"/>
      <c r="AK267" s="173"/>
      <c r="AL267" s="162"/>
      <c r="AM267" s="37"/>
      <c r="AN267" s="57" t="n">
        <f aca="false">IF(ABS(E267-E266)&lt;0.05,0,E267-E266)</f>
        <v>2.77653821173415</v>
      </c>
      <c r="AO267" s="164" t="n">
        <f aca="false">IF((E267/E266-1)&lt;0.05,0,(E267/E266-1))</f>
        <v>0</v>
      </c>
      <c r="AP267" s="163" t="n">
        <f aca="false">IF(ABS(E267-E255)&lt;0.05,0,E267-E255)</f>
        <v>13.7488980298766</v>
      </c>
      <c r="AQ267" s="164" t="n">
        <f aca="false">IF(ABS(E267/E255-1)&lt;0.05,0,(E267/E255-1))</f>
        <v>0.123975635977246</v>
      </c>
      <c r="AR267" s="57" t="n">
        <f aca="false">(E267/1.2)-57.95</f>
        <v>45.9240816915639</v>
      </c>
      <c r="AW267" s="162"/>
      <c r="BG267" s="162"/>
      <c r="BQ267" s="162"/>
    </row>
    <row r="268" customFormat="false" ht="12.75" hidden="false" customHeight="true" outlineLevel="0" collapsed="false">
      <c r="A268" s="156" t="n">
        <v>40483</v>
      </c>
      <c r="B268" s="73" t="n">
        <v>2010</v>
      </c>
      <c r="C268" s="157" t="s">
        <v>69</v>
      </c>
      <c r="D268" s="74"/>
      <c r="E268" s="159" t="n">
        <v>125.972591470015</v>
      </c>
      <c r="F268" s="159" t="n">
        <v>118.701851</v>
      </c>
      <c r="G268" s="159" t="n">
        <v>122.469788926602</v>
      </c>
      <c r="H268" s="159" t="n">
        <v>46.6454371002132</v>
      </c>
      <c r="I268" s="159" t="n">
        <v>55.7861317183952</v>
      </c>
      <c r="J268" s="159"/>
      <c r="K268" s="159" t="n">
        <v>103.952089324248</v>
      </c>
      <c r="L268" s="159"/>
      <c r="M268" s="160" t="n">
        <f aca="false">G268-F268</f>
        <v>3.76793792660163</v>
      </c>
      <c r="N268" s="75"/>
      <c r="O268" s="77" t="n">
        <v>181.895401205878</v>
      </c>
      <c r="P268" s="74"/>
      <c r="Q268" s="74"/>
      <c r="R268" s="162"/>
      <c r="S268" s="163"/>
      <c r="T268" s="164"/>
      <c r="U268" s="165"/>
      <c r="V268" s="155"/>
      <c r="W268" s="163"/>
      <c r="X268" s="163"/>
      <c r="Y268" s="172"/>
      <c r="Z268" s="163"/>
      <c r="AA268" s="172"/>
      <c r="AB268" s="162"/>
      <c r="AC268" s="163"/>
      <c r="AD268" s="164"/>
      <c r="AE268" s="163"/>
      <c r="AF268" s="155"/>
      <c r="AG268" s="163"/>
      <c r="AH268" s="155"/>
      <c r="AI268" s="155"/>
      <c r="AJ268" s="155"/>
      <c r="AK268" s="173"/>
      <c r="AL268" s="162"/>
      <c r="AM268" s="37"/>
      <c r="AN268" s="57" t="n">
        <f aca="false">IF(ABS(E268-E267)&lt;0.05,0,E268-E267)</f>
        <v>1.32369344013854</v>
      </c>
      <c r="AO268" s="164" t="n">
        <f aca="false">IF((E268/E267-1)&lt;0.05,0,(E268/E267-1))</f>
        <v>0</v>
      </c>
      <c r="AP268" s="163" t="n">
        <f aca="false">IF(ABS(E268-E256)&lt;0.05,0,E268-E256)</f>
        <v>11.1310242099675</v>
      </c>
      <c r="AQ268" s="164" t="n">
        <f aca="false">IF(ABS(E268/E256-1)&lt;0.05,0,(E268/E256-1))</f>
        <v>0.0969250461791622</v>
      </c>
      <c r="AR268" s="57" t="n">
        <f aca="false">(E268/1.2)-57.95</f>
        <v>47.027159558346</v>
      </c>
      <c r="AW268" s="162"/>
      <c r="BG268" s="162"/>
      <c r="BQ268" s="162"/>
    </row>
    <row r="269" customFormat="false" ht="12.75" hidden="false" customHeight="true" outlineLevel="0" collapsed="false">
      <c r="A269" s="156" t="n">
        <v>40513</v>
      </c>
      <c r="B269" s="73" t="n">
        <v>2010</v>
      </c>
      <c r="C269" s="157" t="s">
        <v>70</v>
      </c>
      <c r="D269" s="74"/>
      <c r="E269" s="159" t="n">
        <v>128.856252435592</v>
      </c>
      <c r="F269" s="159" t="n">
        <v>121.606741</v>
      </c>
      <c r="G269" s="159" t="n">
        <v>125.759727407722</v>
      </c>
      <c r="H269" s="159" t="n">
        <v>50.2484501599147</v>
      </c>
      <c r="I269" s="159" t="n">
        <v>59.8195144371147</v>
      </c>
      <c r="J269" s="159"/>
      <c r="K269" s="159" t="n">
        <v>113.110761220803</v>
      </c>
      <c r="L269" s="159"/>
      <c r="M269" s="160" t="n">
        <f aca="false">G269-F269</f>
        <v>4.15298640772166</v>
      </c>
      <c r="N269" s="75"/>
      <c r="O269" s="77" t="n">
        <v>197.97121988702</v>
      </c>
      <c r="P269" s="74"/>
      <c r="Q269" s="74"/>
      <c r="R269" s="162"/>
      <c r="S269" s="163"/>
      <c r="T269" s="164"/>
      <c r="U269" s="165"/>
      <c r="V269" s="155"/>
      <c r="W269" s="163"/>
      <c r="X269" s="163"/>
      <c r="Y269" s="172"/>
      <c r="Z269" s="163"/>
      <c r="AA269" s="172"/>
      <c r="AB269" s="162"/>
      <c r="AC269" s="163"/>
      <c r="AD269" s="164"/>
      <c r="AE269" s="163"/>
      <c r="AF269" s="155"/>
      <c r="AG269" s="163"/>
      <c r="AH269" s="155"/>
      <c r="AI269" s="155"/>
      <c r="AJ269" s="155"/>
      <c r="AK269" s="173"/>
      <c r="AL269" s="162"/>
      <c r="AM269" s="37"/>
      <c r="AN269" s="57" t="n">
        <f aca="false">IF(ABS(E269-E268)&lt;0.05,0,E269-E268)</f>
        <v>2.88366096557697</v>
      </c>
      <c r="AO269" s="164" t="n">
        <f aca="false">IF((E269/E268-1)&lt;0.05,0,(E269/E268-1))</f>
        <v>0</v>
      </c>
      <c r="AP269" s="163" t="n">
        <f aca="false">IF(ABS(E269-E257)&lt;0.05,0,E269-E257)</f>
        <v>14.0982913418135</v>
      </c>
      <c r="AQ269" s="164" t="n">
        <f aca="false">IF(ABS(E269/E257-1)&lt;0.05,0,(E269/E257-1))</f>
        <v>0.122852403505954</v>
      </c>
      <c r="AR269" s="57" t="n">
        <f aca="false">(E269/1.2)-57.95</f>
        <v>49.4302103629934</v>
      </c>
      <c r="AW269" s="162"/>
      <c r="BG269" s="162"/>
      <c r="BQ269" s="162"/>
    </row>
    <row r="270" customFormat="false" ht="12.75" hidden="false" customHeight="true" outlineLevel="0" collapsed="false">
      <c r="A270" s="156" t="n">
        <v>40544</v>
      </c>
      <c r="B270" s="73" t="n">
        <v>2011</v>
      </c>
      <c r="C270" s="157" t="s">
        <v>59</v>
      </c>
      <c r="D270" s="74"/>
      <c r="E270" s="159" t="n">
        <v>134.832841677943</v>
      </c>
      <c r="F270" s="159" t="n">
        <v>127.525715900303</v>
      </c>
      <c r="G270" s="159" t="n">
        <v>132.077854017832</v>
      </c>
      <c r="H270" s="159" t="n">
        <v>55.1367143674871</v>
      </c>
      <c r="I270" s="159" t="n">
        <v>61.9015475704369</v>
      </c>
      <c r="J270" s="159"/>
      <c r="K270" s="159" t="n">
        <v>120.003226663789</v>
      </c>
      <c r="L270" s="159"/>
      <c r="M270" s="160" t="n">
        <f aca="false">G270-F270</f>
        <v>4.552138117529</v>
      </c>
      <c r="N270" s="75"/>
      <c r="O270" s="77" t="n">
        <v>209.886909515553</v>
      </c>
      <c r="P270" s="76"/>
      <c r="Q270" s="183"/>
      <c r="R270" s="162"/>
      <c r="S270" s="57" t="n">
        <f aca="false">IF(ABS(F270-F269)&lt;0.05,0,F270-F269)</f>
        <v>5.91897490030337</v>
      </c>
      <c r="T270" s="178" t="n">
        <f aca="false">IF((ABS(G270/G269-1))&lt;0.0005,0,(G270/G269-1))</f>
        <v>0.0502396652755688</v>
      </c>
      <c r="U270" s="163" t="n">
        <f aca="false">IF(ABS(F270-F258)&lt;0.05,0,F270-F258)</f>
        <v>16.0368779003034</v>
      </c>
      <c r="V270" s="164" t="n">
        <f aca="false">IF(ABS(F270/F258-1)&lt;0.0005,0,(F270/F258-1))</f>
        <v>0.143842901118975</v>
      </c>
      <c r="W270" s="57" t="n">
        <f aca="false">(F270/1.2)-57.95</f>
        <v>48.3214299169195</v>
      </c>
      <c r="X270" s="163" t="n">
        <f aca="false">IF(ABS(W270-W269)&lt;0.05,0,W270-W269)</f>
        <v>48.3214299169195</v>
      </c>
      <c r="Y270" s="184" t="e">
        <f aca="false">IF(ABS(W270/W269-1)&lt;0.0005,0,(W270/W269-1))</f>
        <v>#DIV/0!</v>
      </c>
      <c r="Z270" s="163" t="n">
        <f aca="false">IF(ABS(W270-W258)&lt;0.05,0,W270-W258)</f>
        <v>48.3214299169195</v>
      </c>
      <c r="AA270" s="155" t="e">
        <f aca="false">IF(ABS(W270/W258-1)&lt;0.0005,0,(W270/W258-1))</f>
        <v>#DIV/0!</v>
      </c>
      <c r="AB270" s="185"/>
      <c r="AC270" s="57" t="n">
        <f aca="false">IF(ABS(G270-G269)&lt;0.05,0,G270-G269)</f>
        <v>6.31812661011071</v>
      </c>
      <c r="AD270" s="164" t="n">
        <f aca="false">IF(ABS(G270/G269-1)&lt;0.0005,0,(G270/G269-1))</f>
        <v>0.0502396652755688</v>
      </c>
      <c r="AE270" s="163" t="n">
        <f aca="false">IF(ABS(G270-G258)&lt;0.05,0,G270-G258)</f>
        <v>18.7668495630169</v>
      </c>
      <c r="AF270" s="164" t="n">
        <f aca="false">IF(ABS(G270/G258-1)&lt;0.0005,0,(G270/G258-1))</f>
        <v>0.165622479946337</v>
      </c>
      <c r="AG270" s="57" t="n">
        <f aca="false">(G270/1.2)-57.95</f>
        <v>52.1148783481937</v>
      </c>
      <c r="AH270" s="163" t="n">
        <f aca="false">IF(ABS(AG270-AG269)&lt;0.05,0,AG270-AG269)</f>
        <v>52.1148783481937</v>
      </c>
      <c r="AI270" s="164" t="e">
        <f aca="false">IF(ABS(AG270/AG269-1)&lt;0.0005,0,(AG270/AG269-1))</f>
        <v>#DIV/0!</v>
      </c>
      <c r="AJ270" s="163" t="n">
        <f aca="false">IF(ABS(AG270-AG258)&lt;0.05,0,AG270-AG258)</f>
        <v>52.1148783481937</v>
      </c>
      <c r="AK270" s="155" t="e">
        <f aca="false">IF(ABS(AG270/AG258-1)&lt;0.0005,0,(AG270/AG258-1))</f>
        <v>#DIV/0!</v>
      </c>
      <c r="AL270" s="185"/>
      <c r="AM270" s="156" t="n">
        <f aca="false">IF(E270="..","",A270)</f>
        <v>40544</v>
      </c>
      <c r="AN270" s="57" t="n">
        <f aca="false">IF(ABS(E270-E269)&lt;0.05,0,E270-E269)</f>
        <v>5.976589242351</v>
      </c>
      <c r="AO270" s="164" t="n">
        <f aca="false">IF(ABS(E270/E269-1)&lt;0.0005,0,(E270/E269-1))</f>
        <v>0.0463818334724453</v>
      </c>
      <c r="AP270" s="163" t="n">
        <f aca="false">IF(ABS(E270-E258)&lt;0.05,0,E270-E258)</f>
        <v>16.303566943152</v>
      </c>
      <c r="AQ270" s="164" t="n">
        <f aca="false">IF(ABS(E270/E258-1)&lt;0.0005,0,(E270/E258-1))</f>
        <v>0.137548862756743</v>
      </c>
      <c r="AR270" s="57" t="n">
        <f aca="false">(E270/1.2)-57.95</f>
        <v>54.4107013982859</v>
      </c>
      <c r="AS270" s="163" t="n">
        <f aca="false">IF(ABS(AR270-AR269)&lt;0.05,0,AR270-AR269)</f>
        <v>4.9804910352925</v>
      </c>
      <c r="AT270" s="164" t="n">
        <f aca="false">IF(ABS(AR270/AR269-1)&lt;0.0005,0,(AR270/AR269-1))</f>
        <v>0.100758038428685</v>
      </c>
      <c r="AU270" s="163" t="n">
        <f aca="false">IF(ABS(AR270-AR258)&lt;0.05,0,AR270-AR258)</f>
        <v>13.58630578596</v>
      </c>
      <c r="AV270" s="155" t="n">
        <f aca="false">IF(ABS(AR270/AR258-1)&lt;0.0005,0,(AR270/AR258-1))</f>
        <v>0.33279869994837</v>
      </c>
      <c r="AW270" s="185"/>
      <c r="AX270" s="163" t="n">
        <f aca="false">IF(ABS(H270-H269)&lt;0.05,0,H270-H269)</f>
        <v>4.88826420757241</v>
      </c>
      <c r="AY270" s="164" t="n">
        <f aca="false">IF(ABS(H270/H269-1)&lt;0.0005,0,(H270/H269-1))</f>
        <v>0.0972818901282648</v>
      </c>
      <c r="AZ270" s="163" t="n">
        <f aca="false">IF(ABS(H270-H258)&lt;0.05,0,H270-H258)</f>
        <v>12.6465184719647</v>
      </c>
      <c r="BA270" s="164" t="n">
        <f aca="false">IF(ABS(H270/H258-1)&lt;0.0005,0,(H270/H258-1))</f>
        <v>0.297633800113814</v>
      </c>
      <c r="BB270" s="57" t="n">
        <f aca="false">(H270/1.05)</f>
        <v>52.5111565404639</v>
      </c>
      <c r="BC270" s="163" t="n">
        <f aca="false">IF(ABS(BB270-BB269)&lt;0.05,0,BB270-BB269)</f>
        <v>52.5111565404639</v>
      </c>
      <c r="BD270" s="164" t="e">
        <f aca="false">IF(ABS(BB270/BB269-1)&lt;0.0005,0,(BB270/BB269-1))</f>
        <v>#DIV/0!</v>
      </c>
      <c r="BE270" s="163" t="n">
        <f aca="false">IF(ABS(BB270-BB258)&lt;0.05,0,BB270-BB258)</f>
        <v>52.5111565404639</v>
      </c>
      <c r="BF270" s="155" t="e">
        <f aca="false">IF(ABS(BB270/BB258-1)&lt;0.0005,0,(BB270/BB258-1))</f>
        <v>#DIV/0!</v>
      </c>
      <c r="BG270" s="162"/>
      <c r="BH270" s="163" t="n">
        <f aca="false">IF(ABS(I270-I269)&lt;0.05,0,I270-I269)</f>
        <v>2.08203313332218</v>
      </c>
      <c r="BI270" s="164" t="n">
        <f aca="false">IF(ABS(I270/I269-1)&lt;0.0005,0,(I270/I269-1))</f>
        <v>0.0348052496399134</v>
      </c>
      <c r="BJ270" s="163" t="n">
        <f aca="false">IF(ABS(I270-I258)&lt;0.05,0,I270-I258)</f>
        <v>11.2621120778447</v>
      </c>
      <c r="BK270" s="164" t="n">
        <f aca="false">IF(ABS(I270/I258-1)&lt;0.0005,0,(I270/I258-1))</f>
        <v>0.222398057330086</v>
      </c>
      <c r="BL270" s="57" t="n">
        <f aca="false">(I270/1.05)-11.14</f>
        <v>47.8138548289875</v>
      </c>
      <c r="BM270" s="163" t="n">
        <f aca="false">IF(ABS(BL270-BL269)&lt;0.05,0,BL270-BL269)</f>
        <v>47.8138548289875</v>
      </c>
      <c r="BN270" s="164" t="e">
        <f aca="false">IF(ABS(BL270/BL269-1)&lt;0.0005,0,(BL270/BL269-1))</f>
        <v>#DIV/0!</v>
      </c>
      <c r="BO270" s="163" t="n">
        <f aca="false">IF(ABS(BL270-BL258)&lt;0.05,0,BL270-BL258)</f>
        <v>47.8138548289875</v>
      </c>
      <c r="BP270" s="155" t="e">
        <f aca="false">IF(ABS(BL270/BL258-1)&lt;0.0005,0,(BL270/BL258-1))</f>
        <v>#DIV/0!</v>
      </c>
      <c r="BQ270" s="162"/>
    </row>
    <row r="271" customFormat="false" ht="12.75" hidden="false" customHeight="true" outlineLevel="0" collapsed="false">
      <c r="A271" s="156" t="n">
        <v>40575</v>
      </c>
      <c r="B271" s="73" t="n">
        <v>2011</v>
      </c>
      <c r="C271" s="157" t="s">
        <v>60</v>
      </c>
      <c r="D271" s="74"/>
      <c r="E271" s="159" t="n">
        <v>135.342801082544</v>
      </c>
      <c r="F271" s="159" t="n">
        <v>128.366085301291</v>
      </c>
      <c r="G271" s="159" t="n">
        <v>133.445714127485</v>
      </c>
      <c r="H271" s="159" t="n">
        <v>55.5978110480124</v>
      </c>
      <c r="I271" s="159" t="n">
        <v>64.1883037156704</v>
      </c>
      <c r="J271" s="159"/>
      <c r="K271" s="159" t="n">
        <v>124.730838268858</v>
      </c>
      <c r="L271" s="159"/>
      <c r="M271" s="160" t="n">
        <f aca="false">G271-F271</f>
        <v>5.0796288261943</v>
      </c>
      <c r="N271" s="75"/>
      <c r="O271" s="77" t="n">
        <v>218.137994628048</v>
      </c>
      <c r="P271" s="76"/>
      <c r="Q271" s="183"/>
      <c r="R271" s="162"/>
      <c r="S271" s="57" t="n">
        <f aca="false">IF(ABS(F271-F270)&lt;0.05,0,F271-F270)</f>
        <v>0.840369400987456</v>
      </c>
      <c r="T271" s="178" t="n">
        <f aca="false">IF((ABS(G271/G270-1))&lt;0.0005,0,(G271/G270-1))</f>
        <v>0.0103564683104866</v>
      </c>
      <c r="U271" s="163" t="n">
        <f aca="false">IF(ABS(F271-F259)&lt;0.05,0,F271-F259)</f>
        <v>16.7201403012908</v>
      </c>
      <c r="V271" s="164" t="n">
        <f aca="false">IF(ABS(F271/F259-1)&lt;0.0005,0,(F271/F259-1))</f>
        <v>0.149760390323991</v>
      </c>
      <c r="W271" s="57" t="n">
        <f aca="false">(F271/1.2)-57.95</f>
        <v>49.0217377510757</v>
      </c>
      <c r="X271" s="163" t="n">
        <f aca="false">IF(ABS(W271-W270)&lt;0.05,0,W271-W270)</f>
        <v>0.70030783415622</v>
      </c>
      <c r="Y271" s="184" t="n">
        <f aca="false">IF(ABS(W271/W270-1)&lt;0.0005,0,(W271/W270-1))</f>
        <v>0.0144926968295491</v>
      </c>
      <c r="Z271" s="163" t="n">
        <f aca="false">IF(ABS(W271-W259)&lt;0.05,0,W271-W259)</f>
        <v>49.0217377510757</v>
      </c>
      <c r="AA271" s="155" t="e">
        <f aca="false">IF(ABS(W271/W259-1)&lt;0.0005,0,(W271/W259-1))</f>
        <v>#DIV/0!</v>
      </c>
      <c r="AB271" s="185"/>
      <c r="AC271" s="57" t="n">
        <f aca="false">IF(ABS(G271-G270)&lt;0.05,0,G271-G270)</f>
        <v>1.36786010965275</v>
      </c>
      <c r="AD271" s="164" t="n">
        <f aca="false">IF(ABS(G271/G270-1)&lt;0.0005,0,(G271/G270-1))</f>
        <v>0.0103564683104866</v>
      </c>
      <c r="AE271" s="163" t="n">
        <f aca="false">IF(ABS(G271-G259)&lt;0.05,0,G271-G259)</f>
        <v>20.060732158881</v>
      </c>
      <c r="AF271" s="164" t="n">
        <f aca="false">IF(ABS(G271/G259-1)&lt;0.0005,0,(G271/G259-1))</f>
        <v>0.176925831010281</v>
      </c>
      <c r="AG271" s="57" t="n">
        <f aca="false">(G271/1.2)-57.95</f>
        <v>53.2547617729043</v>
      </c>
      <c r="AH271" s="163" t="n">
        <f aca="false">IF(ABS(AG271-AG270)&lt;0.05,0,AG271-AG270)</f>
        <v>1.13988342471062</v>
      </c>
      <c r="AI271" s="164" t="n">
        <f aca="false">IF(ABS(AG271/AG270-1)&lt;0.0005,0,(AG271/AG270-1))</f>
        <v>0.0218725143536698</v>
      </c>
      <c r="AJ271" s="163" t="n">
        <f aca="false">IF(ABS(AG271-AG259)&lt;0.05,0,AG271-AG259)</f>
        <v>53.2547617729043</v>
      </c>
      <c r="AK271" s="155" t="e">
        <f aca="false">IF(ABS(AG271/AG259-1)&lt;0.0005,0,(AG271/AG259-1))</f>
        <v>#DIV/0!</v>
      </c>
      <c r="AL271" s="185"/>
      <c r="AM271" s="156" t="n">
        <f aca="false">IF(E271="..","",A271)</f>
        <v>40575</v>
      </c>
      <c r="AN271" s="57" t="n">
        <f aca="false">IF(ABS(E271-E270)&lt;0.05,0,E271-E270)</f>
        <v>0.509959404600835</v>
      </c>
      <c r="AO271" s="164" t="n">
        <f aca="false">IF(ABS(E271/E270-1)&lt;0.0005,0,(E271/E270-1))</f>
        <v>0.00378216017888944</v>
      </c>
      <c r="AP271" s="163" t="n">
        <f aca="false">IF(ABS(E271-E259)&lt;0.05,0,E271-E259)</f>
        <v>16.8143100671727</v>
      </c>
      <c r="AQ271" s="164" t="n">
        <f aca="false">IF(ABS(E271/E259-1)&lt;0.0005,0,(E271/E259-1))</f>
        <v>0.141858804774559</v>
      </c>
      <c r="AR271" s="57" t="n">
        <f aca="false">(E271/1.2)-57.95</f>
        <v>54.8356675687866</v>
      </c>
      <c r="AS271" s="163" t="n">
        <f aca="false">IF(ABS(AR271-AR270)&lt;0.05,0,AR271-AR270)</f>
        <v>0.424966170500696</v>
      </c>
      <c r="AT271" s="164" t="n">
        <f aca="false">IF(ABS(AR271/AR270-1)&lt;0.0005,0,(AR271/AR270-1))</f>
        <v>0.00781034170814943</v>
      </c>
      <c r="AU271" s="163" t="n">
        <f aca="false">IF(ABS(AR271-AR259)&lt;0.05,0,AR271-AR259)</f>
        <v>14.0119250559772</v>
      </c>
      <c r="AV271" s="155" t="n">
        <f aca="false">IF(ABS(AR271/AR259-1)&lt;0.0005,0,(AR271/AR259-1))</f>
        <v>0.343229801911979</v>
      </c>
      <c r="AW271" s="185"/>
      <c r="AX271" s="163" t="n">
        <f aca="false">IF(ABS(H271-H270)&lt;0.05,0,H271-H270)</f>
        <v>0.461096680525273</v>
      </c>
      <c r="AY271" s="164" t="n">
        <f aca="false">IF(ABS(H271/H270-1)&lt;0.0005,0,(H271/H270-1))</f>
        <v>0.00836278849428807</v>
      </c>
      <c r="AZ271" s="163" t="n">
        <f aca="false">IF(ABS(H271-H259)&lt;0.05,0,H271-H259)</f>
        <v>12.39949015249</v>
      </c>
      <c r="BA271" s="164" t="n">
        <f aca="false">IF(ABS(H271/H259-1)&lt;0.0005,0,(H271/H259-1))</f>
        <v>0.287036391587508</v>
      </c>
      <c r="BB271" s="57" t="n">
        <f aca="false">(H271/1.05)</f>
        <v>52.9502962362023</v>
      </c>
      <c r="BC271" s="163" t="n">
        <f aca="false">IF(ABS(BB271-BB270)&lt;0.05,0,BB271-BB270)</f>
        <v>0.439139695738355</v>
      </c>
      <c r="BD271" s="164" t="n">
        <f aca="false">IF(ABS(BB271/BB270-1)&lt;0.0005,0,(BB271/BB270-1))</f>
        <v>0.00836278849428807</v>
      </c>
      <c r="BE271" s="163" t="n">
        <f aca="false">IF(ABS(BB271-BB259)&lt;0.05,0,BB271-BB259)</f>
        <v>52.9502962362023</v>
      </c>
      <c r="BF271" s="155" t="e">
        <f aca="false">IF(ABS(BB271/BB259-1)&lt;0.0005,0,(BB271/BB259-1))</f>
        <v>#DIV/0!</v>
      </c>
      <c r="BG271" s="162"/>
      <c r="BH271" s="163" t="n">
        <f aca="false">IF(ABS(I271-I270)&lt;0.05,0,I271-I270)</f>
        <v>2.28675614523351</v>
      </c>
      <c r="BI271" s="164" t="n">
        <f aca="false">IF(ABS(I271/I270-1)&lt;0.0005,0,(I271/I270-1))</f>
        <v>0.0369418251237006</v>
      </c>
      <c r="BJ271" s="163" t="n">
        <f aca="false">IF(ABS(I271-I259)&lt;0.05,0,I271-I259)</f>
        <v>14.1431863803184</v>
      </c>
      <c r="BK271" s="164" t="n">
        <f aca="false">IF(ABS(I271/I259-1)&lt;0.0005,0,(I271/I259-1))</f>
        <v>0.282608716561598</v>
      </c>
      <c r="BL271" s="57" t="n">
        <f aca="false">(I271/1.05)-11.14</f>
        <v>49.991717824448</v>
      </c>
      <c r="BM271" s="163" t="n">
        <f aca="false">IF(ABS(BL271-BL270)&lt;0.05,0,BL271-BL270)</f>
        <v>2.17786299546049</v>
      </c>
      <c r="BN271" s="164" t="n">
        <f aca="false">IF(ABS(BL271/BL270-1)&lt;0.0005,0,(BL271/BL270-1))</f>
        <v>0.0455487850383514</v>
      </c>
      <c r="BO271" s="163" t="n">
        <f aca="false">IF(ABS(BL271-BL259)&lt;0.05,0,BL271-BL259)</f>
        <v>49.991717824448</v>
      </c>
      <c r="BP271" s="155" t="e">
        <f aca="false">IF(ABS(BL271/BL259-1)&lt;0.0005,0,(BL271/BL259-1))</f>
        <v>#DIV/0!</v>
      </c>
      <c r="BQ271" s="162"/>
    </row>
    <row r="272" customFormat="false" ht="12.75" hidden="false" customHeight="true" outlineLevel="0" collapsed="false">
      <c r="A272" s="156" t="n">
        <v>40603</v>
      </c>
      <c r="B272" s="73" t="n">
        <v>2011</v>
      </c>
      <c r="C272" s="157" t="s">
        <v>61</v>
      </c>
      <c r="D272" s="74"/>
      <c r="E272" s="159" t="n">
        <v>137.939648173207</v>
      </c>
      <c r="F272" s="159" t="n">
        <v>131.892385937779</v>
      </c>
      <c r="G272" s="159" t="n">
        <v>138.126280666777</v>
      </c>
      <c r="H272" s="159" t="n">
        <v>57.5969798657718</v>
      </c>
      <c r="I272" s="159" t="n">
        <v>67.1060662358643</v>
      </c>
      <c r="J272" s="159"/>
      <c r="K272" s="159" t="n">
        <v>136.941079663014</v>
      </c>
      <c r="L272" s="159"/>
      <c r="M272" s="160" t="n">
        <f aca="false">G272-F272</f>
        <v>6.23389472899856</v>
      </c>
      <c r="N272" s="75"/>
      <c r="O272" s="77" t="n">
        <v>239.721893975765</v>
      </c>
      <c r="P272" s="76"/>
      <c r="Q272" s="183"/>
      <c r="R272" s="162"/>
      <c r="S272" s="57" t="n">
        <f aca="false">IF(ABS(F272-F271)&lt;0.05,0,F272-F271)</f>
        <v>3.526300636488</v>
      </c>
      <c r="T272" s="178" t="n">
        <f aca="false">IF((ABS(G272/G271-1))&lt;0.0005,0,(G272/G271-1))</f>
        <v>0.0350746861365721</v>
      </c>
      <c r="U272" s="163" t="n">
        <f aca="false">IF(ABS(F272-F260)&lt;0.05,0,F272-F260)</f>
        <v>16.4236279377788</v>
      </c>
      <c r="V272" s="164" t="n">
        <f aca="false">IF(ABS(F272/F260-1)&lt;0.0005,0,(F272/F260-1))</f>
        <v>0.142234386359112</v>
      </c>
      <c r="W272" s="57" t="n">
        <f aca="false">(F272/1.2)-57.95</f>
        <v>51.9603216148157</v>
      </c>
      <c r="X272" s="163" t="n">
        <f aca="false">IF(ABS(W272-W271)&lt;0.05,0,W272-W271)</f>
        <v>2.93858386373999</v>
      </c>
      <c r="Y272" s="184" t="n">
        <f aca="false">IF(ABS(W272/W271-1)&lt;0.0005,0,(W272/W271-1))</f>
        <v>0.0599445062241906</v>
      </c>
      <c r="Z272" s="163" t="n">
        <f aca="false">IF(ABS(W272-W260)&lt;0.05,0,W272-W260)</f>
        <v>51.9603216148157</v>
      </c>
      <c r="AA272" s="155" t="e">
        <f aca="false">IF(ABS(W272/W260-1)&lt;0.0005,0,(W272/W260-1))</f>
        <v>#DIV/0!</v>
      </c>
      <c r="AB272" s="185"/>
      <c r="AC272" s="57" t="n">
        <f aca="false">IF(ABS(G272-G271)&lt;0.05,0,G272-G271)</f>
        <v>4.68056653929227</v>
      </c>
      <c r="AD272" s="164" t="n">
        <f aca="false">IF(ABS(G272/G271-1)&lt;0.0005,0,(G272/G271-1))</f>
        <v>0.0350746861365721</v>
      </c>
      <c r="AE272" s="163" t="n">
        <f aca="false">IF(ABS(G272-G260)&lt;0.05,0,G272-G260)</f>
        <v>21.9216996315631</v>
      </c>
      <c r="AF272" s="164" t="n">
        <f aca="false">IF(ABS(G272/G260-1)&lt;0.0005,0,(G272/G260-1))</f>
        <v>0.188647464981781</v>
      </c>
      <c r="AG272" s="57" t="n">
        <f aca="false">(G272/1.2)-57.95</f>
        <v>57.1552338889812</v>
      </c>
      <c r="AH272" s="163" t="n">
        <f aca="false">IF(ABS(AG272-AG271)&lt;0.05,0,AG272-AG271)</f>
        <v>3.9004721160769</v>
      </c>
      <c r="AI272" s="164" t="n">
        <f aca="false">IF(ABS(AG272/AG271-1)&lt;0.0005,0,(AG272/AG271-1))</f>
        <v>0.0732417531545777</v>
      </c>
      <c r="AJ272" s="163" t="n">
        <f aca="false">IF(ABS(AG272-AG260)&lt;0.05,0,AG272-AG260)</f>
        <v>57.1552338889812</v>
      </c>
      <c r="AK272" s="155" t="e">
        <f aca="false">IF(ABS(AG272/AG260-1)&lt;0.0005,0,(AG272/AG260-1))</f>
        <v>#DIV/0!</v>
      </c>
      <c r="AL272" s="185"/>
      <c r="AM272" s="156" t="n">
        <f aca="false">IF(E272="..","",A272)</f>
        <v>40603</v>
      </c>
      <c r="AN272" s="57" t="n">
        <f aca="false">IF(ABS(E272-E271)&lt;0.05,0,E272-E271)</f>
        <v>2.59684709066306</v>
      </c>
      <c r="AO272" s="164" t="n">
        <f aca="false">IF(ABS(E272/E271-1)&lt;0.0005,0,(E272/E271-1))</f>
        <v>0.0191871829893582</v>
      </c>
      <c r="AP272" s="163" t="n">
        <f aca="false">IF(ABS(E272-E260)&lt;0.05,0,E272-E260)</f>
        <v>16.0688103295179</v>
      </c>
      <c r="AQ272" s="164" t="n">
        <f aca="false">IF(ABS(E272/E260-1)&lt;0.0005,0,(E272/E260-1))</f>
        <v>0.131851151709711</v>
      </c>
      <c r="AR272" s="57" t="n">
        <f aca="false">(E272/1.2)-57.95</f>
        <v>56.9997068110059</v>
      </c>
      <c r="AS272" s="163" t="n">
        <f aca="false">IF(ABS(AR272-AR271)&lt;0.05,0,AR272-AR271)</f>
        <v>2.16403924221922</v>
      </c>
      <c r="AT272" s="164" t="n">
        <f aca="false">IF(ABS(AR272/AR271-1)&lt;0.0005,0,(AR272/AR271-1))</f>
        <v>0.0394640812844052</v>
      </c>
      <c r="AU272" s="163" t="n">
        <f aca="false">IF(ABS(AR272-AR260)&lt;0.05,0,AR272-AR260)</f>
        <v>13.3906752745982</v>
      </c>
      <c r="AV272" s="155" t="n">
        <f aca="false">IF(ABS(AR272/AR260-1)&lt;0.0005,0,(AR272/AR260-1))</f>
        <v>0.307061973238705</v>
      </c>
      <c r="AW272" s="185"/>
      <c r="AX272" s="163" t="n">
        <f aca="false">IF(ABS(H272-H271)&lt;0.05,0,H272-H271)</f>
        <v>1.99916881775942</v>
      </c>
      <c r="AY272" s="164" t="n">
        <f aca="false">IF(ABS(H272/H271-1)&lt;0.0005,0,(H272/H271-1))</f>
        <v>0.0359576893419959</v>
      </c>
      <c r="AZ272" s="163" t="n">
        <f aca="false">IF(ABS(H272-H260)&lt;0.05,0,H272-H260)</f>
        <v>12.4793399403987</v>
      </c>
      <c r="BA272" s="164" t="n">
        <f aca="false">IF(ABS(H272/H260-1)&lt;0.0005,0,(H272/H260-1))</f>
        <v>0.27659558347999</v>
      </c>
      <c r="BB272" s="57" t="n">
        <f aca="false">(H272/1.05)</f>
        <v>54.8542665388303</v>
      </c>
      <c r="BC272" s="163" t="n">
        <f aca="false">IF(ABS(BB272-BB271)&lt;0.05,0,BB272-BB271)</f>
        <v>1.90397030262802</v>
      </c>
      <c r="BD272" s="164" t="n">
        <f aca="false">IF(ABS(BB272/BB271-1)&lt;0.0005,0,(BB272/BB271-1))</f>
        <v>0.0359576893419959</v>
      </c>
      <c r="BE272" s="163" t="n">
        <f aca="false">IF(ABS(BB272-BB260)&lt;0.05,0,BB272-BB260)</f>
        <v>54.8542665388303</v>
      </c>
      <c r="BF272" s="155" t="e">
        <f aca="false">IF(ABS(BB272/BB260-1)&lt;0.0005,0,(BB272/BB260-1))</f>
        <v>#DIV/0!</v>
      </c>
      <c r="BG272" s="162"/>
      <c r="BH272" s="163" t="n">
        <f aca="false">IF(ABS(I272-I271)&lt;0.05,0,I272-I271)</f>
        <v>2.91776252019388</v>
      </c>
      <c r="BI272" s="164" t="n">
        <f aca="false">IF(ABS(I272/I271-1)&lt;0.0005,0,(I272/I271-1))</f>
        <v>0.0454562957936768</v>
      </c>
      <c r="BJ272" s="163" t="n">
        <f aca="false">IF(ABS(I272-I260)&lt;0.05,0,I272-I260)</f>
        <v>14.6042472675503</v>
      </c>
      <c r="BK272" s="164" t="n">
        <f aca="false">IF(ABS(I272/I260-1)&lt;0.0005,0,(I272/I260-1))</f>
        <v>0.278166500790463</v>
      </c>
      <c r="BL272" s="57" t="n">
        <f aca="false">(I272/1.05)-11.14</f>
        <v>52.7705392722517</v>
      </c>
      <c r="BM272" s="163" t="n">
        <f aca="false">IF(ABS(BL272-BL271)&lt;0.05,0,BL272-BL271)</f>
        <v>2.77882144780369</v>
      </c>
      <c r="BN272" s="164" t="n">
        <f aca="false">IF(ABS(BL272/BL271-1)&lt;0.0005,0,(BL272/BL271-1))</f>
        <v>0.0555856363560432</v>
      </c>
      <c r="BO272" s="163" t="n">
        <f aca="false">IF(ABS(BL272-BL260)&lt;0.05,0,BL272-BL260)</f>
        <v>52.7705392722517</v>
      </c>
      <c r="BP272" s="155" t="e">
        <f aca="false">IF(ABS(BL272/BL260-1)&lt;0.0005,0,(BL272/BL260-1))</f>
        <v>#DIV/0!</v>
      </c>
      <c r="BQ272" s="162"/>
    </row>
    <row r="273" customFormat="false" ht="12.75" hidden="false" customHeight="true" outlineLevel="0" collapsed="false">
      <c r="A273" s="156" t="n">
        <v>40634</v>
      </c>
      <c r="B273" s="73" t="n">
        <v>2011</v>
      </c>
      <c r="C273" s="157" t="s">
        <v>62</v>
      </c>
      <c r="D273" s="74"/>
      <c r="E273" s="159" t="n">
        <v>141.802124492558</v>
      </c>
      <c r="F273" s="159" t="n">
        <v>134.74220569865</v>
      </c>
      <c r="G273" s="159" t="n">
        <v>141.122781192889</v>
      </c>
      <c r="H273" s="159" t="n">
        <v>61.2082343830666</v>
      </c>
      <c r="I273" s="159" t="n">
        <v>71.337366720517</v>
      </c>
      <c r="J273" s="159"/>
      <c r="K273" s="159" t="n">
        <v>147.699443218313</v>
      </c>
      <c r="L273" s="159"/>
      <c r="M273" s="160" t="n">
        <f aca="false">G273-F273</f>
        <v>6.38057549423945</v>
      </c>
      <c r="N273" s="75"/>
      <c r="O273" s="77" t="n">
        <v>258.430434979397</v>
      </c>
      <c r="P273" s="76"/>
      <c r="Q273" s="183"/>
      <c r="R273" s="162"/>
      <c r="S273" s="57" t="n">
        <f aca="false">IF(ABS(F273-F272)&lt;0.05,0,F273-F272)</f>
        <v>2.84981976087084</v>
      </c>
      <c r="T273" s="178" t="n">
        <f aca="false">IF((ABS(G273/G272-1))&lt;0.0005,0,(G273/G272-1))</f>
        <v>0.021693920314416</v>
      </c>
      <c r="U273" s="163" t="n">
        <f aca="false">IF(ABS(F273-F261)&lt;0.05,0,F273-F261)</f>
        <v>14.9392136986497</v>
      </c>
      <c r="V273" s="164" t="n">
        <f aca="false">IF(ABS(F273/F261-1)&lt;0.0005,0,(F273/F261-1))</f>
        <v>0.124698168628791</v>
      </c>
      <c r="W273" s="57" t="n">
        <f aca="false">(F273/1.2)-57.95</f>
        <v>54.3351714155414</v>
      </c>
      <c r="X273" s="163" t="n">
        <f aca="false">IF(ABS(W273-W272)&lt;0.05,0,W273-W272)</f>
        <v>2.37484980072571</v>
      </c>
      <c r="Y273" s="184" t="n">
        <f aca="false">IF(ABS(W273/W272-1)&lt;0.0005,0,(W273/W272-1))</f>
        <v>0.0457050635354144</v>
      </c>
      <c r="Z273" s="163" t="n">
        <f aca="false">IF(ABS(W273-W261)&lt;0.05,0,W273-W261)</f>
        <v>54.3351714155414</v>
      </c>
      <c r="AA273" s="155" t="e">
        <f aca="false">IF(ABS(W273/W261-1)&lt;0.0005,0,(W273/W261-1))</f>
        <v>#DIV/0!</v>
      </c>
      <c r="AB273" s="185"/>
      <c r="AC273" s="57" t="n">
        <f aca="false">IF(ABS(G273-G272)&lt;0.05,0,G273-G272)</f>
        <v>2.99650052611173</v>
      </c>
      <c r="AD273" s="164" t="n">
        <f aca="false">IF(ABS(G273/G272-1)&lt;0.0005,0,(G273/G272-1))</f>
        <v>0.021693920314416</v>
      </c>
      <c r="AE273" s="163" t="n">
        <f aca="false">IF(ABS(G273-G261)&lt;0.05,0,G273-G261)</f>
        <v>20.1372752531352</v>
      </c>
      <c r="AF273" s="164" t="n">
        <f aca="false">IF(ABS(G273/G261-1)&lt;0.0005,0,(G273/G261-1))</f>
        <v>0.166443699984714</v>
      </c>
      <c r="AG273" s="57" t="n">
        <f aca="false">(G273/1.2)-57.95</f>
        <v>59.652317660741</v>
      </c>
      <c r="AH273" s="163" t="n">
        <f aca="false">IF(ABS(AG273-AG272)&lt;0.05,0,AG273-AG272)</f>
        <v>2.49708377175978</v>
      </c>
      <c r="AI273" s="164" t="n">
        <f aca="false">IF(ABS(AG273/AG272-1)&lt;0.0005,0,(AG273/AG272-1))</f>
        <v>0.0436895031627398</v>
      </c>
      <c r="AJ273" s="163" t="n">
        <f aca="false">IF(ABS(AG273-AG261)&lt;0.05,0,AG273-AG261)</f>
        <v>59.652317660741</v>
      </c>
      <c r="AK273" s="155" t="e">
        <f aca="false">IF(ABS(AG273/AG261-1)&lt;0.0005,0,(AG273/AG261-1))</f>
        <v>#DIV/0!</v>
      </c>
      <c r="AL273" s="185"/>
      <c r="AM273" s="156" t="n">
        <f aca="false">IF(E273="..","",A273)</f>
        <v>40634</v>
      </c>
      <c r="AN273" s="57" t="n">
        <f aca="false">IF(ABS(E273-E272)&lt;0.05,0,E273-E272)</f>
        <v>3.86247631935049</v>
      </c>
      <c r="AO273" s="164" t="n">
        <f aca="false">IF(ABS(E273/E272-1)&lt;0.0005,0,(E273/E272-1))</f>
        <v>0.0280012046608999</v>
      </c>
      <c r="AP273" s="163" t="n">
        <f aca="false">IF(ABS(E273-E261)&lt;0.05,0,E273-E261)</f>
        <v>15.7043154429796</v>
      </c>
      <c r="AQ273" s="164" t="n">
        <f aca="false">IF(ABS(E273/E261-1)&lt;0.0005,0,(E273/E261-1))</f>
        <v>0.124540747863471</v>
      </c>
      <c r="AR273" s="57" t="n">
        <f aca="false">(E273/1.2)-57.95</f>
        <v>60.2184370771313</v>
      </c>
      <c r="AS273" s="163" t="n">
        <f aca="false">IF(ABS(AR273-AR272)&lt;0.05,0,AR273-AR272)</f>
        <v>3.21873026612541</v>
      </c>
      <c r="AT273" s="164" t="n">
        <f aca="false">IF(ABS(AR273/AR272-1)&lt;0.0005,0,(AR273/AR272-1))</f>
        <v>0.0564692424962423</v>
      </c>
      <c r="AU273" s="163" t="n">
        <f aca="false">IF(ABS(AR273-AR261)&lt;0.05,0,AR273-AR261)</f>
        <v>13.0869295358164</v>
      </c>
      <c r="AV273" s="155" t="n">
        <f aca="false">IF(ABS(AR273/AR261-1)&lt;0.0005,0,(AR273/AR261-1))</f>
        <v>0.277668384028339</v>
      </c>
      <c r="AW273" s="185"/>
      <c r="AX273" s="163" t="n">
        <f aca="false">IF(ABS(H273-H272)&lt;0.05,0,H273-H272)</f>
        <v>3.61125451729479</v>
      </c>
      <c r="AY273" s="164" t="n">
        <f aca="false">IF(ABS(H273/H272-1)&lt;0.0005,0,(H273/H272-1))</f>
        <v>0.0626986783979076</v>
      </c>
      <c r="AZ273" s="163" t="n">
        <f aca="false">IF(ABS(H273-H261)&lt;0.05,0,H273-H261)</f>
        <v>14.5257410461796</v>
      </c>
      <c r="BA273" s="164" t="n">
        <f aca="false">IF(ABS(H273/H261-1)&lt;0.0005,0,(H273/H261-1))</f>
        <v>0.311160351726583</v>
      </c>
      <c r="BB273" s="57" t="n">
        <f aca="false">(H273/1.05)</f>
        <v>58.2935565553015</v>
      </c>
      <c r="BC273" s="163" t="n">
        <f aca="false">IF(ABS(BB273-BB272)&lt;0.05,0,BB273-BB272)</f>
        <v>3.43929001647123</v>
      </c>
      <c r="BD273" s="164" t="n">
        <f aca="false">IF(ABS(BB273/BB272-1)&lt;0.0005,0,(BB273/BB272-1))</f>
        <v>0.0626986783979078</v>
      </c>
      <c r="BE273" s="163" t="n">
        <f aca="false">IF(ABS(BB273-BB261)&lt;0.05,0,BB273-BB261)</f>
        <v>58.2935565553015</v>
      </c>
      <c r="BF273" s="155" t="e">
        <f aca="false">IF(ABS(BB273/BB261-1)&lt;0.0005,0,(BB273/BB261-1))</f>
        <v>#DIV/0!</v>
      </c>
      <c r="BG273" s="162"/>
      <c r="BH273" s="163" t="n">
        <f aca="false">IF(ABS(I273-I272)&lt;0.05,0,I273-I272)</f>
        <v>4.23130048465265</v>
      </c>
      <c r="BI273" s="164" t="n">
        <f aca="false">IF(ABS(I273/I272-1)&lt;0.0005,0,(I273/I272-1))</f>
        <v>0.063053919295172</v>
      </c>
      <c r="BJ273" s="163" t="n">
        <f aca="false">IF(ABS(I273-I261)&lt;0.05,0,I273-I261)</f>
        <v>16.1821152876198</v>
      </c>
      <c r="BK273" s="164" t="n">
        <f aca="false">IF(ABS(I273/I261-1)&lt;0.0005,0,(I273/I261-1))</f>
        <v>0.29339210441833</v>
      </c>
      <c r="BL273" s="57" t="n">
        <f aca="false">(I273/1.05)-11.14</f>
        <v>56.8003492576352</v>
      </c>
      <c r="BM273" s="163" t="n">
        <f aca="false">IF(ABS(BL273-BL272)&lt;0.05,0,BL273-BL272)</f>
        <v>4.02980998538347</v>
      </c>
      <c r="BN273" s="164" t="n">
        <f aca="false">IF(ABS(BL273/BL272-1)&lt;0.0005,0,(BL273/BL272-1))</f>
        <v>0.0763647679360076</v>
      </c>
      <c r="BO273" s="163" t="n">
        <f aca="false">IF(ABS(BL273-BL261)&lt;0.05,0,BL273-BL261)</f>
        <v>56.8003492576352</v>
      </c>
      <c r="BP273" s="155" t="e">
        <f aca="false">IF(ABS(BL273/BL261-1)&lt;0.0005,0,(BL273/BL261-1))</f>
        <v>#DIV/0!</v>
      </c>
      <c r="BQ273" s="162"/>
    </row>
    <row r="274" customFormat="false" ht="12.75" hidden="false" customHeight="true" outlineLevel="0" collapsed="false">
      <c r="A274" s="156" t="n">
        <v>40664</v>
      </c>
      <c r="B274" s="73" t="n">
        <v>2011</v>
      </c>
      <c r="C274" s="157" t="s">
        <v>63</v>
      </c>
      <c r="D274" s="74"/>
      <c r="E274" s="159" t="n">
        <v>144.363910690122</v>
      </c>
      <c r="F274" s="159" t="n">
        <v>136.706065076438</v>
      </c>
      <c r="G274" s="159" t="n">
        <v>141.507273633494</v>
      </c>
      <c r="H274" s="159" t="n">
        <v>60.4126690758906</v>
      </c>
      <c r="I274" s="159" t="n">
        <v>69.1328634894992</v>
      </c>
      <c r="J274" s="159"/>
      <c r="K274" s="159" t="n">
        <v>137.050773267885</v>
      </c>
      <c r="L274" s="159"/>
      <c r="M274" s="160" t="n">
        <f aca="false">G274-F274</f>
        <v>4.80120855705587</v>
      </c>
      <c r="N274" s="75"/>
      <c r="O274" s="77" t="n">
        <v>239.879669049691</v>
      </c>
      <c r="P274" s="76"/>
      <c r="Q274" s="183"/>
      <c r="R274" s="162"/>
      <c r="S274" s="57" t="n">
        <f aca="false">IF(ABS(F274-F273)&lt;0.05,0,F274-F273)</f>
        <v>1.96385937778837</v>
      </c>
      <c r="T274" s="178" t="n">
        <f aca="false">IF((ABS(G274/G273-1))&lt;0.0005,0,(G274/G273-1))</f>
        <v>0.0027245242572087</v>
      </c>
      <c r="U274" s="163" t="n">
        <f aca="false">IF(ABS(F274-F262)&lt;0.05,0,F274-F262)</f>
        <v>15.5268780764381</v>
      </c>
      <c r="V274" s="164" t="n">
        <f aca="false">IF(ABS(F274/F262-1)&lt;0.0005,0,(F274/F262-1))</f>
        <v>0.128131558403986</v>
      </c>
      <c r="W274" s="57" t="n">
        <f aca="false">(F274/1.2)-57.95</f>
        <v>55.9717208970317</v>
      </c>
      <c r="X274" s="163" t="n">
        <f aca="false">IF(ABS(W274-W273)&lt;0.05,0,W274-W273)</f>
        <v>1.63654948149031</v>
      </c>
      <c r="Y274" s="184" t="n">
        <f aca="false">IF(ABS(W274/W273-1)&lt;0.0005,0,(W274/W273-1))</f>
        <v>0.0301195236686453</v>
      </c>
      <c r="Z274" s="163" t="n">
        <f aca="false">IF(ABS(W274-W262)&lt;0.05,0,W274-W262)</f>
        <v>55.9717208970317</v>
      </c>
      <c r="AA274" s="155" t="e">
        <f aca="false">IF(ABS(W274/W262-1)&lt;0.0005,0,(W274/W262-1))</f>
        <v>#DIV/0!</v>
      </c>
      <c r="AB274" s="185"/>
      <c r="AC274" s="57" t="n">
        <f aca="false">IF(ABS(G274-G273)&lt;0.05,0,G274-G273)</f>
        <v>0.384492440604788</v>
      </c>
      <c r="AD274" s="164" t="n">
        <f aca="false">IF(ABS(G274/G273-1)&lt;0.0005,0,(G274/G273-1))</f>
        <v>0.0027245242572087</v>
      </c>
      <c r="AE274" s="163" t="n">
        <f aca="false">IF(ABS(G274-G262)&lt;0.05,0,G274-G262)</f>
        <v>18.7535528019284</v>
      </c>
      <c r="AF274" s="164" t="n">
        <f aca="false">IF(ABS(G274/G262-1)&lt;0.0005,0,(G274/G262-1))</f>
        <v>0.152773803310294</v>
      </c>
      <c r="AG274" s="57" t="n">
        <f aca="false">(G274/1.2)-57.95</f>
        <v>59.9727280279116</v>
      </c>
      <c r="AH274" s="163" t="n">
        <f aca="false">IF(ABS(AG274-AG273)&lt;0.05,0,AG274-AG273)</f>
        <v>0.320410367170652</v>
      </c>
      <c r="AI274" s="164" t="n">
        <f aca="false">IF(ABS(AG274/AG273-1)&lt;0.0005,0,(AG274/AG273-1))</f>
        <v>0.00537129787635271</v>
      </c>
      <c r="AJ274" s="163" t="n">
        <f aca="false">IF(ABS(AG274-AG262)&lt;0.05,0,AG274-AG262)</f>
        <v>59.9727280279116</v>
      </c>
      <c r="AK274" s="155" t="e">
        <f aca="false">IF(ABS(AG274/AG262-1)&lt;0.0005,0,(AG274/AG262-1))</f>
        <v>#DIV/0!</v>
      </c>
      <c r="AL274" s="185"/>
      <c r="AM274" s="156" t="n">
        <f aca="false">IF(E274="..","",A274)</f>
        <v>40664</v>
      </c>
      <c r="AN274" s="57" t="n">
        <f aca="false">IF(ABS(E274-E273)&lt;0.05,0,E274-E273)</f>
        <v>2.56178619756426</v>
      </c>
      <c r="AO274" s="164" t="n">
        <f aca="false">IF(ABS(E274/E273-1)&lt;0.0005,0,(E274/E273-1))</f>
        <v>0.0180659225433446</v>
      </c>
      <c r="AP274" s="163" t="n">
        <f aca="false">IF(ABS(E274-E262)&lt;0.05,0,E274-E262)</f>
        <v>17.283031711988</v>
      </c>
      <c r="AQ274" s="164" t="n">
        <f aca="false">IF(ABS(E274/E262-1)&lt;0.0005,0,(E274/E262-1))</f>
        <v>0.136000253153441</v>
      </c>
      <c r="AR274" s="57" t="n">
        <f aca="false">(E274/1.2)-57.95</f>
        <v>62.3532589084348</v>
      </c>
      <c r="AS274" s="163" t="n">
        <f aca="false">IF(ABS(AR274-AR273)&lt;0.05,0,AR274-AR273)</f>
        <v>2.13482183130355</v>
      </c>
      <c r="AT274" s="164" t="n">
        <f aca="false">IF(ABS(AR274/AR273-1)&lt;0.0005,0,(AR274/AR273-1))</f>
        <v>0.0354512992186953</v>
      </c>
      <c r="AU274" s="163" t="n">
        <f aca="false">IF(ABS(AR274-AR262)&lt;0.05,0,AR274-AR262)</f>
        <v>14.4025264266567</v>
      </c>
      <c r="AV274" s="155" t="n">
        <f aca="false">IF(ABS(AR274/AR262-1)&lt;0.0005,0,(AR274/AR262-1))</f>
        <v>0.30036092633475</v>
      </c>
      <c r="AW274" s="185"/>
      <c r="AX274" s="163" t="n">
        <f aca="false">IF(ABS(H274-H273)&lt;0.05,0,H274-H273)</f>
        <v>-0.795565307176048</v>
      </c>
      <c r="AY274" s="164" t="n">
        <f aca="false">IF(ABS(H274/H273-1)&lt;0.0005,0,(H274/H273-1))</f>
        <v>-0.012997684301708</v>
      </c>
      <c r="AZ274" s="163" t="n">
        <f aca="false">IF(ABS(H274-H262)&lt;0.05,0,H274-H262)</f>
        <v>12.9990896515835</v>
      </c>
      <c r="BA274" s="164" t="n">
        <f aca="false">IF(ABS(H274/H262-1)&lt;0.0005,0,(H274/H262-1))</f>
        <v>0.274163853676894</v>
      </c>
      <c r="BB274" s="57" t="n">
        <f aca="false">(H274/1.05)</f>
        <v>57.535875310372</v>
      </c>
      <c r="BC274" s="163" t="n">
        <f aca="false">IF(ABS(BB274-BB273)&lt;0.05,0,BB274-BB273)</f>
        <v>-0.757681244929572</v>
      </c>
      <c r="BD274" s="164" t="n">
        <f aca="false">IF(ABS(BB274/BB273-1)&lt;0.0005,0,(BB274/BB273-1))</f>
        <v>-0.012997684301708</v>
      </c>
      <c r="BE274" s="163" t="n">
        <f aca="false">IF(ABS(BB274-BB262)&lt;0.05,0,BB274-BB262)</f>
        <v>57.535875310372</v>
      </c>
      <c r="BF274" s="155" t="e">
        <f aca="false">IF(ABS(BB274/BB262-1)&lt;0.0005,0,(BB274/BB262-1))</f>
        <v>#DIV/0!</v>
      </c>
      <c r="BG274" s="162"/>
      <c r="BH274" s="163" t="n">
        <f aca="false">IF(ABS(I274-I273)&lt;0.05,0,I274-I273)</f>
        <v>-2.20450323101775</v>
      </c>
      <c r="BI274" s="164" t="n">
        <f aca="false">IF(ABS(I274/I273-1)&lt;0.0005,0,(I274/I273-1))</f>
        <v>-0.0309025035876988</v>
      </c>
      <c r="BJ274" s="163" t="n">
        <f aca="false">IF(ABS(I274-I262)&lt;0.05,0,I274-I262)</f>
        <v>12.703950328474</v>
      </c>
      <c r="BK274" s="164" t="n">
        <f aca="false">IF(ABS(I274/I262-1)&lt;0.0005,0,(I274/I262-1))</f>
        <v>0.225131933557219</v>
      </c>
      <c r="BL274" s="57" t="n">
        <f aca="false">(I274/1.05)-11.14</f>
        <v>54.7008223709516</v>
      </c>
      <c r="BM274" s="163" t="n">
        <f aca="false">IF(ABS(BL274-BL273)&lt;0.05,0,BL274-BL273)</f>
        <v>-2.09952688668358</v>
      </c>
      <c r="BN274" s="164" t="n">
        <f aca="false">IF(ABS(BL274/BL273-1)&lt;0.0005,0,(BL274/BL273-1))</f>
        <v>-0.0369632742425674</v>
      </c>
      <c r="BO274" s="163" t="n">
        <f aca="false">IF(ABS(BL274-BL262)&lt;0.05,0,BL274-BL262)</f>
        <v>54.7008223709516</v>
      </c>
      <c r="BP274" s="155" t="e">
        <f aca="false">IF(ABS(BL274/BL262-1)&lt;0.0005,0,(BL274/BL262-1))</f>
        <v>#DIV/0!</v>
      </c>
      <c r="BQ274" s="162"/>
    </row>
    <row r="275" customFormat="false" ht="12.75" hidden="false" customHeight="true" outlineLevel="0" collapsed="false">
      <c r="A275" s="156" t="n">
        <v>40695</v>
      </c>
      <c r="B275" s="73" t="n">
        <v>2011</v>
      </c>
      <c r="C275" s="157" t="s">
        <v>64</v>
      </c>
      <c r="D275" s="74"/>
      <c r="E275" s="159" t="n">
        <v>142.800473612991</v>
      </c>
      <c r="F275" s="159" t="n">
        <v>135.564746297067</v>
      </c>
      <c r="G275" s="159" t="n">
        <v>139.642350888852</v>
      </c>
      <c r="H275" s="159" t="n">
        <v>58.8359370160041</v>
      </c>
      <c r="I275" s="159" t="n">
        <v>68.122746365105</v>
      </c>
      <c r="J275" s="159"/>
      <c r="K275" s="159" t="n">
        <v>138.092597737824</v>
      </c>
      <c r="L275" s="159"/>
      <c r="M275" s="160" t="n">
        <f aca="false">G275-F275</f>
        <v>4.07760459178459</v>
      </c>
      <c r="N275" s="75"/>
      <c r="O275" s="77" t="n">
        <v>241.70110675096</v>
      </c>
      <c r="P275" s="76"/>
      <c r="Q275" s="183"/>
      <c r="R275" s="162"/>
      <c r="S275" s="57" t="n">
        <f aca="false">IF(ABS(F275-F274)&lt;0.05,0,F275-F274)</f>
        <v>-1.14131877937066</v>
      </c>
      <c r="T275" s="178" t="n">
        <f aca="false">IF((ABS(G275/G274-1))&lt;0.0005,0,(G275/G274-1))</f>
        <v>-0.0131789885901704</v>
      </c>
      <c r="U275" s="163" t="n">
        <f aca="false">IF(ABS(F275-F263)&lt;0.05,0,F275-F263)</f>
        <v>17.8638702970674</v>
      </c>
      <c r="V275" s="164" t="n">
        <f aca="false">IF(ABS(F275/F263-1)&lt;0.0005,0,(F275/F263-1))</f>
        <v>0.151773469358609</v>
      </c>
      <c r="W275" s="57" t="n">
        <f aca="false">(F275/1.2)-57.95</f>
        <v>55.0206219142228</v>
      </c>
      <c r="X275" s="163" t="n">
        <f aca="false">IF(ABS(W275-W274)&lt;0.05,0,W275-W274)</f>
        <v>-0.951098982808887</v>
      </c>
      <c r="Y275" s="184" t="n">
        <f aca="false">IF(ABS(W275/W274-1)&lt;0.0005,0,(W275/W274-1))</f>
        <v>-0.016992491343237</v>
      </c>
      <c r="Z275" s="163" t="n">
        <f aca="false">IF(ABS(W275-W263)&lt;0.05,0,W275-W263)</f>
        <v>55.0206219142228</v>
      </c>
      <c r="AA275" s="155" t="e">
        <f aca="false">IF(ABS(W275/W263-1)&lt;0.0005,0,(W275/W263-1))</f>
        <v>#DIV/0!</v>
      </c>
      <c r="AB275" s="185"/>
      <c r="AC275" s="57" t="n">
        <f aca="false">IF(ABS(G275-G274)&lt;0.05,0,G275-G274)</f>
        <v>-1.86492274464194</v>
      </c>
      <c r="AD275" s="164" t="n">
        <f aca="false">IF(ABS(G275/G274-1)&lt;0.0005,0,(G275/G274-1))</f>
        <v>-0.0131789885901704</v>
      </c>
      <c r="AE275" s="163" t="n">
        <f aca="false">IF(ABS(G275-G263)&lt;0.05,0,G275-G263)</f>
        <v>19.5256400275877</v>
      </c>
      <c r="AF275" s="164" t="n">
        <f aca="false">IF(ABS(G275/G263-1)&lt;0.0005,0,(G275/G263-1))</f>
        <v>0.162555566894767</v>
      </c>
      <c r="AG275" s="57" t="n">
        <f aca="false">(G275/1.2)-57.95</f>
        <v>58.41862574071</v>
      </c>
      <c r="AH275" s="163" t="n">
        <f aca="false">IF(ABS(AG275-AG274)&lt;0.05,0,AG275-AG274)</f>
        <v>-1.55410228720162</v>
      </c>
      <c r="AI275" s="164" t="n">
        <f aca="false">IF(ABS(AG275/AG274-1)&lt;0.0005,0,(AG275/AG274-1))</f>
        <v>-0.0259134833165889</v>
      </c>
      <c r="AJ275" s="163" t="n">
        <f aca="false">IF(ABS(AG275-AG263)&lt;0.05,0,AG275-AG263)</f>
        <v>58.41862574071</v>
      </c>
      <c r="AK275" s="155" t="e">
        <f aca="false">IF(ABS(AG275/AG263-1)&lt;0.0005,0,(AG275/AG263-1))</f>
        <v>#DIV/0!</v>
      </c>
      <c r="AL275" s="185"/>
      <c r="AM275" s="156" t="n">
        <f aca="false">IF(E275="..","",A275)</f>
        <v>40695</v>
      </c>
      <c r="AN275" s="57" t="n">
        <f aca="false">IF(ABS(E275-E274)&lt;0.05,0,E275-E274)</f>
        <v>-1.56343707713128</v>
      </c>
      <c r="AO275" s="164" t="n">
        <f aca="false">IF(ABS(E275/E274-1)&lt;0.0005,0,(E275/E274-1))</f>
        <v>-0.0108298332294919</v>
      </c>
      <c r="AP275" s="163" t="n">
        <f aca="false">IF(ABS(E275-E263)&lt;0.05,0,E275-E263)</f>
        <v>17.9482653428021</v>
      </c>
      <c r="AQ275" s="164" t="n">
        <f aca="false">IF(ABS(E275/E263-1)&lt;0.0005,0,(E275/E263-1))</f>
        <v>0.143756090432625</v>
      </c>
      <c r="AR275" s="57" t="n">
        <f aca="false">(E275/1.2)-57.95</f>
        <v>61.0503946774921</v>
      </c>
      <c r="AS275" s="163" t="n">
        <f aca="false">IF(ABS(AR275-AR274)&lt;0.05,0,AR275-AR274)</f>
        <v>-1.30286423094273</v>
      </c>
      <c r="AT275" s="164" t="n">
        <f aca="false">IF(ABS(AR275/AR274-1)&lt;0.0005,0,(AR275/AR274-1))</f>
        <v>-0.0208948859089463</v>
      </c>
      <c r="AU275" s="163" t="n">
        <f aca="false">IF(ABS(AR275-AR263)&lt;0.05,0,AR275-AR263)</f>
        <v>14.9568877856685</v>
      </c>
      <c r="AV275" s="155" t="n">
        <f aca="false">IF(ABS(AR275/AR263-1)&lt;0.0005,0,(AR275/AR263-1))</f>
        <v>0.32449012440669</v>
      </c>
      <c r="AW275" s="185"/>
      <c r="AX275" s="163" t="n">
        <f aca="false">IF(ABS(H275-H274)&lt;0.05,0,H275-H274)</f>
        <v>-1.57673205988642</v>
      </c>
      <c r="AY275" s="164" t="n">
        <f aca="false">IF(ABS(H275/H274-1)&lt;0.0005,0,(H275/H274-1))</f>
        <v>-0.026099361011607</v>
      </c>
      <c r="AZ275" s="163" t="n">
        <f aca="false">IF(ABS(H275-H263)&lt;0.05,0,H275-H263)</f>
        <v>12.0837501823154</v>
      </c>
      <c r="BA275" s="164" t="n">
        <f aca="false">IF(ABS(H275/H263-1)&lt;0.0005,0,(H275/H263-1))</f>
        <v>0.258463849515765</v>
      </c>
      <c r="BB275" s="57" t="n">
        <f aca="false">(H275/1.05)</f>
        <v>56.0342257295278</v>
      </c>
      <c r="BC275" s="163" t="n">
        <f aca="false">IF(ABS(BB275-BB274)&lt;0.05,0,BB275-BB274)</f>
        <v>-1.50164958084421</v>
      </c>
      <c r="BD275" s="164" t="n">
        <f aca="false">IF(ABS(BB275/BB274-1)&lt;0.0005,0,(BB275/BB274-1))</f>
        <v>-0.026099361011607</v>
      </c>
      <c r="BE275" s="163" t="n">
        <f aca="false">IF(ABS(BB275-BB263)&lt;0.05,0,BB275-BB263)</f>
        <v>56.0342257295278</v>
      </c>
      <c r="BF275" s="155" t="e">
        <f aca="false">IF(ABS(BB275/BB263-1)&lt;0.0005,0,(BB275/BB263-1))</f>
        <v>#DIV/0!</v>
      </c>
      <c r="BG275" s="162"/>
      <c r="BH275" s="163" t="n">
        <f aca="false">IF(ABS(I275-I274)&lt;0.05,0,I275-I274)</f>
        <v>-1.01011712439418</v>
      </c>
      <c r="BI275" s="164" t="n">
        <f aca="false">IF(ABS(I275/I274-1)&lt;0.0005,0,(I275/I274-1))</f>
        <v>-0.0146112438196288</v>
      </c>
      <c r="BJ275" s="163" t="n">
        <f aca="false">IF(ABS(I275-I263)&lt;0.05,0,I275-I263)</f>
        <v>12.8128080067185</v>
      </c>
      <c r="BK275" s="164" t="n">
        <f aca="false">IF(ABS(I275/I263-1)&lt;0.0005,0,(I275/I263-1))</f>
        <v>0.231654714993472</v>
      </c>
      <c r="BL275" s="57" t="n">
        <f aca="false">(I275/1.05)-11.14</f>
        <v>53.7388060620048</v>
      </c>
      <c r="BM275" s="163" t="n">
        <f aca="false">IF(ABS(BL275-BL274)&lt;0.05,0,BL275-BL274)</f>
        <v>-0.962016308946843</v>
      </c>
      <c r="BN275" s="164" t="n">
        <f aca="false">IF(ABS(BL275/BL274-1)&lt;0.0005,0,(BL275/BL274-1))</f>
        <v>-0.0175868710423212</v>
      </c>
      <c r="BO275" s="163" t="n">
        <f aca="false">IF(ABS(BL275-BL263)&lt;0.05,0,BL275-BL263)</f>
        <v>53.7388060620048</v>
      </c>
      <c r="BP275" s="155" t="e">
        <f aca="false">IF(ABS(BL275/BL263-1)&lt;0.0005,0,(BL275/BL263-1))</f>
        <v>#DIV/0!</v>
      </c>
      <c r="BQ275" s="162"/>
    </row>
    <row r="276" customFormat="false" ht="12.75" hidden="false" customHeight="true" outlineLevel="0" collapsed="false">
      <c r="A276" s="156" t="n">
        <v>40725</v>
      </c>
      <c r="B276" s="73" t="n">
        <v>2011</v>
      </c>
      <c r="C276" s="157" t="s">
        <v>65</v>
      </c>
      <c r="D276" s="74"/>
      <c r="E276" s="159" t="n">
        <v>142.922395128552</v>
      </c>
      <c r="F276" s="159" t="n">
        <v>135.106125156148</v>
      </c>
      <c r="G276" s="159" t="n">
        <v>139.42141607133</v>
      </c>
      <c r="H276" s="159" t="n">
        <v>58.6359886422303</v>
      </c>
      <c r="I276" s="159" t="n">
        <v>68.5865953150242</v>
      </c>
      <c r="J276" s="159"/>
      <c r="K276" s="159" t="n">
        <v>139.962292856304</v>
      </c>
      <c r="L276" s="159"/>
      <c r="M276" s="160" t="n">
        <f aca="false">G276-F276</f>
        <v>4.31529091518189</v>
      </c>
      <c r="N276" s="75"/>
      <c r="O276" s="77" t="n">
        <v>244.992219715374</v>
      </c>
      <c r="P276" s="76"/>
      <c r="Q276" s="183"/>
      <c r="R276" s="162"/>
      <c r="S276" s="57" t="n">
        <f aca="false">IF(ABS(F276-F275)&lt;0.05,0,F276-F275)</f>
        <v>-0.458621140919604</v>
      </c>
      <c r="T276" s="178" t="n">
        <f aca="false">IF((ABS(G276/G275-1))&lt;0.0005,0,(G276/G275-1))</f>
        <v>-0.00158214765159714</v>
      </c>
      <c r="U276" s="163" t="n">
        <f aca="false">IF(ABS(F276-F264)&lt;0.05,0,F276-F264)</f>
        <v>17.8822951561478</v>
      </c>
      <c r="V276" s="164" t="n">
        <f aca="false">IF(ABS(F276/F264-1)&lt;0.0005,0,(F276/F264-1))</f>
        <v>0.152548292920883</v>
      </c>
      <c r="W276" s="57" t="n">
        <f aca="false">(F276/1.2)-57.95</f>
        <v>54.6384376301232</v>
      </c>
      <c r="X276" s="163" t="n">
        <f aca="false">IF(ABS(W276-W275)&lt;0.05,0,W276-W275)</f>
        <v>-0.382184284099679</v>
      </c>
      <c r="Y276" s="184" t="n">
        <f aca="false">IF(ABS(W276/W275-1)&lt;0.0005,0,(W276/W275-1))</f>
        <v>-0.00694620072989183</v>
      </c>
      <c r="Z276" s="163" t="n">
        <f aca="false">IF(ABS(W276-W264)&lt;0.05,0,W276-W264)</f>
        <v>54.6384376301232</v>
      </c>
      <c r="AA276" s="155" t="e">
        <f aca="false">IF(ABS(W276/W264-1)&lt;0.0005,0,(W276/W264-1))</f>
        <v>#DIV/0!</v>
      </c>
      <c r="AB276" s="185"/>
      <c r="AC276" s="57" t="n">
        <f aca="false">IF(ABS(G276-G275)&lt;0.05,0,G276-G275)</f>
        <v>-0.220934817522306</v>
      </c>
      <c r="AD276" s="164" t="n">
        <f aca="false">IF(ABS(G276/G275-1)&lt;0.0005,0,(G276/G275-1))</f>
        <v>-0.00158214765159714</v>
      </c>
      <c r="AE276" s="163" t="n">
        <f aca="false">IF(ABS(G276-G264)&lt;0.05,0,G276-G264)</f>
        <v>19.7594103437098</v>
      </c>
      <c r="AF276" s="164" t="n">
        <f aca="false">IF(ABS(G276/G264-1)&lt;0.0005,0,(G276/G264-1))</f>
        <v>0.165126852283314</v>
      </c>
      <c r="AG276" s="57" t="n">
        <f aca="false">(G276/1.2)-57.95</f>
        <v>58.2345133927747</v>
      </c>
      <c r="AH276" s="163" t="n">
        <f aca="false">IF(ABS(AG276-AG275)&lt;0.05,0,AG276-AG275)</f>
        <v>-0.184112347935255</v>
      </c>
      <c r="AI276" s="164" t="n">
        <f aca="false">IF(ABS(AG276/AG275-1)&lt;0.0005,0,(AG276/AG275-1))</f>
        <v>-0.00315160354426058</v>
      </c>
      <c r="AJ276" s="163" t="n">
        <f aca="false">IF(ABS(AG276-AG264)&lt;0.05,0,AG276-AG264)</f>
        <v>58.2345133927747</v>
      </c>
      <c r="AK276" s="155" t="e">
        <f aca="false">IF(ABS(AG276/AG264-1)&lt;0.0005,0,(AG276/AG264-1))</f>
        <v>#DIV/0!</v>
      </c>
      <c r="AL276" s="185"/>
      <c r="AM276" s="156" t="n">
        <f aca="false">IF(E276="..","",A276)</f>
        <v>40725</v>
      </c>
      <c r="AN276" s="57" t="n">
        <f aca="false">IF(ABS(E276-E275)&lt;0.05,0,E276-E275)</f>
        <v>0.121921515561581</v>
      </c>
      <c r="AO276" s="164" t="n">
        <f aca="false">IF(ABS(E276/E275-1)&lt;0.0005,0,(E276/E275-1))</f>
        <v>0.000853789294088747</v>
      </c>
      <c r="AP276" s="163" t="n">
        <f aca="false">IF(ABS(E276-E264)&lt;0.05,0,E276-E264)</f>
        <v>18.3862336217324</v>
      </c>
      <c r="AQ276" s="164" t="n">
        <f aca="false">IF(ABS(E276/E264-1)&lt;0.0005,0,(E276/E264-1))</f>
        <v>0.147637709395159</v>
      </c>
      <c r="AR276" s="57" t="n">
        <f aca="false">(E276/1.2)-57.95</f>
        <v>61.1519959404601</v>
      </c>
      <c r="AS276" s="163" t="n">
        <f aca="false">IF(ABS(AR276-AR275)&lt;0.05,0,AR276-AR275)</f>
        <v>0.101601262967975</v>
      </c>
      <c r="AT276" s="164" t="n">
        <f aca="false">IF(ABS(AR276/AR275-1)&lt;0.0005,0,(AR276/AR275-1))</f>
        <v>0.00166421959275942</v>
      </c>
      <c r="AU276" s="163" t="n">
        <f aca="false">IF(ABS(AR276-AR264)&lt;0.05,0,AR276-AR264)</f>
        <v>15.3218613514437</v>
      </c>
      <c r="AV276" s="155" t="n">
        <f aca="false">IF(ABS(AR276/AR264-1)&lt;0.0005,0,(AR276/AR264-1))</f>
        <v>0.334318489108598</v>
      </c>
      <c r="AW276" s="185"/>
      <c r="AX276" s="163" t="n">
        <f aca="false">IF(ABS(H276-H275)&lt;0.05,0,H276-H275)</f>
        <v>-0.199948373773886</v>
      </c>
      <c r="AY276" s="164" t="n">
        <f aca="false">IF(ABS(H276/H275-1)&lt;0.0005,0,(H276/H275-1))</f>
        <v>-0.00339840553095117</v>
      </c>
      <c r="AZ276" s="163" t="n">
        <f aca="false">IF(ABS(H276-H264)&lt;0.05,0,H276-H264)</f>
        <v>14.1821706784776</v>
      </c>
      <c r="BA276" s="164" t="n">
        <f aca="false">IF(ABS(H276/H264-1)&lt;0.0005,0,(H276/H264-1))</f>
        <v>0.319031555175792</v>
      </c>
      <c r="BB276" s="57" t="n">
        <f aca="false">(H276/1.05)</f>
        <v>55.843798706886</v>
      </c>
      <c r="BC276" s="163" t="n">
        <f aca="false">IF(ABS(BB276-BB275)&lt;0.05,0,BB276-BB275)</f>
        <v>-0.190427022641792</v>
      </c>
      <c r="BD276" s="164" t="n">
        <f aca="false">IF(ABS(BB276/BB275-1)&lt;0.0005,0,(BB276/BB275-1))</f>
        <v>-0.00339840553095117</v>
      </c>
      <c r="BE276" s="163" t="n">
        <f aca="false">IF(ABS(BB276-BB264)&lt;0.05,0,BB276-BB264)</f>
        <v>55.843798706886</v>
      </c>
      <c r="BF276" s="155" t="e">
        <f aca="false">IF(ABS(BB276/BB264-1)&lt;0.0005,0,(BB276/BB264-1))</f>
        <v>#DIV/0!</v>
      </c>
      <c r="BG276" s="162"/>
      <c r="BH276" s="163" t="n">
        <f aca="false">IF(ABS(I276-I275)&lt;0.05,0,I276-I275)</f>
        <v>0.463848949919225</v>
      </c>
      <c r="BI276" s="164" t="n">
        <f aca="false">IF(ABS(I276/I275-1)&lt;0.0005,0,(I276/I275-1))</f>
        <v>0.00680901717369431</v>
      </c>
      <c r="BJ276" s="163" t="n">
        <f aca="false">IF(ABS(I276-I264)&lt;0.05,0,I276-I264)</f>
        <v>15.2630060428279</v>
      </c>
      <c r="BK276" s="164" t="n">
        <f aca="false">IF(ABS(I276/I264-1)&lt;0.0005,0,(I276/I264-1))</f>
        <v>0.286233658520549</v>
      </c>
      <c r="BL276" s="57" t="n">
        <f aca="false">(I276/1.05)-11.14</f>
        <v>54.1805669666898</v>
      </c>
      <c r="BM276" s="163" t="n">
        <f aca="false">IF(ABS(BL276-BL275)&lt;0.05,0,BL276-BL275)</f>
        <v>0.441760904684983</v>
      </c>
      <c r="BN276" s="164" t="n">
        <f aca="false">IF(ABS(BL276/BL275-1)&lt;0.0005,0,(BL276/BL275-1))</f>
        <v>0.00822051952876057</v>
      </c>
      <c r="BO276" s="163" t="n">
        <f aca="false">IF(ABS(BL276-BL264)&lt;0.05,0,BL276-BL264)</f>
        <v>54.1805669666898</v>
      </c>
      <c r="BP276" s="155" t="e">
        <f aca="false">IF(ABS(BL276/BL264-1)&lt;0.0005,0,(BL276/BL264-1))</f>
        <v>#DIV/0!</v>
      </c>
      <c r="BQ276" s="162"/>
    </row>
    <row r="277" customFormat="false" ht="12.75" hidden="false" customHeight="true" outlineLevel="0" collapsed="false">
      <c r="A277" s="156" t="n">
        <v>40756</v>
      </c>
      <c r="B277" s="73" t="n">
        <v>2011</v>
      </c>
      <c r="C277" s="157" t="s">
        <v>66</v>
      </c>
      <c r="D277" s="74"/>
      <c r="E277" s="159" t="n">
        <v>142.904127198917</v>
      </c>
      <c r="F277" s="159" t="n">
        <v>135.34572601273</v>
      </c>
      <c r="G277" s="159" t="n">
        <v>139.852392423991</v>
      </c>
      <c r="H277" s="159" t="n">
        <v>57.7184254001033</v>
      </c>
      <c r="I277" s="159" t="n">
        <v>68.0142528271406</v>
      </c>
      <c r="J277" s="159"/>
      <c r="K277" s="159" t="n">
        <v>131.940729749261</v>
      </c>
      <c r="L277" s="159"/>
      <c r="M277" s="160" t="n">
        <f aca="false">G277-F277</f>
        <v>4.50666641126097</v>
      </c>
      <c r="N277" s="75"/>
      <c r="O277" s="77" t="n">
        <v>230.908980214118</v>
      </c>
      <c r="P277" s="76"/>
      <c r="Q277" s="183"/>
      <c r="R277" s="162"/>
      <c r="S277" s="57" t="n">
        <f aca="false">IF(ABS(F277-F276)&lt;0.05,0,F277-F276)</f>
        <v>0.239600856581944</v>
      </c>
      <c r="T277" s="178" t="n">
        <f aca="false">IF((ABS(G277/G276-1))&lt;0.0005,0,(G277/G276-1))</f>
        <v>0.00309117755941113</v>
      </c>
      <c r="U277" s="163" t="n">
        <f aca="false">IF(ABS(F277-F265)&lt;0.05,0,F277-F265)</f>
        <v>19.1505710127297</v>
      </c>
      <c r="V277" s="164" t="n">
        <f aca="false">IF(ABS(F277/F265-1)&lt;0.0005,0,(F277/F265-1))</f>
        <v>0.164813851427194</v>
      </c>
      <c r="W277" s="57" t="n">
        <f aca="false">(F277/1.2)-57.95</f>
        <v>54.8381050106081</v>
      </c>
      <c r="X277" s="163" t="n">
        <f aca="false">IF(ABS(W277-W276)&lt;0.05,0,W277-W276)</f>
        <v>0.199667380484954</v>
      </c>
      <c r="Y277" s="184" t="n">
        <f aca="false">IF(ABS(W277/W276-1)&lt;0.0005,0,(W277/W276-1))</f>
        <v>0.00365433912727542</v>
      </c>
      <c r="Z277" s="163" t="n">
        <f aca="false">IF(ABS(W277-W265)&lt;0.05,0,W277-W265)</f>
        <v>54.8381050106081</v>
      </c>
      <c r="AA277" s="155" t="e">
        <f aca="false">IF(ABS(W277/W265-1)&lt;0.0005,0,(W277/W265-1))</f>
        <v>#DIV/0!</v>
      </c>
      <c r="AB277" s="185"/>
      <c r="AC277" s="57" t="n">
        <f aca="false">IF(ABS(G277-G276)&lt;0.05,0,G277-G276)</f>
        <v>0.43097635266102</v>
      </c>
      <c r="AD277" s="164" t="n">
        <f aca="false">IF(ABS(G277/G276-1)&lt;0.0005,0,(G277/G276-1))</f>
        <v>0.00309117755941113</v>
      </c>
      <c r="AE277" s="163" t="n">
        <f aca="false">IF(ABS(G277-G265)&lt;0.05,0,G277-G265)</f>
        <v>21.1663890298456</v>
      </c>
      <c r="AF277" s="164" t="n">
        <f aca="false">IF(ABS(G277/G265-1)&lt;0.0005,0,(G277/G265-1))</f>
        <v>0.178339386486492</v>
      </c>
      <c r="AG277" s="57" t="n">
        <f aca="false">(G277/1.2)-57.95</f>
        <v>58.5936603533256</v>
      </c>
      <c r="AH277" s="163" t="n">
        <f aca="false">IF(ABS(AG277-AG276)&lt;0.05,0,AG277-AG276)</f>
        <v>0.359146960550845</v>
      </c>
      <c r="AI277" s="164" t="n">
        <f aca="false">IF(ABS(AG277/AG276-1)&lt;0.0005,0,(AG277/AG276-1))</f>
        <v>0.00616725271023566</v>
      </c>
      <c r="AJ277" s="163" t="n">
        <f aca="false">IF(ABS(AG277-AG265)&lt;0.05,0,AG277-AG265)</f>
        <v>58.5936603533256</v>
      </c>
      <c r="AK277" s="155" t="e">
        <f aca="false">IF(ABS(AG277/AG265-1)&lt;0.0005,0,(AG277/AG265-1))</f>
        <v>#DIV/0!</v>
      </c>
      <c r="AL277" s="185"/>
      <c r="AM277" s="156" t="n">
        <f aca="false">IF(E277="..","",A277)</f>
        <v>40756</v>
      </c>
      <c r="AN277" s="57" t="n">
        <f aca="false">IF(ABS(E277-E276)&lt;0.05,0,E277-E276)</f>
        <v>0</v>
      </c>
      <c r="AO277" s="164" t="n">
        <f aca="false">IF(ABS(E277/E276-1)&lt;0.0005,0,(E277/E276-1))</f>
        <v>0</v>
      </c>
      <c r="AP277" s="163" t="n">
        <f aca="false">IF(ABS(E277-E265)&lt;0.05,0,E277-E265)</f>
        <v>19.7475283680017</v>
      </c>
      <c r="AQ277" s="164" t="n">
        <f aca="false">IF(ABS(E277/E265-1)&lt;0.0005,0,(E277/E265-1))</f>
        <v>0.160344866255307</v>
      </c>
      <c r="AR277" s="57" t="n">
        <f aca="false">(E277/1.2)-57.95</f>
        <v>61.1367726657645</v>
      </c>
      <c r="AS277" s="163" t="n">
        <f aca="false">IF(ABS(AR277-AR276)&lt;0.05,0,AR277-AR276)</f>
        <v>0</v>
      </c>
      <c r="AT277" s="164" t="n">
        <f aca="false">IF(ABS(AR277/AR276-1)&lt;0.0005,0,(AR277/AR276-1))</f>
        <v>0</v>
      </c>
      <c r="AU277" s="163" t="n">
        <f aca="false">IF(ABS(AR277-AR265)&lt;0.05,0,AR277-AR265)</f>
        <v>16.4562736400014</v>
      </c>
      <c r="AV277" s="155" t="n">
        <f aca="false">IF(ABS(AR277/AR265-1)&lt;0.0005,0,(AR277/AR265-1))</f>
        <v>0.36830997859967</v>
      </c>
      <c r="AW277" s="185"/>
      <c r="AX277" s="163" t="n">
        <f aca="false">IF(ABS(H277-H276)&lt;0.05,0,H277-H276)</f>
        <v>-0.917563242127002</v>
      </c>
      <c r="AY277" s="164" t="n">
        <f aca="false">IF(ABS(H277/H276-1)&lt;0.0005,0,(H277/H276-1))</f>
        <v>-0.0156484654454374</v>
      </c>
      <c r="AZ277" s="163" t="n">
        <f aca="false">IF(ABS(H277-H265)&lt;0.05,0,H277-H265)</f>
        <v>13.5339864342184</v>
      </c>
      <c r="BA277" s="164" t="n">
        <f aca="false">IF(ABS(H277/H265-1)&lt;0.0005,0,(H277/H265-1))</f>
        <v>0.306306626291398</v>
      </c>
      <c r="BB277" s="57" t="n">
        <f aca="false">(H277/1.05)</f>
        <v>54.9699289524793</v>
      </c>
      <c r="BC277" s="163" t="n">
        <f aca="false">IF(ABS(BB277-BB276)&lt;0.05,0,BB277-BB276)</f>
        <v>-0.87386975440667</v>
      </c>
      <c r="BD277" s="164" t="n">
        <f aca="false">IF(ABS(BB277/BB276-1)&lt;0.0005,0,(BB277/BB276-1))</f>
        <v>-0.0156484654454374</v>
      </c>
      <c r="BE277" s="163" t="n">
        <f aca="false">IF(ABS(BB277-BB265)&lt;0.05,0,BB277-BB265)</f>
        <v>54.9699289524793</v>
      </c>
      <c r="BF277" s="155" t="e">
        <f aca="false">IF(ABS(BB277/BB265-1)&lt;0.0005,0,(BB277/BB265-1))</f>
        <v>#DIV/0!</v>
      </c>
      <c r="BG277" s="162"/>
      <c r="BH277" s="163" t="n">
        <f aca="false">IF(ABS(I277-I276)&lt;0.05,0,I277-I276)</f>
        <v>-0.572342487883688</v>
      </c>
      <c r="BI277" s="164" t="n">
        <f aca="false">IF(ABS(I277/I276-1)&lt;0.0005,0,(I277/I276-1))</f>
        <v>-0.00834481556133337</v>
      </c>
      <c r="BJ277" s="163" t="n">
        <f aca="false">IF(ABS(I277-I265)&lt;0.05,0,I277-I265)</f>
        <v>15.1254153663425</v>
      </c>
      <c r="BK277" s="164" t="n">
        <f aca="false">IF(ABS(I277/I265-1)&lt;0.0005,0,(I277/I265-1))</f>
        <v>0.285985022407679</v>
      </c>
      <c r="BL277" s="57" t="n">
        <f aca="false">(I277/1.05)-11.14</f>
        <v>53.635478882991</v>
      </c>
      <c r="BM277" s="163" t="n">
        <f aca="false">IF(ABS(BL277-BL276)&lt;0.05,0,BL277-BL276)</f>
        <v>-0.545088083698758</v>
      </c>
      <c r="BN277" s="164" t="n">
        <f aca="false">IF(ABS(BL277/BL276-1)&lt;0.0005,0,(BL277/BL276-1))</f>
        <v>-0.0100605828660648</v>
      </c>
      <c r="BO277" s="163" t="n">
        <f aca="false">IF(ABS(BL277-BL265)&lt;0.05,0,BL277-BL265)</f>
        <v>53.635478882991</v>
      </c>
      <c r="BP277" s="155" t="e">
        <f aca="false">IF(ABS(BL277/BL265-1)&lt;0.0005,0,(BL277/BL265-1))</f>
        <v>#DIV/0!</v>
      </c>
      <c r="BQ277" s="162"/>
    </row>
    <row r="278" customFormat="false" ht="12.75" hidden="false" customHeight="true" outlineLevel="0" collapsed="false">
      <c r="A278" s="156" t="n">
        <v>40787</v>
      </c>
      <c r="B278" s="73" t="n">
        <v>2011</v>
      </c>
      <c r="C278" s="157" t="s">
        <v>67</v>
      </c>
      <c r="D278" s="74"/>
      <c r="E278" s="159" t="n">
        <v>142.009607577808</v>
      </c>
      <c r="F278" s="159" t="n">
        <v>134.749922074832</v>
      </c>
      <c r="G278" s="159" t="n">
        <v>139.150424766019</v>
      </c>
      <c r="H278" s="159" t="n">
        <v>57.0604233350542</v>
      </c>
      <c r="I278" s="159" t="n">
        <v>67.9649030694669</v>
      </c>
      <c r="J278" s="159"/>
      <c r="K278" s="159" t="n">
        <v>140.406719642248</v>
      </c>
      <c r="L278" s="159"/>
      <c r="M278" s="160" t="n">
        <f aca="false">G278-F278</f>
        <v>4.40050269118672</v>
      </c>
      <c r="N278" s="75"/>
      <c r="O278" s="77" t="n">
        <v>245.738275022908</v>
      </c>
      <c r="P278" s="76"/>
      <c r="Q278" s="183"/>
      <c r="R278" s="162"/>
      <c r="S278" s="57" t="n">
        <f aca="false">IF(ABS(F278-F277)&lt;0.05,0,F278-F277)</f>
        <v>-0.595803937897756</v>
      </c>
      <c r="T278" s="178" t="n">
        <f aca="false">IF((ABS(G278/G277-1))&lt;0.0005,0,(G278/G277-1))</f>
        <v>-0.00501934679704186</v>
      </c>
      <c r="U278" s="163" t="n">
        <f aca="false">IF(ABS(F278-F266)&lt;0.05,0,F278-F266)</f>
        <v>20.135349074832</v>
      </c>
      <c r="V278" s="164" t="n">
        <f aca="false">IF(ABS(F278/F266-1)&lt;0.0005,0,(F278/F266-1))</f>
        <v>0.175678786281671</v>
      </c>
      <c r="W278" s="57" t="n">
        <f aca="false">(F278/1.2)-57.95</f>
        <v>54.3416017290267</v>
      </c>
      <c r="X278" s="163" t="n">
        <f aca="false">IF(ABS(W278-W277)&lt;0.05,0,W278-W277)</f>
        <v>-0.496503281581454</v>
      </c>
      <c r="Y278" s="184" t="n">
        <f aca="false">IF(ABS(W278/W277-1)&lt;0.0005,0,(W278/W277-1))</f>
        <v>-0.00905398320174278</v>
      </c>
      <c r="Z278" s="163" t="n">
        <f aca="false">IF(ABS(W278-W266)&lt;0.05,0,W278-W266)</f>
        <v>54.3416017290267</v>
      </c>
      <c r="AA278" s="155" t="e">
        <f aca="false">IF(ABS(W278/W266-1)&lt;0.0005,0,(W278/W266-1))</f>
        <v>#DIV/0!</v>
      </c>
      <c r="AB278" s="185"/>
      <c r="AC278" s="57" t="n">
        <f aca="false">IF(ABS(G278-G277)&lt;0.05,0,G278-G277)</f>
        <v>-0.701967657972006</v>
      </c>
      <c r="AD278" s="164" t="n">
        <f aca="false">IF(ABS(G278/G277-1)&lt;0.0005,0,(G278/G277-1))</f>
        <v>-0.00501934679704186</v>
      </c>
      <c r="AE278" s="163" t="n">
        <f aca="false">IF(ABS(G278-G266)&lt;0.05,0,G278-G266)</f>
        <v>21.9707185717039</v>
      </c>
      <c r="AF278" s="164" t="n">
        <f aca="false">IF(ABS(G278/G266-1)&lt;0.0005,0,(G278/G266-1))</f>
        <v>0.187495934963949</v>
      </c>
      <c r="AG278" s="57" t="n">
        <f aca="false">(G278/1.2)-57.95</f>
        <v>58.0086873050156</v>
      </c>
      <c r="AH278" s="163" t="n">
        <f aca="false">IF(ABS(AG278-AG277)&lt;0.05,0,AG278-AG277)</f>
        <v>-0.584973048310005</v>
      </c>
      <c r="AI278" s="164" t="n">
        <f aca="false">IF(ABS(AG278/AG277-1)&lt;0.0005,0,(AG278/AG277-1))</f>
        <v>-0.00998355529902995</v>
      </c>
      <c r="AJ278" s="163" t="n">
        <f aca="false">IF(ABS(AG278-AG266)&lt;0.05,0,AG278-AG266)</f>
        <v>58.0086873050156</v>
      </c>
      <c r="AK278" s="155" t="e">
        <f aca="false">IF(ABS(AG278/AG266-1)&lt;0.0005,0,(AG278/AG266-1))</f>
        <v>#DIV/0!</v>
      </c>
      <c r="AL278" s="185"/>
      <c r="AM278" s="156" t="n">
        <f aca="false">IF(E278="..","",A278)</f>
        <v>40787</v>
      </c>
      <c r="AN278" s="57" t="n">
        <f aca="false">IF(ABS(E278-E277)&lt;0.05,0,E278-E277)</f>
        <v>-0.894519621109623</v>
      </c>
      <c r="AO278" s="164" t="n">
        <f aca="false">IF(ABS(E278/E277-1)&lt;0.0005,0,(E278/E277-1))</f>
        <v>-0.00625957863249449</v>
      </c>
      <c r="AP278" s="163" t="n">
        <f aca="false">IF(ABS(E278-E266)&lt;0.05,0,E278-E266)</f>
        <v>20.1372477596654</v>
      </c>
      <c r="AQ278" s="164" t="n">
        <f aca="false">IF(ABS(E278/E266-1)&lt;0.0005,0,(E278/E266-1))</f>
        <v>0.165232278998405</v>
      </c>
      <c r="AR278" s="57" t="n">
        <f aca="false">(E278/1.2)-57.95</f>
        <v>60.3913396481732</v>
      </c>
      <c r="AS278" s="163" t="n">
        <f aca="false">IF(ABS(AR278-AR277)&lt;0.05,0,AR278-AR277)</f>
        <v>-0.745433017591353</v>
      </c>
      <c r="AT278" s="164" t="n">
        <f aca="false">IF(ABS(AR278/AR277-1)&lt;0.0005,0,(AR278/AR277-1))</f>
        <v>-0.0121928748458255</v>
      </c>
      <c r="AU278" s="163" t="n">
        <f aca="false">IF(ABS(AR278-AR266)&lt;0.05,0,AR278-AR266)</f>
        <v>16.7810397997211</v>
      </c>
      <c r="AV278" s="155" t="n">
        <f aca="false">IF(ABS(AR278/AR266-1)&lt;0.0005,0,(AR278/AR266-1))</f>
        <v>0.384795331791711</v>
      </c>
      <c r="AW278" s="185"/>
      <c r="AX278" s="163" t="n">
        <f aca="false">IF(ABS(H278-H277)&lt;0.05,0,H278-H277)</f>
        <v>-0.658002065049047</v>
      </c>
      <c r="AY278" s="164" t="n">
        <f aca="false">IF(ABS(H278/H277-1)&lt;0.0005,0,(H278/H277-1))</f>
        <v>-0.0114002081742145</v>
      </c>
      <c r="AZ278" s="163" t="n">
        <f aca="false">IF(ABS(H278-H266)&lt;0.05,0,H278-H266)</f>
        <v>14.1335963094678</v>
      </c>
      <c r="BA278" s="164" t="n">
        <f aca="false">IF(ABS(H278/H266-1)&lt;0.0005,0,(H278/H266-1))</f>
        <v>0.329248567592559</v>
      </c>
      <c r="BB278" s="57" t="n">
        <f aca="false">(H278/1.05)</f>
        <v>54.3432603190992</v>
      </c>
      <c r="BC278" s="163" t="n">
        <f aca="false">IF(ABS(BB278-BB277)&lt;0.05,0,BB278-BB277)</f>
        <v>-0.626668633380049</v>
      </c>
      <c r="BD278" s="164" t="n">
        <f aca="false">IF(ABS(BB278/BB277-1)&lt;0.0005,0,(BB278/BB277-1))</f>
        <v>-0.0114002081742146</v>
      </c>
      <c r="BE278" s="163" t="n">
        <f aca="false">IF(ABS(BB278-BB266)&lt;0.05,0,BB278-BB266)</f>
        <v>54.3432603190992</v>
      </c>
      <c r="BF278" s="155" t="e">
        <f aca="false">IF(ABS(BB278/BB266-1)&lt;0.0005,0,(BB278/BB266-1))</f>
        <v>#DIV/0!</v>
      </c>
      <c r="BG278" s="162"/>
      <c r="BH278" s="163" t="n">
        <f aca="false">IF(ABS(I278-I277)&lt;0.05,0,I278-I277)</f>
        <v>0</v>
      </c>
      <c r="BI278" s="164" t="n">
        <f aca="false">IF(ABS(I278/I277-1)&lt;0.0005,0,(I278/I277-1))</f>
        <v>-0.000725579648711117</v>
      </c>
      <c r="BJ278" s="163" t="n">
        <f aca="false">IF(ABS(I278-I266)&lt;0.05,0,I278-I266)</f>
        <v>14.975377818034</v>
      </c>
      <c r="BK278" s="164" t="n">
        <f aca="false">IF(ABS(I278/I266-1)&lt;0.0005,0,(I278/I266-1))</f>
        <v>0.282610152609907</v>
      </c>
      <c r="BL278" s="57" t="n">
        <f aca="false">(I278/1.05)-11.14</f>
        <v>53.588479113778</v>
      </c>
      <c r="BM278" s="163" t="n">
        <f aca="false">IF(ABS(BL278-BL277)&lt;0.05,0,BL278-BL277)</f>
        <v>0</v>
      </c>
      <c r="BN278" s="164" t="n">
        <f aca="false">IF(ABS(BL278/BL277-1)&lt;0.0005,0,(BL278/BL277-1))</f>
        <v>-0.000876281338245355</v>
      </c>
      <c r="BO278" s="163" t="n">
        <f aca="false">IF(ABS(BL278-BL266)&lt;0.05,0,BL278-BL266)</f>
        <v>53.588479113778</v>
      </c>
      <c r="BP278" s="155" t="e">
        <f aca="false">IF(ABS(BL278/BL266-1)&lt;0.0005,0,(BL278/BL266-1))</f>
        <v>#DIV/0!</v>
      </c>
      <c r="BQ278" s="162"/>
    </row>
    <row r="279" customFormat="false" ht="12.75" hidden="false" customHeight="true" outlineLevel="0" collapsed="false">
      <c r="A279" s="156" t="n">
        <v>40817</v>
      </c>
      <c r="B279" s="73" t="n">
        <v>2011</v>
      </c>
      <c r="C279" s="157" t="s">
        <v>68</v>
      </c>
      <c r="D279" s="74"/>
      <c r="E279" s="159" t="n">
        <v>141.542368064953</v>
      </c>
      <c r="F279" s="159" t="n">
        <v>133.965470227827</v>
      </c>
      <c r="G279" s="159" t="n">
        <v>139.366858835909</v>
      </c>
      <c r="H279" s="159" t="n">
        <v>57.4379246257099</v>
      </c>
      <c r="I279" s="159" t="n">
        <v>69.015246365105</v>
      </c>
      <c r="J279" s="159"/>
      <c r="K279" s="159" t="n">
        <v>137.525605367969</v>
      </c>
      <c r="L279" s="159"/>
      <c r="M279" s="160" t="n">
        <f aca="false">G279-F279</f>
        <v>5.40138860808148</v>
      </c>
      <c r="N279" s="75"/>
      <c r="O279" s="77" t="n">
        <v>240.644659318348</v>
      </c>
      <c r="P279" s="76"/>
      <c r="Q279" s="183"/>
      <c r="R279" s="162"/>
      <c r="S279" s="57" t="n">
        <f aca="false">IF(ABS(F279-F278)&lt;0.05,0,F279-F278)</f>
        <v>-0.784451847004959</v>
      </c>
      <c r="T279" s="178" t="n">
        <f aca="false">IF((ABS(G279/G278-1))&lt;0.0005,0,(G279/G278-1))</f>
        <v>0.00155539640107993</v>
      </c>
      <c r="U279" s="163" t="n">
        <f aca="false">IF(ABS(F279-F267)&lt;0.05,0,F279-F267)</f>
        <v>16.763364227827</v>
      </c>
      <c r="V279" s="164" t="n">
        <f aca="false">IF(ABS(F279/F267-1)&lt;0.0005,0,(F279/F267-1))</f>
        <v>0.14302954784641</v>
      </c>
      <c r="W279" s="57" t="n">
        <f aca="false">(F279/1.2)-57.95</f>
        <v>53.6878918565225</v>
      </c>
      <c r="X279" s="163" t="n">
        <f aca="false">IF(ABS(W279-W278)&lt;0.05,0,W279-W278)</f>
        <v>-0.653709872504138</v>
      </c>
      <c r="Y279" s="184" t="n">
        <f aca="false">IF(ABS(W279/W278-1)&lt;0.0005,0,(W279/W278-1))</f>
        <v>-0.0120296393868522</v>
      </c>
      <c r="Z279" s="163" t="n">
        <f aca="false">IF(ABS(W279-W267)&lt;0.05,0,W279-W267)</f>
        <v>53.6878918565225</v>
      </c>
      <c r="AA279" s="155" t="e">
        <f aca="false">IF(ABS(W279/W267-1)&lt;0.0005,0,(W279/W267-1))</f>
        <v>#DIV/0!</v>
      </c>
      <c r="AB279" s="185"/>
      <c r="AC279" s="57" t="n">
        <f aca="false">IF(ABS(G279-G278)&lt;0.05,0,G279-G278)</f>
        <v>0.2164340698898</v>
      </c>
      <c r="AD279" s="164" t="n">
        <f aca="false">IF(ABS(G279/G278-1)&lt;0.0005,0,(G279/G278-1))</f>
        <v>0.00155539640107993</v>
      </c>
      <c r="AE279" s="163" t="n">
        <f aca="false">IF(ABS(G279-G267)&lt;0.05,0,G279-G267)</f>
        <v>18.7770656666255</v>
      </c>
      <c r="AF279" s="164" t="n">
        <f aca="false">IF(ABS(G279/G267-1)&lt;0.0005,0,(G279/G267-1))</f>
        <v>0.155710240254467</v>
      </c>
      <c r="AG279" s="57" t="n">
        <f aca="false">(G279/1.2)-57.95</f>
        <v>58.1890490299237</v>
      </c>
      <c r="AH279" s="163" t="n">
        <f aca="false">IF(ABS(AG279-AG278)&lt;0.05,0,AG279-AG278)</f>
        <v>0.180361724908167</v>
      </c>
      <c r="AI279" s="164" t="n">
        <f aca="false">IF(ABS(AG279/AG278-1)&lt;0.0005,0,(AG279/AG278-1))</f>
        <v>0.00310921920987117</v>
      </c>
      <c r="AJ279" s="163" t="n">
        <f aca="false">IF(ABS(AG279-AG267)&lt;0.05,0,AG279-AG267)</f>
        <v>58.1890490299237</v>
      </c>
      <c r="AK279" s="155" t="e">
        <f aca="false">IF(ABS(AG279/AG267-1)&lt;0.0005,0,(AG279/AG267-1))</f>
        <v>#DIV/0!</v>
      </c>
      <c r="AL279" s="185"/>
      <c r="AM279" s="156" t="n">
        <f aca="false">IF(E279="..","",A279)</f>
        <v>40817</v>
      </c>
      <c r="AN279" s="57" t="n">
        <f aca="false">IF(ABS(E279-E278)&lt;0.05,0,E279-E278)</f>
        <v>-0.467239512855201</v>
      </c>
      <c r="AO279" s="164" t="n">
        <f aca="false">IF(ABS(E279/E278-1)&lt;0.0005,0,(E279/E278-1))</f>
        <v>-0.00329019649321405</v>
      </c>
      <c r="AP279" s="163" t="n">
        <f aca="false">IF(ABS(E279-E267)&lt;0.05,0,E279-E267)</f>
        <v>16.893470035076</v>
      </c>
      <c r="AQ279" s="164" t="n">
        <f aca="false">IF(ABS(E279/E267-1)&lt;0.0005,0,(E279/E267-1))</f>
        <v>0.13552843468401</v>
      </c>
      <c r="AR279" s="57" t="n">
        <f aca="false">(E279/1.2)-57.95</f>
        <v>60.0019733874605</v>
      </c>
      <c r="AS279" s="163" t="n">
        <f aca="false">IF(ABS(AR279-AR278)&lt;0.05,0,AR279-AR278)</f>
        <v>-0.389366260712663</v>
      </c>
      <c r="AT279" s="164" t="n">
        <f aca="false">IF(ABS(AR279/AR278-1)&lt;0.0005,0,(AR279/AR278-1))</f>
        <v>-0.00644738571757186</v>
      </c>
      <c r="AU279" s="163" t="n">
        <f aca="false">IF(ABS(AR279-AR267)&lt;0.05,0,AR279-AR267)</f>
        <v>14.0778916958967</v>
      </c>
      <c r="AV279" s="155" t="n">
        <f aca="false">IF(ABS(AR279/AR267-1)&lt;0.0005,0,(AR279/AR267-1))</f>
        <v>0.306547048462435</v>
      </c>
      <c r="AW279" s="185"/>
      <c r="AX279" s="163" t="n">
        <f aca="false">IF(ABS(H279-H278)&lt;0.05,0,H279-H278)</f>
        <v>0.377501290655665</v>
      </c>
      <c r="AY279" s="164" t="n">
        <f aca="false">IF(ABS(H279/H278-1)&lt;0.0005,0,(H279/H278-1))</f>
        <v>0.00661581650803766</v>
      </c>
      <c r="AZ279" s="163" t="n">
        <f aca="false">IF(ABS(H279-H267)&lt;0.05,0,H279-H267)</f>
        <v>12.1359616726182</v>
      </c>
      <c r="BA279" s="164" t="n">
        <f aca="false">IF(ABS(H279/H267-1)&lt;0.0005,0,(H279/H267-1))</f>
        <v>0.267890415370841</v>
      </c>
      <c r="BB279" s="57" t="n">
        <f aca="false">(H279/1.05)</f>
        <v>54.7027853578189</v>
      </c>
      <c r="BC279" s="163" t="n">
        <f aca="false">IF(ABS(BB279-BB278)&lt;0.05,0,BB279-BB278)</f>
        <v>0.359525038719681</v>
      </c>
      <c r="BD279" s="164" t="n">
        <f aca="false">IF(ABS(BB279/BB278-1)&lt;0.0005,0,(BB279/BB278-1))</f>
        <v>0.00661581650803766</v>
      </c>
      <c r="BE279" s="163" t="n">
        <f aca="false">IF(ABS(BB279-BB267)&lt;0.05,0,BB279-BB267)</f>
        <v>54.7027853578189</v>
      </c>
      <c r="BF279" s="155" t="e">
        <f aca="false">IF(ABS(BB279/BB267-1)&lt;0.0005,0,(BB279/BB267-1))</f>
        <v>#DIV/0!</v>
      </c>
      <c r="BG279" s="162"/>
      <c r="BH279" s="163" t="n">
        <f aca="false">IF(ABS(I279-I278)&lt;0.05,0,I279-I278)</f>
        <v>1.05034329563811</v>
      </c>
      <c r="BI279" s="164" t="n">
        <f aca="false">IF(ABS(I279/I278-1)&lt;0.0005,0,(I279/I278-1))</f>
        <v>0.0154542013333641</v>
      </c>
      <c r="BJ279" s="163" t="n">
        <f aca="false">IF(ABS(I279-I267)&lt;0.05,0,I279-I267)</f>
        <v>14.1883143871662</v>
      </c>
      <c r="BK279" s="164" t="n">
        <f aca="false">IF(ABS(I279/I267-1)&lt;0.0005,0,(I279/I267-1))</f>
        <v>0.25878366480319</v>
      </c>
      <c r="BL279" s="57" t="n">
        <f aca="false">(I279/1.05)-11.14</f>
        <v>54.5888060620048</v>
      </c>
      <c r="BM279" s="163" t="n">
        <f aca="false">IF(ABS(BL279-BL278)&lt;0.05,0,BL279-BL278)</f>
        <v>1.00032694822679</v>
      </c>
      <c r="BN279" s="164" t="n">
        <f aca="false">IF(ABS(BL279/BL278-1)&lt;0.0005,0,(BL279/BL278-1))</f>
        <v>0.0186668284819749</v>
      </c>
      <c r="BO279" s="163" t="n">
        <f aca="false">IF(ABS(BL279-BL267)&lt;0.05,0,BL279-BL267)</f>
        <v>54.5888060620048</v>
      </c>
      <c r="BP279" s="155" t="e">
        <f aca="false">IF(ABS(BL279/BL267-1)&lt;0.0005,0,(BL279/BL267-1))</f>
        <v>#DIV/0!</v>
      </c>
      <c r="BQ279" s="162"/>
    </row>
    <row r="280" customFormat="false" ht="12.75" hidden="false" customHeight="true" outlineLevel="0" collapsed="false">
      <c r="A280" s="156" t="n">
        <v>40848</v>
      </c>
      <c r="B280" s="73" t="n">
        <v>2011</v>
      </c>
      <c r="C280" s="157" t="s">
        <v>69</v>
      </c>
      <c r="D280" s="159"/>
      <c r="E280" s="159" t="n">
        <v>140.68552097429</v>
      </c>
      <c r="F280" s="159" t="n">
        <v>133.175689132116</v>
      </c>
      <c r="G280" s="159" t="n">
        <v>140.254172343136</v>
      </c>
      <c r="H280" s="159" t="n">
        <v>57.9015539494063</v>
      </c>
      <c r="I280" s="159" t="n">
        <v>70.592310177706</v>
      </c>
      <c r="J280" s="159"/>
      <c r="K280" s="159" t="n">
        <v>138.428429987451</v>
      </c>
      <c r="L280" s="159"/>
      <c r="M280" s="160" t="n">
        <f aca="false">G280-F280</f>
        <v>7.07848321101972</v>
      </c>
      <c r="N280" s="75"/>
      <c r="O280" s="77" t="n">
        <v>242.22987588578</v>
      </c>
      <c r="P280" s="76"/>
      <c r="Q280" s="183"/>
      <c r="R280" s="162"/>
      <c r="S280" s="57" t="n">
        <f aca="false">IF(ABS(F280-F279)&lt;0.05,0,F280-F279)</f>
        <v>-0.789781095711135</v>
      </c>
      <c r="T280" s="178" t="n">
        <f aca="false">IF((ABS(G280/G279-1))&lt;0.0005,0,(G280/G279-1))</f>
        <v>0.00636674683377803</v>
      </c>
      <c r="U280" s="163" t="n">
        <f aca="false">IF(ABS(F280-F268)&lt;0.05,0,F280-F268)</f>
        <v>14.4738381321159</v>
      </c>
      <c r="V280" s="164" t="n">
        <f aca="false">IF(ABS(F280/F268-1)&lt;0.0005,0,(F280/F268-1))</f>
        <v>0.121934392852188</v>
      </c>
      <c r="W280" s="57" t="n">
        <f aca="false">(F280/1.2)-57.95</f>
        <v>53.0297409434299</v>
      </c>
      <c r="X280" s="163" t="n">
        <f aca="false">IF(ABS(W280-W279)&lt;0.05,0,W280-W279)</f>
        <v>-0.658150913092612</v>
      </c>
      <c r="Y280" s="184" t="n">
        <f aca="false">IF(ABS(W280/W279-1)&lt;0.0005,0,(W280/W279-1))</f>
        <v>-0.0122588332365793</v>
      </c>
      <c r="Z280" s="163" t="n">
        <f aca="false">IF(ABS(W280-W268)&lt;0.05,0,W280-W268)</f>
        <v>53.0297409434299</v>
      </c>
      <c r="AA280" s="155" t="e">
        <f aca="false">IF(ABS(W280/W268-1)&lt;0.0005,0,(W280/W268-1))</f>
        <v>#DIV/0!</v>
      </c>
      <c r="AB280" s="185"/>
      <c r="AC280" s="57" t="n">
        <f aca="false">IF(ABS(G280-G279)&lt;0.05,0,G280-G279)</f>
        <v>0.887313507227105</v>
      </c>
      <c r="AD280" s="164" t="n">
        <f aca="false">IF(ABS(G280/G279-1)&lt;0.0005,0,(G280/G279-1))</f>
        <v>0.00636674683377803</v>
      </c>
      <c r="AE280" s="163" t="n">
        <f aca="false">IF(ABS(G280-G268)&lt;0.05,0,G280-G268)</f>
        <v>17.784383416534</v>
      </c>
      <c r="AF280" s="164" t="n">
        <f aca="false">IF(ABS(G280/G268-1)&lt;0.0005,0,(G280/G268-1))</f>
        <v>0.145214453069667</v>
      </c>
      <c r="AG280" s="57" t="n">
        <f aca="false">(G280/1.2)-57.95</f>
        <v>58.928476952613</v>
      </c>
      <c r="AH280" s="163" t="n">
        <f aca="false">IF(ABS(AG280-AG279)&lt;0.05,0,AG280-AG279)</f>
        <v>0.739427922689259</v>
      </c>
      <c r="AI280" s="164" t="n">
        <f aca="false">IF(ABS(AG280/AG279-1)&lt;0.0005,0,(AG280/AG279-1))</f>
        <v>0.0127073381506717</v>
      </c>
      <c r="AJ280" s="163" t="n">
        <f aca="false">IF(ABS(AG280-AG268)&lt;0.05,0,AG280-AG268)</f>
        <v>58.928476952613</v>
      </c>
      <c r="AK280" s="155" t="e">
        <f aca="false">IF(ABS(AG280/AG268-1)&lt;0.0005,0,(AG280/AG268-1))</f>
        <v>#DIV/0!</v>
      </c>
      <c r="AL280" s="185"/>
      <c r="AM280" s="156" t="n">
        <f aca="false">IF(E280="..","",A280)</f>
        <v>40848</v>
      </c>
      <c r="AN280" s="57" t="n">
        <f aca="false">IF(ABS(E280-E279)&lt;0.05,0,E280-E279)</f>
        <v>-0.856847090663081</v>
      </c>
      <c r="AO280" s="164" t="n">
        <f aca="false">IF(ABS(E280/E279-1)&lt;0.0005,0,(E280/E279-1))</f>
        <v>-0.0060536438832921</v>
      </c>
      <c r="AP280" s="163" t="n">
        <f aca="false">IF(ABS(E280-E268)&lt;0.05,0,E280-E268)</f>
        <v>14.7129295042744</v>
      </c>
      <c r="AQ280" s="164" t="n">
        <f aca="false">IF(ABS(E280/E268-1)&lt;0.0005,0,(E280/E268-1))</f>
        <v>0.116794687896664</v>
      </c>
      <c r="AR280" s="57" t="n">
        <f aca="false">(E280/1.2)-57.95</f>
        <v>59.2879341452413</v>
      </c>
      <c r="AS280" s="163" t="n">
        <f aca="false">IF(ABS(AR280-AR279)&lt;0.05,0,AR280-AR279)</f>
        <v>-0.714039242219229</v>
      </c>
      <c r="AT280" s="164" t="n">
        <f aca="false">IF(ABS(AR280/AR279-1)&lt;0.0005,0,(AR280/AR279-1))</f>
        <v>-0.011900262639836</v>
      </c>
      <c r="AU280" s="163" t="n">
        <f aca="false">IF(ABS(AR280-AR268)&lt;0.05,0,AR280-AR268)</f>
        <v>12.2607745868953</v>
      </c>
      <c r="AV280" s="155" t="n">
        <f aca="false">IF(ABS(AR280/AR268-1)&lt;0.0005,0,(AR280/AR268-1))</f>
        <v>0.260716885774986</v>
      </c>
      <c r="AW280" s="185"/>
      <c r="AX280" s="163" t="n">
        <f aca="false">IF(ABS(H280-H279)&lt;0.05,0,H280-H279)</f>
        <v>0.463629323696431</v>
      </c>
      <c r="AY280" s="164" t="n">
        <f aca="false">IF(ABS(H280/H279-1)&lt;0.0005,0,(H280/H279-1))</f>
        <v>0.00807183279545076</v>
      </c>
      <c r="AZ280" s="163" t="n">
        <f aca="false">IF(ABS(H280-H268)&lt;0.05,0,H280-H268)</f>
        <v>11.2561168491931</v>
      </c>
      <c r="BA280" s="164" t="n">
        <f aca="false">IF(ABS(H280/H268-1)&lt;0.0005,0,(H280/H268-1))</f>
        <v>0.241312281520921</v>
      </c>
      <c r="BB280" s="57" t="n">
        <f aca="false">(H280/1.05)</f>
        <v>55.1443370946727</v>
      </c>
      <c r="BC280" s="163" t="n">
        <f aca="false">IF(ABS(BB280-BB279)&lt;0.05,0,BB280-BB279)</f>
        <v>0.441551736853747</v>
      </c>
      <c r="BD280" s="164" t="n">
        <f aca="false">IF(ABS(BB280/BB279-1)&lt;0.0005,0,(BB280/BB279-1))</f>
        <v>0.00807183279545076</v>
      </c>
      <c r="BE280" s="163" t="n">
        <f aca="false">IF(ABS(BB280-BB268)&lt;0.05,0,BB280-BB268)</f>
        <v>55.1443370946727</v>
      </c>
      <c r="BF280" s="155" t="e">
        <f aca="false">IF(ABS(BB280/BB268-1)&lt;0.0005,0,(BB280/BB268-1))</f>
        <v>#DIV/0!</v>
      </c>
      <c r="BG280" s="162"/>
      <c r="BH280" s="163" t="n">
        <f aca="false">IF(ABS(I280-I279)&lt;0.05,0,I280-I279)</f>
        <v>1.57706381260098</v>
      </c>
      <c r="BI280" s="164" t="n">
        <f aca="false">IF(ABS(I280/I279-1)&lt;0.0005,0,(I280/I279-1))</f>
        <v>0.0228509480971493</v>
      </c>
      <c r="BJ280" s="163" t="n">
        <f aca="false">IF(ABS(I280-I268)&lt;0.05,0,I280-I268)</f>
        <v>14.8061784593108</v>
      </c>
      <c r="BK280" s="164" t="n">
        <f aca="false">IF(ABS(I280/I268-1)&lt;0.0005,0,(I280/I268-1))</f>
        <v>0.265409663714478</v>
      </c>
      <c r="BL280" s="57" t="n">
        <f aca="false">(I280/1.05)-11.14</f>
        <v>56.0907715978152</v>
      </c>
      <c r="BM280" s="163" t="n">
        <f aca="false">IF(ABS(BL280-BL279)&lt;0.05,0,BL280-BL279)</f>
        <v>1.50196553581046</v>
      </c>
      <c r="BN280" s="164" t="n">
        <f aca="false">IF(ABS(BL280/BL279-1)&lt;0.0005,0,(BL280/BL279-1))</f>
        <v>0.0275141671738424</v>
      </c>
      <c r="BO280" s="163" t="n">
        <f aca="false">IF(ABS(BL280-BL268)&lt;0.05,0,BL280-BL268)</f>
        <v>56.0907715978152</v>
      </c>
      <c r="BP280" s="155" t="e">
        <f aca="false">IF(ABS(BL280/BL268-1)&lt;0.0005,0,(BL280/BL268-1))</f>
        <v>#DIV/0!</v>
      </c>
      <c r="BQ280" s="162"/>
    </row>
    <row r="281" customFormat="false" ht="12.75" hidden="false" customHeight="true" outlineLevel="0" collapsed="false">
      <c r="A281" s="156" t="n">
        <v>40878</v>
      </c>
      <c r="B281" s="73" t="n">
        <v>2011</v>
      </c>
      <c r="C281" s="157" t="s">
        <v>70</v>
      </c>
      <c r="D281" s="159"/>
      <c r="E281" s="159" t="n">
        <v>139.741542625169</v>
      </c>
      <c r="F281" s="159" t="n">
        <v>132.085345309619</v>
      </c>
      <c r="G281" s="159" t="n">
        <v>140.62600598106</v>
      </c>
      <c r="H281" s="159" t="n">
        <v>60.587310273619</v>
      </c>
      <c r="I281" s="159" t="n">
        <v>71.2881098546042</v>
      </c>
      <c r="J281" s="159"/>
      <c r="K281" s="159" t="n">
        <v>135.900532882709</v>
      </c>
      <c r="L281" s="182"/>
      <c r="M281" s="160" t="n">
        <f aca="false">G281-F281</f>
        <v>8.54066067144123</v>
      </c>
      <c r="N281" s="76"/>
      <c r="O281" s="77" t="n">
        <v>237.869476931537</v>
      </c>
      <c r="P281" s="76"/>
      <c r="Q281" s="183"/>
      <c r="R281" s="162"/>
      <c r="S281" s="57" t="n">
        <f aca="false">IF(ABS(F281-F280)&lt;0.05,0,F281-F280)</f>
        <v>-1.09034382249718</v>
      </c>
      <c r="T281" s="178" t="n">
        <f aca="false">IF((ABS(G281/G280-1))&lt;0.0005,0,(G281/G280-1))</f>
        <v>0.00265114136508271</v>
      </c>
      <c r="U281" s="163" t="n">
        <f aca="false">IF(ABS(F281-F269)&lt;0.05,0,F281-F269)</f>
        <v>10.4786043096187</v>
      </c>
      <c r="V281" s="164" t="n">
        <f aca="false">IF(ABS(F281/F269-1)&lt;0.0005,0,(F281/F269-1))</f>
        <v>0.0861679560150261</v>
      </c>
      <c r="W281" s="57" t="n">
        <f aca="false">(F281/1.2)-57.95</f>
        <v>52.1211210913489</v>
      </c>
      <c r="X281" s="163" t="n">
        <f aca="false">IF(ABS(W281-W280)&lt;0.05,0,W281-W280)</f>
        <v>-0.908619852080975</v>
      </c>
      <c r="Y281" s="184" t="n">
        <f aca="false">IF(ABS(W281/W280-1)&lt;0.0005,0,(W281/W280-1))</f>
        <v>-0.0171341559644852</v>
      </c>
      <c r="Z281" s="163" t="n">
        <f aca="false">IF(ABS(W281-W269)&lt;0.05,0,W281-W269)</f>
        <v>52.1211210913489</v>
      </c>
      <c r="AA281" s="155" t="e">
        <f aca="false">IF(ABS(W281/W269-1)&lt;0.0005,0,(W281/W269-1))</f>
        <v>#DIV/0!</v>
      </c>
      <c r="AB281" s="185"/>
      <c r="AC281" s="57" t="n">
        <f aca="false">IF(ABS(G281-G280)&lt;0.05,0,G281-G280)</f>
        <v>0.37183363792434</v>
      </c>
      <c r="AD281" s="164" t="n">
        <f aca="false">IF(ABS(G281/G280-1)&lt;0.0005,0,(G281/G280-1))</f>
        <v>0.00265114136508271</v>
      </c>
      <c r="AE281" s="163" t="n">
        <f aca="false">IF(ABS(G281-G269)&lt;0.05,0,G281-G269)</f>
        <v>14.8662785733383</v>
      </c>
      <c r="AF281" s="164" t="n">
        <f aca="false">IF(ABS(G281/G269-1)&lt;0.0005,0,(G281/G269-1))</f>
        <v>0.118211758881607</v>
      </c>
      <c r="AG281" s="57" t="n">
        <f aca="false">(G281/1.2)-57.95</f>
        <v>59.2383383175499</v>
      </c>
      <c r="AH281" s="163" t="n">
        <f aca="false">IF(ABS(AG281-AG280)&lt;0.05,0,AG281-AG280)</f>
        <v>0.30986136493695</v>
      </c>
      <c r="AI281" s="164" t="n">
        <f aca="false">IF(ABS(AG281/AG280-1)&lt;0.0005,0,(AG281/AG280-1))</f>
        <v>0.00525826189579148</v>
      </c>
      <c r="AJ281" s="163" t="n">
        <f aca="false">IF(ABS(AG281-AG269)&lt;0.05,0,AG281-AG269)</f>
        <v>59.2383383175499</v>
      </c>
      <c r="AK281" s="155" t="e">
        <f aca="false">IF(ABS(AG281/AG269-1)&lt;0.0005,0,(AG281/AG269-1))</f>
        <v>#DIV/0!</v>
      </c>
      <c r="AL281" s="185"/>
      <c r="AM281" s="156" t="n">
        <f aca="false">IF(E281="..","",A281)</f>
        <v>40878</v>
      </c>
      <c r="AN281" s="57" t="n">
        <f aca="false">IF(ABS(E281-E280)&lt;0.05,0,E281-E280)</f>
        <v>-0.943978349120386</v>
      </c>
      <c r="AO281" s="164" t="n">
        <f aca="false">IF(ABS(E281/E280-1)&lt;0.0005,0,(E281/E280-1))</f>
        <v>-0.0067098472009276</v>
      </c>
      <c r="AP281" s="163" t="n">
        <f aca="false">IF(ABS(E281-E269)&lt;0.05,0,E281-E269)</f>
        <v>10.885290189577</v>
      </c>
      <c r="AQ281" s="164" t="n">
        <f aca="false">IF(ABS(E281/E269-1)&lt;0.0005,0,(E281/E269-1))</f>
        <v>0.084476228229732</v>
      </c>
      <c r="AR281" s="57" t="n">
        <f aca="false">(E281/1.2)-57.95</f>
        <v>58.5012855209743</v>
      </c>
      <c r="AS281" s="163" t="n">
        <f aca="false">IF(ABS(AR281-AR280)&lt;0.05,0,AR281-AR280)</f>
        <v>-0.786648624266988</v>
      </c>
      <c r="AT281" s="164" t="n">
        <f aca="false">IF(ABS(AR281/AR280-1)&lt;0.0005,0,(AR281/AR280-1))</f>
        <v>-0.0132682751660715</v>
      </c>
      <c r="AU281" s="163" t="n">
        <f aca="false">IF(ABS(AR281-AR269)&lt;0.05,0,AR281-AR269)</f>
        <v>9.07107515798087</v>
      </c>
      <c r="AV281" s="155" t="n">
        <f aca="false">IF(ABS(AR281/AR269-1)&lt;0.0005,0,(AR281/AR269-1))</f>
        <v>0.18351277672838</v>
      </c>
      <c r="AW281" s="185"/>
      <c r="AX281" s="163" t="n">
        <f aca="false">IF(ABS(H281-H280)&lt;0.05,0,H281-H280)</f>
        <v>2.6857563242127</v>
      </c>
      <c r="AY281" s="164" t="n">
        <f aca="false">IF(ABS(H281/H280-1)&lt;0.0005,0,(H281/H280-1))</f>
        <v>0.0463848746885012</v>
      </c>
      <c r="AZ281" s="163" t="n">
        <f aca="false">IF(ABS(H281-H269)&lt;0.05,0,H281-H269)</f>
        <v>10.3388601137043</v>
      </c>
      <c r="BA281" s="164" t="n">
        <f aca="false">IF(ABS(H281/H269-1)&lt;0.0005,0,(H281/H269-1))</f>
        <v>0.205754805985082</v>
      </c>
      <c r="BB281" s="57" t="n">
        <f aca="false">(H281/1.05)</f>
        <v>57.7022002605895</v>
      </c>
      <c r="BC281" s="163" t="n">
        <f aca="false">IF(ABS(BB281-BB280)&lt;0.05,0,BB281-BB280)</f>
        <v>2.55786316591686</v>
      </c>
      <c r="BD281" s="164" t="n">
        <f aca="false">IF(ABS(BB281/BB280-1)&lt;0.0005,0,(BB281/BB280-1))</f>
        <v>0.0463848746885012</v>
      </c>
      <c r="BE281" s="163" t="n">
        <f aca="false">IF(ABS(BB281-BB269)&lt;0.05,0,BB281-BB269)</f>
        <v>57.7022002605895</v>
      </c>
      <c r="BF281" s="155" t="e">
        <f aca="false">IF(ABS(BB281/BB269-1)&lt;0.0005,0,(BB281/BB269-1))</f>
        <v>#DIV/0!</v>
      </c>
      <c r="BG281" s="162"/>
      <c r="BH281" s="163" t="n">
        <f aca="false">IF(ABS(I281-I280)&lt;0.05,0,I281-I280)</f>
        <v>0.695799676898204</v>
      </c>
      <c r="BI281" s="164" t="n">
        <f aca="false">IF(ABS(I281/I280-1)&lt;0.0005,0,(I281/I280-1))</f>
        <v>0.00985659309274101</v>
      </c>
      <c r="BJ281" s="163" t="n">
        <f aca="false">IF(ABS(I281-I269)&lt;0.05,0,I281-I269)</f>
        <v>11.4685954174894</v>
      </c>
      <c r="BK281" s="164" t="n">
        <f aca="false">IF(ABS(I281/I269-1)&lt;0.0005,0,(I281/I269-1))</f>
        <v>0.191719968398369</v>
      </c>
      <c r="BL281" s="57" t="n">
        <f aca="false">(I281/1.05)-11.14</f>
        <v>56.7534379567659</v>
      </c>
      <c r="BM281" s="163" t="n">
        <f aca="false">IF(ABS(BL281-BL280)&lt;0.05,0,BL281-BL280)</f>
        <v>0.662666358950673</v>
      </c>
      <c r="BN281" s="164" t="n">
        <f aca="false">IF(ABS(BL281/BL280-1)&lt;0.0005,0,(BL281/BL280-1))</f>
        <v>0.0118141779846095</v>
      </c>
      <c r="BO281" s="163" t="n">
        <f aca="false">IF(ABS(BL281-BL269)&lt;0.05,0,BL281-BL269)</f>
        <v>56.7534379567659</v>
      </c>
      <c r="BP281" s="155" t="e">
        <f aca="false">IF(ABS(BL281/BL269-1)&lt;0.0005,0,(BL281/BL269-1))</f>
        <v>#DIV/0!</v>
      </c>
      <c r="BQ281" s="162"/>
    </row>
    <row r="282" customFormat="false" ht="12.75" hidden="false" customHeight="true" outlineLevel="0" collapsed="false">
      <c r="A282" s="156" t="n">
        <v>40909</v>
      </c>
      <c r="B282" s="73" t="n">
        <v>2012</v>
      </c>
      <c r="C282" s="157" t="s">
        <v>59</v>
      </c>
      <c r="D282" s="159"/>
      <c r="E282" s="159" t="n">
        <v>140.395331529093</v>
      </c>
      <c r="F282" s="159" t="n">
        <v>132.887339242163</v>
      </c>
      <c r="G282" s="159" t="n">
        <v>141.344501301434</v>
      </c>
      <c r="H282" s="159" t="n">
        <v>61.0373618998451</v>
      </c>
      <c r="I282" s="159" t="n">
        <v>70.7446324717286</v>
      </c>
      <c r="J282" s="159"/>
      <c r="K282" s="159" t="n">
        <v>136.679169141222</v>
      </c>
      <c r="L282" s="159"/>
      <c r="M282" s="160" t="n">
        <f aca="false">G282-F282</f>
        <v>8.45716205927147</v>
      </c>
      <c r="N282" s="75"/>
      <c r="O282" s="77" t="n">
        <v>239.091235337149</v>
      </c>
      <c r="P282" s="76"/>
      <c r="Q282" s="183"/>
      <c r="R282" s="162"/>
      <c r="S282" s="57" t="n">
        <f aca="false">IF(ABS(F282-F281)&lt;0.05,0,F282-F281)</f>
        <v>0.801993932544178</v>
      </c>
      <c r="T282" s="178" t="n">
        <f aca="false">IF((ABS(G282/G281-1))&lt;0.0005,0,(G282/G281-1))</f>
        <v>0.00510926350614827</v>
      </c>
      <c r="U282" s="163" t="n">
        <f aca="false">IF(ABS(F282-F270)&lt;0.05,0,F282-F270)</f>
        <v>5.3616233418595</v>
      </c>
      <c r="V282" s="164" t="n">
        <f aca="false">IF(ABS(F282/F270-1)&lt;0.0005,0,(F282/F270-1))</f>
        <v>0.0420434678920061</v>
      </c>
      <c r="W282" s="57" t="n">
        <f aca="false">(F282/1.2)-57.95</f>
        <v>52.7894493684691</v>
      </c>
      <c r="X282" s="163" t="n">
        <f aca="false">IF(ABS(W282-W281)&lt;0.05,0,W282-W281)</f>
        <v>0.668328277120139</v>
      </c>
      <c r="Y282" s="184" t="n">
        <f aca="false">IF(ABS(W282/W281-1)&lt;0.0005,0,(W282/W281-1))</f>
        <v>0.0128225998045746</v>
      </c>
      <c r="Z282" s="163" t="n">
        <f aca="false">IF(ABS(W282-W270)&lt;0.05,0,W282-W270)</f>
        <v>4.46801945154958</v>
      </c>
      <c r="AA282" s="155" t="n">
        <f aca="false">IF(ABS(W282/W270-1)&lt;0.0005,0,(W282/W270-1))</f>
        <v>0.0924645537028102</v>
      </c>
      <c r="AB282" s="185"/>
      <c r="AC282" s="57" t="n">
        <f aca="false">IF(ABS(G282-G281)&lt;0.05,0,G282-G281)</f>
        <v>0.718495320374416</v>
      </c>
      <c r="AD282" s="164" t="n">
        <f aca="false">IF(ABS(G282/G281-1)&lt;0.0005,0,(G282/G281-1))</f>
        <v>0.00510926350614827</v>
      </c>
      <c r="AE282" s="163" t="n">
        <f aca="false">IF(ABS(G282-G270)&lt;0.05,0,G282-G270)</f>
        <v>9.26664728360197</v>
      </c>
      <c r="AF282" s="164" t="n">
        <f aca="false">IF(ABS(G282/G270-1)&lt;0.0005,0,(G282/G270-1))</f>
        <v>0.0701604924800705</v>
      </c>
      <c r="AG282" s="57" t="n">
        <f aca="false">(G282/1.2)-57.95</f>
        <v>59.837084417862</v>
      </c>
      <c r="AH282" s="163" t="n">
        <f aca="false">IF(ABS(AG282-AG281)&lt;0.05,0,AG282-AG281)</f>
        <v>0.598746100312013</v>
      </c>
      <c r="AI282" s="164" t="n">
        <f aca="false">IF(ABS(AG282/AG281-1)&lt;0.0005,0,(AG282/AG281-1))</f>
        <v>0.0101074087713671</v>
      </c>
      <c r="AJ282" s="163" t="n">
        <f aca="false">IF(ABS(AG282-AG270)&lt;0.05,0,AG282-AG270)</f>
        <v>7.7222060696683</v>
      </c>
      <c r="AK282" s="155" t="n">
        <f aca="false">IF(ABS(AG282/AG270-1)&lt;0.0005,0,(AG282/AG270-1))</f>
        <v>0.148176611256274</v>
      </c>
      <c r="AL282" s="185"/>
      <c r="AM282" s="156" t="n">
        <f aca="false">IF(E282="..","",A282)</f>
        <v>40909</v>
      </c>
      <c r="AN282" s="57" t="n">
        <f aca="false">IF(ABS(E282-E281)&lt;0.05,0,E282-E281)</f>
        <v>0.653788903924209</v>
      </c>
      <c r="AO282" s="164" t="n">
        <f aca="false">IF(ABS(E282/E281-1)&lt;0.0005,0,(E282/E281-1))</f>
        <v>0.00467855794091143</v>
      </c>
      <c r="AP282" s="163" t="n">
        <f aca="false">IF(ABS(E282-E270)&lt;0.05,0,E282-E270)</f>
        <v>5.56248985115025</v>
      </c>
      <c r="AQ282" s="164" t="n">
        <f aca="false">IF(ABS(E282/E270-1)&lt;0.0005,0,(E282/E270-1))</f>
        <v>0.0412547105136047</v>
      </c>
      <c r="AR282" s="57" t="n">
        <f aca="false">(E282/1.2)-57.95</f>
        <v>59.0461096075778</v>
      </c>
      <c r="AS282" s="163" t="n">
        <f aca="false">IF(ABS(AR282-AR281)&lt;0.05,0,AR282-AR281)</f>
        <v>0.544824086603498</v>
      </c>
      <c r="AT282" s="164" t="n">
        <f aca="false">IF(ABS(AR282/AR281-1)&lt;0.0005,0,(AR282/AR281-1))</f>
        <v>0.00931302759848185</v>
      </c>
      <c r="AU282" s="163" t="n">
        <f aca="false">IF(ABS(AR282-AR270)&lt;0.05,0,AR282-AR270)</f>
        <v>4.63540820929187</v>
      </c>
      <c r="AV282" s="155" t="n">
        <f aca="false">IF(ABS(AR282/AR270-1)&lt;0.0005,0,(AR282/AR270-1))</f>
        <v>0.0851929508381213</v>
      </c>
      <c r="AW282" s="185"/>
      <c r="AX282" s="163" t="n">
        <f aca="false">IF(ABS(H282-H281)&lt;0.05,0,H282-H281)</f>
        <v>0.45005162622612</v>
      </c>
      <c r="AY282" s="164" t="n">
        <f aca="false">IF(ABS(H282/H281-1)&lt;0.0005,0,(H282/H281-1))</f>
        <v>0.00742814995736962</v>
      </c>
      <c r="AZ282" s="163" t="n">
        <f aca="false">IF(ABS(H282-H270)&lt;0.05,0,H282-H270)</f>
        <v>5.900647532358</v>
      </c>
      <c r="BA282" s="164" t="n">
        <f aca="false">IF(ABS(H282/H270-1)&lt;0.0005,0,(H282/H270-1))</f>
        <v>0.107018483057044</v>
      </c>
      <c r="BB282" s="57" t="n">
        <f aca="false">(H282/1.05)</f>
        <v>58.1308208569954</v>
      </c>
      <c r="BC282" s="163" t="n">
        <f aca="false">IF(ABS(BB282-BB281)&lt;0.05,0,BB282-BB281)</f>
        <v>0.428620596405828</v>
      </c>
      <c r="BD282" s="164" t="n">
        <f aca="false">IF(ABS(BB282/BB281-1)&lt;0.0005,0,(BB282/BB281-1))</f>
        <v>0.00742814995736962</v>
      </c>
      <c r="BE282" s="163" t="n">
        <f aca="false">IF(ABS(BB282-BB270)&lt;0.05,0,BB282-BB270)</f>
        <v>5.61966431653143</v>
      </c>
      <c r="BF282" s="155" t="n">
        <f aca="false">IF(ABS(BB282/BB270-1)&lt;0.0005,0,(BB282/BB270-1))</f>
        <v>0.107018483057044</v>
      </c>
      <c r="BG282" s="162"/>
      <c r="BH282" s="163" t="n">
        <f aca="false">IF(ABS(I282-I281)&lt;0.05,0,I282-I281)</f>
        <v>-0.543477382875594</v>
      </c>
      <c r="BI282" s="164" t="n">
        <f aca="false">IF(ABS(I282/I281-1)&lt;0.0005,0,(I282/I281-1))</f>
        <v>-0.00762367502777173</v>
      </c>
      <c r="BJ282" s="163" t="n">
        <f aca="false">IF(ABS(I282-I270)&lt;0.05,0,I282-I270)</f>
        <v>8.84308490129168</v>
      </c>
      <c r="BK282" s="164" t="n">
        <f aca="false">IF(ABS(I282/I270-1)&lt;0.0005,0,(I282/I270-1))</f>
        <v>0.142857250721062</v>
      </c>
      <c r="BL282" s="57" t="n">
        <f aca="false">(I282/1.05)-11.14</f>
        <v>56.2358404492653</v>
      </c>
      <c r="BM282" s="163" t="n">
        <f aca="false">IF(ABS(BL282-BL281)&lt;0.05,0,BL282-BL281)</f>
        <v>-0.517597507500568</v>
      </c>
      <c r="BN282" s="164" t="n">
        <f aca="false">IF(ABS(BL282/BL281-1)&lt;0.0005,0,(BL282/BL281-1))</f>
        <v>-0.00912010842223987</v>
      </c>
      <c r="BO282" s="163" t="n">
        <f aca="false">IF(ABS(BL282-BL270)&lt;0.05,0,BL282-BL270)</f>
        <v>8.42198562027779</v>
      </c>
      <c r="BP282" s="155" t="n">
        <f aca="false">IF(ABS(BL282/BL270-1)&lt;0.0005,0,(BL282/BL270-1))</f>
        <v>0.176141113290282</v>
      </c>
      <c r="BQ282" s="162"/>
    </row>
    <row r="283" customFormat="false" ht="12.75" hidden="false" customHeight="true" outlineLevel="0" collapsed="false">
      <c r="A283" s="156" t="n">
        <v>40940</v>
      </c>
      <c r="B283" s="73" t="n">
        <v>2012</v>
      </c>
      <c r="C283" s="157" t="s">
        <v>60</v>
      </c>
      <c r="D283" s="159"/>
      <c r="E283" s="159" t="n">
        <v>141.815101488498</v>
      </c>
      <c r="F283" s="159" t="n">
        <v>134.557365415502</v>
      </c>
      <c r="G283" s="159" t="n">
        <v>142.56475161987</v>
      </c>
      <c r="H283" s="159" t="n">
        <v>61.5182756840475</v>
      </c>
      <c r="I283" s="159" t="n">
        <v>71.3390064620355</v>
      </c>
      <c r="J283" s="159"/>
      <c r="K283" s="159" t="n">
        <v>146.277550867046</v>
      </c>
      <c r="L283" s="159"/>
      <c r="M283" s="160" t="n">
        <f aca="false">G283-F283</f>
        <v>8.0073862043686</v>
      </c>
      <c r="N283" s="75"/>
      <c r="O283" s="77" t="n">
        <v>256.05768266966</v>
      </c>
      <c r="P283" s="76"/>
      <c r="Q283" s="183"/>
      <c r="R283" s="162"/>
      <c r="S283" s="57" t="n">
        <f aca="false">IF(ABS(F283-F282)&lt;0.05,0,F283-F282)</f>
        <v>1.6700261733389</v>
      </c>
      <c r="T283" s="178" t="n">
        <f aca="false">IF((ABS(G283/G282-1))&lt;0.0005,0,(G283/G282-1))</f>
        <v>0.00863316441177786</v>
      </c>
      <c r="U283" s="163" t="n">
        <f aca="false">IF(ABS(F283-F271)&lt;0.05,0,F283-F271)</f>
        <v>6.19128011421094</v>
      </c>
      <c r="V283" s="164" t="n">
        <f aca="false">IF(ABS(F283/F271-1)&lt;0.0005,0,(F283/F271-1))</f>
        <v>0.0482314319991861</v>
      </c>
      <c r="W283" s="57" t="n">
        <f aca="false">(F283/1.2)-57.95</f>
        <v>54.1811378462515</v>
      </c>
      <c r="X283" s="163" t="n">
        <f aca="false">IF(ABS(W283-W282)&lt;0.05,0,W283-W282)</f>
        <v>1.39168847778242</v>
      </c>
      <c r="Y283" s="184" t="n">
        <f aca="false">IF(ABS(W283/W282-1)&lt;0.0005,0,(W283/W282-1))</f>
        <v>0.0263630042448155</v>
      </c>
      <c r="Z283" s="163" t="n">
        <f aca="false">IF(ABS(W283-W271)&lt;0.05,0,W283-W271)</f>
        <v>5.15940009517578</v>
      </c>
      <c r="AA283" s="155" t="n">
        <f aca="false">IF(ABS(W283/W271-1)&lt;0.0005,0,(W283/W271-1))</f>
        <v>0.105247188938392</v>
      </c>
      <c r="AB283" s="185"/>
      <c r="AC283" s="57" t="n">
        <f aca="false">IF(ABS(G283-G282)&lt;0.05,0,G283-G282)</f>
        <v>1.22025031843603</v>
      </c>
      <c r="AD283" s="164" t="n">
        <f aca="false">IF(ABS(G283/G282-1)&lt;0.0005,0,(G283/G282-1))</f>
        <v>0.00863316441177786</v>
      </c>
      <c r="AE283" s="163" t="n">
        <f aca="false">IF(ABS(G283-G271)&lt;0.05,0,G283-G271)</f>
        <v>9.11903749238525</v>
      </c>
      <c r="AF283" s="164" t="n">
        <f aca="false">IF(ABS(G283/G271-1)&lt;0.0005,0,(G283/G271-1))</f>
        <v>0.0683351844756401</v>
      </c>
      <c r="AG283" s="57" t="n">
        <f aca="false">(G283/1.2)-57.95</f>
        <v>60.8539596832253</v>
      </c>
      <c r="AH283" s="163" t="n">
        <f aca="false">IF(ABS(AG283-AG282)&lt;0.05,0,AG283-AG282)</f>
        <v>1.01687526536335</v>
      </c>
      <c r="AI283" s="164" t="n">
        <f aca="false">IF(ABS(AG283/AG282-1)&lt;0.0005,0,(AG283/AG282-1))</f>
        <v>0.0169940643875992</v>
      </c>
      <c r="AJ283" s="163" t="n">
        <f aca="false">IF(ABS(AG283-AG271)&lt;0.05,0,AG283-AG271)</f>
        <v>7.59919791032104</v>
      </c>
      <c r="AK283" s="155" t="n">
        <f aca="false">IF(ABS(AG283/AG271-1)&lt;0.0005,0,(AG283/AG271-1))</f>
        <v>0.142695181751568</v>
      </c>
      <c r="AL283" s="185"/>
      <c r="AM283" s="156" t="n">
        <f aca="false">IF(E283="..","",A283)</f>
        <v>40940</v>
      </c>
      <c r="AN283" s="57" t="n">
        <f aca="false">IF(ABS(E283-E282)&lt;0.05,0,E283-E282)</f>
        <v>1.41976995940456</v>
      </c>
      <c r="AO283" s="164" t="n">
        <f aca="false">IF(ABS(E283/E282-1)&lt;0.0005,0,(E283/E282-1))</f>
        <v>0.010112657906366</v>
      </c>
      <c r="AP283" s="163" t="n">
        <f aca="false">IF(ABS(E283-E271)&lt;0.05,0,E283-E271)</f>
        <v>6.47230040595397</v>
      </c>
      <c r="AQ283" s="164" t="n">
        <f aca="false">IF(ABS(E283/E271-1)&lt;0.0005,0,(E283/E271-1))</f>
        <v>0.0478215343127604</v>
      </c>
      <c r="AR283" s="57" t="n">
        <f aca="false">(E283/1.2)-57.95</f>
        <v>60.2292512404149</v>
      </c>
      <c r="AS283" s="163" t="n">
        <f aca="false">IF(ABS(AR283-AR282)&lt;0.05,0,AR283-AR282)</f>
        <v>1.18314163283713</v>
      </c>
      <c r="AT283" s="164" t="n">
        <f aca="false">IF(ABS(AR283/AR282-1)&lt;0.0005,0,(AR283/AR282-1))</f>
        <v>0.0200375882628057</v>
      </c>
      <c r="AU283" s="163" t="n">
        <f aca="false">IF(ABS(AR283-AR271)&lt;0.05,0,AR283-AR271)</f>
        <v>5.39358367162831</v>
      </c>
      <c r="AV283" s="155" t="n">
        <f aca="false">IF(ABS(AR283/AR271-1)&lt;0.0005,0,(AR283/AR271-1))</f>
        <v>0.0983590409447013</v>
      </c>
      <c r="AW283" s="185"/>
      <c r="AX283" s="163" t="n">
        <f aca="false">IF(ABS(H283-H282)&lt;0.05,0,H283-H282)</f>
        <v>0.480913784202379</v>
      </c>
      <c r="AY283" s="164" t="n">
        <f aca="false">IF(ABS(H283/H282-1)&lt;0.0005,0,(H283/H282-1))</f>
        <v>0.00787900671381414</v>
      </c>
      <c r="AZ283" s="163" t="n">
        <f aca="false">IF(ABS(H283-H271)&lt;0.05,0,H283-H271)</f>
        <v>5.92046463603511</v>
      </c>
      <c r="BA283" s="164" t="n">
        <f aca="false">IF(ABS(H283/H271-1)&lt;0.0005,0,(H283/H271-1))</f>
        <v>0.106487369276506</v>
      </c>
      <c r="BB283" s="57" t="n">
        <f aca="false">(H283/1.05)</f>
        <v>58.5888339848071</v>
      </c>
      <c r="BC283" s="163" t="n">
        <f aca="false">IF(ABS(BB283-BB282)&lt;0.05,0,BB283-BB282)</f>
        <v>0.458013127811789</v>
      </c>
      <c r="BD283" s="164" t="n">
        <f aca="false">IF(ABS(BB283/BB282-1)&lt;0.0005,0,(BB283/BB282-1))</f>
        <v>0.00787900671381414</v>
      </c>
      <c r="BE283" s="163" t="n">
        <f aca="false">IF(ABS(BB283-BB271)&lt;0.05,0,BB283-BB271)</f>
        <v>5.63853774860487</v>
      </c>
      <c r="BF283" s="155" t="n">
        <f aca="false">IF(ABS(BB283/BB271-1)&lt;0.0005,0,(BB283/BB271-1))</f>
        <v>0.106487369276506</v>
      </c>
      <c r="BG283" s="162"/>
      <c r="BH283" s="163" t="n">
        <f aca="false">IF(ABS(I283-I282)&lt;0.05,0,I283-I282)</f>
        <v>0.594373990306949</v>
      </c>
      <c r="BI283" s="164" t="n">
        <f aca="false">IF(ABS(I283/I282-1)&lt;0.0005,0,(I283/I282-1))</f>
        <v>0.00840168320253087</v>
      </c>
      <c r="BJ283" s="163" t="n">
        <f aca="false">IF(ABS(I283-I271)&lt;0.05,0,I283-I271)</f>
        <v>7.15070274636511</v>
      </c>
      <c r="BK283" s="164" t="n">
        <f aca="false">IF(ABS(I283/I271-1)&lt;0.0005,0,(I283/I271-1))</f>
        <v>0.111401958494494</v>
      </c>
      <c r="BL283" s="57" t="n">
        <f aca="false">(I283/1.05)-11.14</f>
        <v>56.8019109162243</v>
      </c>
      <c r="BM283" s="163" t="n">
        <f aca="false">IF(ABS(BL283-BL282)&lt;0.05,0,BL283-BL282)</f>
        <v>0.56607046695899</v>
      </c>
      <c r="BN283" s="164" t="n">
        <f aca="false">IF(ABS(BL283/BL282-1)&lt;0.0005,0,(BL283/BL282-1))</f>
        <v>0.0100660088377214</v>
      </c>
      <c r="BO283" s="163" t="n">
        <f aca="false">IF(ABS(BL283-BL271)&lt;0.05,0,BL283-BL271)</f>
        <v>6.81019309177629</v>
      </c>
      <c r="BP283" s="155" t="n">
        <f aca="false">IF(ABS(BL283/BL271-1)&lt;0.0005,0,(BL283/BL271-1))</f>
        <v>0.136226426859167</v>
      </c>
      <c r="BQ283" s="162"/>
    </row>
    <row r="284" customFormat="false" ht="12.75" hidden="false" customHeight="true" outlineLevel="0" collapsed="false">
      <c r="A284" s="156" t="n">
        <v>40969</v>
      </c>
      <c r="B284" s="73" t="n">
        <v>2012</v>
      </c>
      <c r="C284" s="157" t="s">
        <v>61</v>
      </c>
      <c r="D284" s="159"/>
      <c r="E284" s="159" t="n">
        <v>144.899039242219</v>
      </c>
      <c r="F284" s="159" t="n">
        <v>137.672366902623</v>
      </c>
      <c r="G284" s="159" t="n">
        <v>145.043761422163</v>
      </c>
      <c r="H284" s="159" t="n">
        <v>63.2750482132728</v>
      </c>
      <c r="I284" s="159" t="n">
        <v>73.6850217391304</v>
      </c>
      <c r="J284" s="159"/>
      <c r="K284" s="159" t="n">
        <v>154.898315526592</v>
      </c>
      <c r="L284" s="159"/>
      <c r="M284" s="160" t="n">
        <f aca="false">G284-F284</f>
        <v>7.37139451953985</v>
      </c>
      <c r="N284" s="75"/>
      <c r="O284" s="77" t="n">
        <v>270.969044476126</v>
      </c>
      <c r="P284" s="76"/>
      <c r="Q284" s="183"/>
      <c r="R284" s="162"/>
      <c r="S284" s="57" t="n">
        <f aca="false">IF(ABS(F284-F283)&lt;0.05,0,F284-F283)</f>
        <v>3.1150014871215</v>
      </c>
      <c r="T284" s="178" t="n">
        <f aca="false">IF((ABS(G284/G283-1))&lt;0.0005,0,(G284/G283-1))</f>
        <v>0.0173886586559817</v>
      </c>
      <c r="U284" s="163" t="n">
        <f aca="false">IF(ABS(F284-F272)&lt;0.05,0,F284-F272)</f>
        <v>5.77998096484444</v>
      </c>
      <c r="V284" s="164" t="n">
        <f aca="false">IF(ABS(F284/F272-1)&lt;0.0005,0,(F284/F272-1))</f>
        <v>0.0438234620122133</v>
      </c>
      <c r="W284" s="57" t="n">
        <f aca="false">(F284/1.2)-57.95</f>
        <v>56.7769724188527</v>
      </c>
      <c r="X284" s="163" t="n">
        <f aca="false">IF(ABS(W284-W283)&lt;0.05,0,W284-W283)</f>
        <v>2.59583457260125</v>
      </c>
      <c r="Y284" s="184" t="n">
        <f aca="false">IF(ABS(W284/W283-1)&lt;0.0005,0,(W284/W283-1))</f>
        <v>0.0479103000746752</v>
      </c>
      <c r="Z284" s="163" t="n">
        <f aca="false">IF(ABS(W284-W272)&lt;0.05,0,W284-W272)</f>
        <v>4.81665080403704</v>
      </c>
      <c r="AA284" s="155" t="n">
        <f aca="false">IF(ABS(W284/W272-1)&lt;0.0005,0,(W284/W272-1))</f>
        <v>0.0926986333868967</v>
      </c>
      <c r="AB284" s="185"/>
      <c r="AC284" s="57" t="n">
        <f aca="false">IF(ABS(G284-G283)&lt;0.05,0,G284-G283)</f>
        <v>2.47900980229275</v>
      </c>
      <c r="AD284" s="164" t="n">
        <f aca="false">IF(ABS(G284/G283-1)&lt;0.0005,0,(G284/G283-1))</f>
        <v>0.0173886586559817</v>
      </c>
      <c r="AE284" s="163" t="n">
        <f aca="false">IF(ABS(G284-G272)&lt;0.05,0,G284-G272)</f>
        <v>6.91748075538573</v>
      </c>
      <c r="AF284" s="164" t="n">
        <f aca="false">IF(ABS(G284/G272-1)&lt;0.0005,0,(G284/G272-1))</f>
        <v>0.0500808442969212</v>
      </c>
      <c r="AG284" s="57" t="n">
        <f aca="false">(G284/1.2)-57.95</f>
        <v>62.9198011851359</v>
      </c>
      <c r="AH284" s="163" t="n">
        <f aca="false">IF(ABS(AG284-AG283)&lt;0.05,0,AG284-AG283)</f>
        <v>2.06584150191063</v>
      </c>
      <c r="AI284" s="164" t="n">
        <f aca="false">IF(ABS(AG284/AG283-1)&lt;0.0005,0,(AG284/AG283-1))</f>
        <v>0.0339475280271711</v>
      </c>
      <c r="AJ284" s="163" t="n">
        <f aca="false">IF(ABS(AG284-AG272)&lt;0.05,0,AG284-AG272)</f>
        <v>5.76456729615477</v>
      </c>
      <c r="AK284" s="155" t="n">
        <f aca="false">IF(ABS(AG284/AG272-1)&lt;0.0005,0,(AG284/AG272-1))</f>
        <v>0.100858082522274</v>
      </c>
      <c r="AL284" s="185"/>
      <c r="AM284" s="156" t="n">
        <f aca="false">IF(E284="..","",A284)</f>
        <v>40969</v>
      </c>
      <c r="AN284" s="57" t="n">
        <f aca="false">IF(ABS(E284-E283)&lt;0.05,0,E284-E283)</f>
        <v>3.08393775372127</v>
      </c>
      <c r="AO284" s="164" t="n">
        <f aca="false">IF(ABS(E284/E283-1)&lt;0.0005,0,(E284/E283-1))</f>
        <v>0.021746187263219</v>
      </c>
      <c r="AP284" s="163" t="n">
        <f aca="false">IF(ABS(E284-E272)&lt;0.05,0,E284-E272)</f>
        <v>6.95939106901218</v>
      </c>
      <c r="AQ284" s="164" t="n">
        <f aca="false">IF(ABS(E284/E272-1)&lt;0.0005,0,(E284/E272-1))</f>
        <v>0.050452434533351</v>
      </c>
      <c r="AR284" s="57" t="n">
        <f aca="false">(E284/1.2)-57.95</f>
        <v>62.799199368516</v>
      </c>
      <c r="AS284" s="163" t="n">
        <f aca="false">IF(ABS(AR284-AR283)&lt;0.05,0,AR284-AR283)</f>
        <v>2.56994812810106</v>
      </c>
      <c r="AT284" s="164" t="n">
        <f aca="false">IF(ABS(AR284/AR283-1)&lt;0.0005,0,(AR284/AR283-1))</f>
        <v>0.0426694351195351</v>
      </c>
      <c r="AU284" s="163" t="n">
        <f aca="false">IF(ABS(AR284-AR272)&lt;0.05,0,AR284-AR272)</f>
        <v>5.79949255751015</v>
      </c>
      <c r="AV284" s="155" t="n">
        <f aca="false">IF(ABS(AR284/AR272-1)&lt;0.0005,0,(AR284/AR272-1))</f>
        <v>0.101746006812624</v>
      </c>
      <c r="AW284" s="185"/>
      <c r="AX284" s="163" t="n">
        <f aca="false">IF(ABS(H284-H283)&lt;0.05,0,H284-H283)</f>
        <v>1.75677252922533</v>
      </c>
      <c r="AY284" s="164" t="n">
        <f aca="false">IF(ABS(H284/H283-1)&lt;0.0005,0,(H284/H283-1))</f>
        <v>0.0285569208449203</v>
      </c>
      <c r="AZ284" s="163" t="n">
        <f aca="false">IF(ABS(H284-H272)&lt;0.05,0,H284-H272)</f>
        <v>5.67806834750102</v>
      </c>
      <c r="BA284" s="164" t="n">
        <f aca="false">IF(ABS(H284/H272-1)&lt;0.0005,0,(H284/H272-1))</f>
        <v>0.0985827444552405</v>
      </c>
      <c r="BB284" s="57" t="n">
        <f aca="false">(H284/1.05)</f>
        <v>60.2619506793075</v>
      </c>
      <c r="BC284" s="163" t="n">
        <f aca="false">IF(ABS(BB284-BB283)&lt;0.05,0,BB284-BB283)</f>
        <v>1.67311669450031</v>
      </c>
      <c r="BD284" s="164" t="n">
        <f aca="false">IF(ABS(BB284/BB283-1)&lt;0.0005,0,(BB284/BB283-1))</f>
        <v>0.0285569208449201</v>
      </c>
      <c r="BE284" s="163" t="n">
        <f aca="false">IF(ABS(BB284-BB272)&lt;0.05,0,BB284-BB272)</f>
        <v>5.40768414047716</v>
      </c>
      <c r="BF284" s="155" t="n">
        <f aca="false">IF(ABS(BB284/BB272-1)&lt;0.0005,0,(BB284/BB272-1))</f>
        <v>0.0985827444552405</v>
      </c>
      <c r="BG284" s="162"/>
      <c r="BH284" s="163" t="n">
        <f aca="false">IF(ABS(I284-I283)&lt;0.05,0,I284-I283)</f>
        <v>2.34601527709489</v>
      </c>
      <c r="BI284" s="164" t="n">
        <f aca="false">IF(ABS(I284/I283-1)&lt;0.0005,0,(I284/I283-1))</f>
        <v>0.0328854492576003</v>
      </c>
      <c r="BJ284" s="163" t="n">
        <f aca="false">IF(ABS(I284-I272)&lt;0.05,0,I284-I272)</f>
        <v>6.57895550326613</v>
      </c>
      <c r="BK284" s="164" t="n">
        <f aca="false">IF(ABS(I284/I272-1)&lt;0.0005,0,(I284/I272-1))</f>
        <v>0.0980381636459278</v>
      </c>
      <c r="BL284" s="57" t="n">
        <f aca="false">(I284/1.05)-11.14</f>
        <v>59.0362111801242</v>
      </c>
      <c r="BM284" s="163" t="n">
        <f aca="false">IF(ABS(BL284-BL283)&lt;0.05,0,BL284-BL283)</f>
        <v>2.23430026389991</v>
      </c>
      <c r="BN284" s="164" t="n">
        <f aca="false">IF(ABS(BL284/BL283-1)&lt;0.0005,0,(BL284/BL283-1))</f>
        <v>0.0393349489103496</v>
      </c>
      <c r="BO284" s="163" t="n">
        <f aca="false">IF(ABS(BL284-BL272)&lt;0.05,0,BL284-BL272)</f>
        <v>6.26567190787251</v>
      </c>
      <c r="BP284" s="155" t="n">
        <f aca="false">IF(ABS(BL284/BL272-1)&lt;0.0005,0,(BL284/BL272-1))</f>
        <v>0.118734278525124</v>
      </c>
      <c r="BQ284" s="162"/>
    </row>
    <row r="285" customFormat="false" ht="12.75" hidden="false" customHeight="true" outlineLevel="0" collapsed="false">
      <c r="A285" s="156" t="n">
        <v>41000</v>
      </c>
      <c r="B285" s="73" t="n">
        <v>2012</v>
      </c>
      <c r="C285" s="157" t="s">
        <v>62</v>
      </c>
      <c r="D285" s="159"/>
      <c r="E285" s="159" t="n">
        <v>148.849769959405</v>
      </c>
      <c r="F285" s="159" t="n">
        <v>141.738424246029</v>
      </c>
      <c r="G285" s="159" t="n">
        <v>147.78288032342</v>
      </c>
      <c r="H285" s="159" t="n">
        <v>64.4</v>
      </c>
      <c r="I285" s="159" t="n">
        <v>74.59</v>
      </c>
      <c r="J285" s="159"/>
      <c r="K285" s="159" t="n">
        <v>147.243373607187</v>
      </c>
      <c r="L285" s="159"/>
      <c r="M285" s="160" t="n">
        <f aca="false">G285-F285</f>
        <v>6.04445607739086</v>
      </c>
      <c r="N285" s="75"/>
      <c r="O285" s="77" t="n">
        <v>257.616287471472</v>
      </c>
      <c r="P285" s="76"/>
      <c r="Q285" s="183"/>
      <c r="R285" s="162"/>
      <c r="S285" s="57" t="n">
        <f aca="false">IF(ABS(F285-F284)&lt;0.05,0,F285-F284)</f>
        <v>4.0660573434061</v>
      </c>
      <c r="T285" s="178" t="n">
        <f aca="false">IF((ABS(G285/G284-1))&lt;0.0005,0,(G285/G284-1))</f>
        <v>0.0188847757007946</v>
      </c>
      <c r="U285" s="163" t="n">
        <f aca="false">IF(ABS(F285-F273)&lt;0.05,0,F285-F273)</f>
        <v>6.9962185473797</v>
      </c>
      <c r="V285" s="164" t="n">
        <f aca="false">IF(ABS(F285/F273-1)&lt;0.0005,0,(F285/F273-1))</f>
        <v>0.051922992585016</v>
      </c>
      <c r="W285" s="57" t="n">
        <f aca="false">(F285/1.2)-57.95</f>
        <v>60.1653535383578</v>
      </c>
      <c r="X285" s="163" t="n">
        <f aca="false">IF(ABS(W285-W284)&lt;0.05,0,W285-W284)</f>
        <v>3.38838111950508</v>
      </c>
      <c r="Y285" s="184" t="n">
        <f aca="false">IF(ABS(W285/W284-1)&lt;0.0005,0,(W285/W284-1))</f>
        <v>0.0596787918613986</v>
      </c>
      <c r="Z285" s="163" t="n">
        <f aca="false">IF(ABS(W285-W273)&lt;0.05,0,W285-W273)</f>
        <v>5.83018212281641</v>
      </c>
      <c r="AA285" s="155" t="n">
        <f aca="false">IF(ABS(W285/W273-1)&lt;0.0005,0,(W285/W273-1))</f>
        <v>0.107300335508812</v>
      </c>
      <c r="AB285" s="185"/>
      <c r="AC285" s="57" t="n">
        <f aca="false">IF(ABS(G285-G284)&lt;0.05,0,G285-G284)</f>
        <v>2.73911890125711</v>
      </c>
      <c r="AD285" s="164" t="n">
        <f aca="false">IF(ABS(G285/G284-1)&lt;0.0005,0,(G285/G284-1))</f>
        <v>0.0188847757007946</v>
      </c>
      <c r="AE285" s="163" t="n">
        <f aca="false">IF(ABS(G285-G273)&lt;0.05,0,G285-G273)</f>
        <v>6.66009913053111</v>
      </c>
      <c r="AF285" s="164" t="n">
        <f aca="false">IF(ABS(G285/G273-1)&lt;0.0005,0,(G285/G273-1))</f>
        <v>0.0471936499141692</v>
      </c>
      <c r="AG285" s="57" t="n">
        <f aca="false">(G285/1.2)-57.95</f>
        <v>65.2024002695169</v>
      </c>
      <c r="AH285" s="163" t="n">
        <f aca="false">IF(ABS(AG285-AG284)&lt;0.05,0,AG285-AG284)</f>
        <v>2.28259908438093</v>
      </c>
      <c r="AI285" s="164" t="n">
        <f aca="false">IF(ABS(AG285/AG284-1)&lt;0.0005,0,(AG285/AG284-1))</f>
        <v>0.0362779131749731</v>
      </c>
      <c r="AJ285" s="163" t="n">
        <f aca="false">IF(ABS(AG285-AG273)&lt;0.05,0,AG285-AG273)</f>
        <v>5.55008260877592</v>
      </c>
      <c r="AK285" s="155" t="n">
        <f aca="false">IF(ABS(AG285/AG273-1)&lt;0.0005,0,(AG285/AG273-1))</f>
        <v>0.0930405192358286</v>
      </c>
      <c r="AL285" s="185"/>
      <c r="AM285" s="156" t="n">
        <f aca="false">IF(E285="..","",A285)</f>
        <v>41000</v>
      </c>
      <c r="AN285" s="57" t="n">
        <f aca="false">IF(ABS(E285-E284)&lt;0.05,0,E285-E284)</f>
        <v>3.95073071718539</v>
      </c>
      <c r="AO285" s="164" t="n">
        <f aca="false">IF(ABS(E285/E284-1)&lt;0.0005,0,(E285/E284-1))</f>
        <v>0.0272654031237654</v>
      </c>
      <c r="AP285" s="163" t="n">
        <f aca="false">IF(ABS(E285-E273)&lt;0.05,0,E285-E273)</f>
        <v>7.04764546684709</v>
      </c>
      <c r="AQ285" s="164" t="n">
        <f aca="false">IF(ABS(E285/E273-1)&lt;0.0005,0,(E285/E273-1))</f>
        <v>0.0497005633171383</v>
      </c>
      <c r="AR285" s="57" t="n">
        <f aca="false">(E285/1.2)-57.95</f>
        <v>66.0914749661705</v>
      </c>
      <c r="AS285" s="163" t="n">
        <f aca="false">IF(ABS(AR285-AR284)&lt;0.05,0,AR285-AR284)</f>
        <v>3.2922755976545</v>
      </c>
      <c r="AT285" s="164" t="n">
        <f aca="false">IF(ABS(AR285/AR284-1)&lt;0.0005,0,(AR285/AR284-1))</f>
        <v>0.0524254390304386</v>
      </c>
      <c r="AU285" s="163" t="n">
        <f aca="false">IF(ABS(AR285-AR273)&lt;0.05,0,AR285-AR273)</f>
        <v>5.87303788903924</v>
      </c>
      <c r="AV285" s="155" t="n">
        <f aca="false">IF(ABS(AR285/AR273-1)&lt;0.0005,0,(AR285/AR273-1))</f>
        <v>0.0975288993554699</v>
      </c>
      <c r="AW285" s="185"/>
      <c r="AX285" s="163" t="n">
        <f aca="false">IF(ABS(H285-H284)&lt;0.05,0,H285-H284)</f>
        <v>1.12495178672717</v>
      </c>
      <c r="AY285" s="164" t="n">
        <f aca="false">IF(ABS(H285/H284-1)&lt;0.0005,0,(H285/H284-1))</f>
        <v>0.0177787582703288</v>
      </c>
      <c r="AZ285" s="163" t="n">
        <f aca="false">IF(ABS(H285-H273)&lt;0.05,0,H285-H273)</f>
        <v>3.1917656169334</v>
      </c>
      <c r="BA285" s="164" t="n">
        <f aca="false">IF(ABS(H285/H273-1)&lt;0.0005,0,(H285/H273-1))</f>
        <v>0.0521460167754229</v>
      </c>
      <c r="BB285" s="57" t="n">
        <f aca="false">(H285/1.05)</f>
        <v>61.3333333333333</v>
      </c>
      <c r="BC285" s="163" t="n">
        <f aca="false">IF(ABS(BB285-BB284)&lt;0.05,0,BB285-BB284)</f>
        <v>1.07138265402588</v>
      </c>
      <c r="BD285" s="164" t="n">
        <f aca="false">IF(ABS(BB285/BB284-1)&lt;0.0005,0,(BB285/BB284-1))</f>
        <v>0.0177787582703288</v>
      </c>
      <c r="BE285" s="163" t="n">
        <f aca="false">IF(ABS(BB285-BB273)&lt;0.05,0,BB285-BB273)</f>
        <v>3.03977677803181</v>
      </c>
      <c r="BF285" s="155" t="n">
        <f aca="false">IF(ABS(BB285/BB273-1)&lt;0.0005,0,(BB285/BB273-1))</f>
        <v>0.0521460167754226</v>
      </c>
      <c r="BG285" s="162"/>
      <c r="BH285" s="163" t="n">
        <f aca="false">IF(ABS(I285-I284)&lt;0.05,0,I285-I284)</f>
        <v>0.904978260869569</v>
      </c>
      <c r="BI285" s="164" t="n">
        <f aca="false">IF(ABS(I285/I284-1)&lt;0.0005,0,(I285/I284-1))</f>
        <v>0.0122817126128223</v>
      </c>
      <c r="BJ285" s="163" t="n">
        <f aca="false">IF(ABS(I285-I273)&lt;0.05,0,I285-I273)</f>
        <v>3.25263327948305</v>
      </c>
      <c r="BK285" s="164" t="n">
        <f aca="false">IF(ABS(I285/I273-1)&lt;0.0005,0,(I285/I273-1))</f>
        <v>0.045595084722234</v>
      </c>
      <c r="BL285" s="57" t="n">
        <f aca="false">(I285/1.05)-11.14</f>
        <v>59.8980952380952</v>
      </c>
      <c r="BM285" s="163" t="n">
        <f aca="false">IF(ABS(BL285-BL284)&lt;0.05,0,BL285-BL284)</f>
        <v>0.861884057971011</v>
      </c>
      <c r="BN285" s="164" t="n">
        <f aca="false">IF(ABS(BL285/BL284-1)&lt;0.0005,0,(BL285/BL284-1))</f>
        <v>0.0145992441036118</v>
      </c>
      <c r="BO285" s="163" t="n">
        <f aca="false">IF(ABS(BL285-BL273)&lt;0.05,0,BL285-BL273)</f>
        <v>3.09774598046005</v>
      </c>
      <c r="BP285" s="155" t="n">
        <f aca="false">IF(ABS(BL285/BL273-1)&lt;0.0005,0,(BL285/BL273-1))</f>
        <v>0.0545374460007153</v>
      </c>
      <c r="BQ285" s="162"/>
    </row>
    <row r="286" customFormat="false" ht="12.75" hidden="false" customHeight="true" outlineLevel="0" collapsed="false">
      <c r="A286" s="156" t="n">
        <v>41030</v>
      </c>
      <c r="B286" s="73" t="n">
        <v>2012</v>
      </c>
      <c r="C286" s="157" t="s">
        <v>63</v>
      </c>
      <c r="D286" s="159"/>
      <c r="E286" s="159" t="n">
        <v>145.361590245936</v>
      </c>
      <c r="F286" s="159" t="n">
        <v>137.676405</v>
      </c>
      <c r="G286" s="159" t="n">
        <v>144.010902059267</v>
      </c>
      <c r="H286" s="159" t="n">
        <v>59.0992892342684</v>
      </c>
      <c r="I286" s="159" t="n">
        <v>69.8884030784031</v>
      </c>
      <c r="J286" s="159"/>
      <c r="K286" s="159" t="n">
        <v>136.282004074921</v>
      </c>
      <c r="L286" s="159"/>
      <c r="M286" s="160" t="n">
        <f aca="false">G286-F286</f>
        <v>6.33449705926671</v>
      </c>
      <c r="N286" s="75"/>
      <c r="O286" s="77" t="n">
        <v>238.347897111691</v>
      </c>
      <c r="P286" s="76"/>
      <c r="Q286" s="183"/>
      <c r="R286" s="162"/>
      <c r="S286" s="57" t="n">
        <f aca="false">IF(ABS(F286-F285)&lt;0.05,0,F286-F285)</f>
        <v>-4.06201924602939</v>
      </c>
      <c r="T286" s="178" t="n">
        <f aca="false">IF((ABS(G286/G285-1))&lt;0.0005,0,(G286/G285-1))</f>
        <v>-0.0255237836473253</v>
      </c>
      <c r="U286" s="163" t="n">
        <f aca="false">IF(ABS(F286-F274)&lt;0.05,0,F286-F274)</f>
        <v>0.970339923561937</v>
      </c>
      <c r="V286" s="164" t="n">
        <f aca="false">IF(ABS(F286/F274-1)&lt;0.0005,0,(F286/F274-1))</f>
        <v>0.00709800200173549</v>
      </c>
      <c r="W286" s="57" t="n">
        <f aca="false">(F286/1.2)-57.95</f>
        <v>56.7803375</v>
      </c>
      <c r="X286" s="163" t="n">
        <f aca="false">IF(ABS(W286-W285)&lt;0.05,0,W286-W285)</f>
        <v>-3.38501603835783</v>
      </c>
      <c r="Y286" s="184" t="n">
        <f aca="false">IF(ABS(W286/W285-1)&lt;0.0005,0,(W286/W285-1))</f>
        <v>-0.0562618822841247</v>
      </c>
      <c r="Z286" s="163" t="n">
        <f aca="false">IF(ABS(W286-W274)&lt;0.05,0,W286-W274)</f>
        <v>0.808616602968272</v>
      </c>
      <c r="AA286" s="155" t="n">
        <f aca="false">IF(ABS(W286/W274-1)&lt;0.0005,0,(W286/W274-1))</f>
        <v>0.0144468776376527</v>
      </c>
      <c r="AB286" s="185"/>
      <c r="AC286" s="57" t="n">
        <f aca="false">IF(ABS(G286-G285)&lt;0.05,0,G286-G285)</f>
        <v>-3.77197826415355</v>
      </c>
      <c r="AD286" s="164" t="n">
        <f aca="false">IF(ABS(G286/G285-1)&lt;0.0005,0,(G286/G285-1))</f>
        <v>-0.0255237836473253</v>
      </c>
      <c r="AE286" s="163" t="n">
        <f aca="false">IF(ABS(G286-G274)&lt;0.05,0,G286-G274)</f>
        <v>2.50362842577277</v>
      </c>
      <c r="AF286" s="164" t="n">
        <f aca="false">IF(ABS(G286/G274-1)&lt;0.0005,0,(G286/G274-1))</f>
        <v>0.0176925776427381</v>
      </c>
      <c r="AG286" s="57" t="n">
        <f aca="false">(G286/1.2)-57.95</f>
        <v>62.0590850493889</v>
      </c>
      <c r="AH286" s="163" t="n">
        <f aca="false">IF(ABS(AG286-AG285)&lt;0.05,0,AG286-AG285)</f>
        <v>-3.14331522012796</v>
      </c>
      <c r="AI286" s="164" t="n">
        <f aca="false">IF(ABS(AG286/AG285-1)&lt;0.0005,0,(AG286/AG285-1))</f>
        <v>-0.0482085813886441</v>
      </c>
      <c r="AJ286" s="163" t="n">
        <f aca="false">IF(ABS(AG286-AG274)&lt;0.05,0,AG286-AG274)</f>
        <v>2.08635702147731</v>
      </c>
      <c r="AK286" s="155" t="n">
        <f aca="false">IF(ABS(AG286/AG274-1)&lt;0.0005,0,(AG286/AG274-1))</f>
        <v>0.0347884295092649</v>
      </c>
      <c r="AL286" s="185"/>
      <c r="AM286" s="156" t="n">
        <f aca="false">IF(E286="..","",A286)</f>
        <v>41030</v>
      </c>
      <c r="AN286" s="57" t="n">
        <f aca="false">IF(ABS(E286-E285)&lt;0.05,0,E286-E285)</f>
        <v>-3.48817971346881</v>
      </c>
      <c r="AO286" s="164" t="n">
        <f aca="false">IF(ABS(E286/E285-1)&lt;0.0005,0,(E286/E285-1))</f>
        <v>-0.0234342297903459</v>
      </c>
      <c r="AP286" s="163" t="n">
        <f aca="false">IF(ABS(E286-E274)&lt;0.05,0,E286-E274)</f>
        <v>0.997679555814017</v>
      </c>
      <c r="AQ286" s="164" t="n">
        <f aca="false">IF(ABS(E286/E274-1)&lt;0.0005,0,(E286/E274-1))</f>
        <v>0.00691086540288821</v>
      </c>
      <c r="AR286" s="57" t="n">
        <f aca="false">(E286/1.2)-57.95</f>
        <v>63.1846585382798</v>
      </c>
      <c r="AS286" s="163" t="n">
        <f aca="false">IF(ABS(AR286-AR285)&lt;0.05,0,AR286-AR285)</f>
        <v>-2.90681642789068</v>
      </c>
      <c r="AT286" s="164" t="n">
        <f aca="false">IF(ABS(AR286/AR285-1)&lt;0.0005,0,(AR286/AR285-1))</f>
        <v>-0.0439817151815504</v>
      </c>
      <c r="AU286" s="163" t="n">
        <f aca="false">IF(ABS(AR286-AR274)&lt;0.05,0,AR286-AR274)</f>
        <v>0.831399629845009</v>
      </c>
      <c r="AV286" s="155" t="n">
        <f aca="false">IF(ABS(AR286/AR274-1)&lt;0.0005,0,(AR286/AR274-1))</f>
        <v>0.0133336997039066</v>
      </c>
      <c r="AW286" s="185"/>
      <c r="AX286" s="163" t="n">
        <f aca="false">IF(ABS(H286-H285)&lt;0.05,0,H286-H285)</f>
        <v>-5.30071076573162</v>
      </c>
      <c r="AY286" s="164" t="n">
        <f aca="false">IF(ABS(H286/H285-1)&lt;0.0005,0,(H286/H285-1))</f>
        <v>-0.0823091733809258</v>
      </c>
      <c r="AZ286" s="163" t="n">
        <f aca="false">IF(ABS(H286-H274)&lt;0.05,0,H286-H274)</f>
        <v>-1.31337984162217</v>
      </c>
      <c r="BA286" s="164" t="n">
        <f aca="false">IF(ABS(H286/H274-1)&lt;0.0005,0,(H286/H274-1))</f>
        <v>-0.0217401393070765</v>
      </c>
      <c r="BB286" s="57" t="n">
        <f aca="false">(H286/1.05)</f>
        <v>56.2850373659699</v>
      </c>
      <c r="BC286" s="163" t="n">
        <f aca="false">IF(ABS(BB286-BB285)&lt;0.05,0,BB286-BB285)</f>
        <v>-5.04829596736345</v>
      </c>
      <c r="BD286" s="164" t="n">
        <f aca="false">IF(ABS(BB286/BB285-1)&lt;0.0005,0,(BB286/BB285-1))</f>
        <v>-0.0823091733809258</v>
      </c>
      <c r="BE286" s="163" t="n">
        <f aca="false">IF(ABS(BB286-BB274)&lt;0.05,0,BB286-BB274)</f>
        <v>-1.25083794440207</v>
      </c>
      <c r="BF286" s="155" t="n">
        <f aca="false">IF(ABS(BB286/BB274-1)&lt;0.0005,0,(BB286/BB274-1))</f>
        <v>-0.0217401393070765</v>
      </c>
      <c r="BG286" s="162"/>
      <c r="BH286" s="163" t="n">
        <f aca="false">IF(ABS(I286-I285)&lt;0.05,0,I286-I285)</f>
        <v>-4.70159692159693</v>
      </c>
      <c r="BI286" s="164" t="n">
        <f aca="false">IF(ABS(I286/I285-1)&lt;0.0005,0,(I286/I285-1))</f>
        <v>-0.0630325368225893</v>
      </c>
      <c r="BJ286" s="163" t="n">
        <f aca="false">IF(ABS(I286-I274)&lt;0.05,0,I286-I274)</f>
        <v>0.755539588903872</v>
      </c>
      <c r="BK286" s="164" t="n">
        <f aca="false">IF(ABS(I286/I274-1)&lt;0.0005,0,(I286/I274-1))</f>
        <v>0.0109288050684988</v>
      </c>
      <c r="BL286" s="57" t="n">
        <f aca="false">(I286/1.05)-11.14</f>
        <v>55.4203838841934</v>
      </c>
      <c r="BM286" s="163" t="n">
        <f aca="false">IF(ABS(BL286-BL285)&lt;0.05,0,BL286-BL285)</f>
        <v>-4.47771135390184</v>
      </c>
      <c r="BN286" s="164" t="n">
        <f aca="false">IF(ABS(BL286/BL285-1)&lt;0.0005,0,(BL286/BL285-1))</f>
        <v>-0.0747554882355259</v>
      </c>
      <c r="BO286" s="163" t="n">
        <f aca="false">IF(ABS(BL286-BL274)&lt;0.05,0,BL286-BL274)</f>
        <v>0.719561513241786</v>
      </c>
      <c r="BP286" s="155" t="n">
        <f aca="false">IF(ABS(BL286/BL274-1)&lt;0.0005,0,(BL286/BL274-1))</f>
        <v>0.0131544916886643</v>
      </c>
      <c r="BQ286" s="162"/>
    </row>
    <row r="287" customFormat="false" ht="12.75" hidden="false" customHeight="true" outlineLevel="0" collapsed="false">
      <c r="A287" s="156" t="n">
        <v>41061</v>
      </c>
      <c r="B287" s="73" t="n">
        <v>2012</v>
      </c>
      <c r="C287" s="157" t="s">
        <v>64</v>
      </c>
      <c r="D287" s="159"/>
      <c r="E287" s="159" t="n">
        <v>139.361398499375</v>
      </c>
      <c r="F287" s="159" t="n">
        <v>131.634916</v>
      </c>
      <c r="G287" s="159" t="n">
        <v>137.437491712707</v>
      </c>
      <c r="H287" s="159" t="n">
        <v>54.5008188021228</v>
      </c>
      <c r="I287" s="159" t="n">
        <v>65.5946208112875</v>
      </c>
      <c r="J287" s="159"/>
      <c r="K287" s="159" t="n">
        <v>120.262843210866</v>
      </c>
      <c r="L287" s="159"/>
      <c r="M287" s="160" t="n">
        <f aca="false">G287-F287</f>
        <v>5.80257571270721</v>
      </c>
      <c r="N287" s="75"/>
      <c r="O287" s="77" t="n">
        <v>210.466358955093</v>
      </c>
      <c r="P287" s="76"/>
      <c r="Q287" s="183"/>
      <c r="R287" s="162"/>
      <c r="S287" s="57" t="n">
        <f aca="false">IF(ABS(F287-F286)&lt;0.05,0,F287-F286)</f>
        <v>-6.04148899999998</v>
      </c>
      <c r="T287" s="178" t="n">
        <f aca="false">IF((ABS(G287/G286-1))&lt;0.0005,0,(G287/G286-1))</f>
        <v>-0.0456452272193548</v>
      </c>
      <c r="U287" s="163" t="n">
        <f aca="false">IF(ABS(F287-F275)&lt;0.05,0,F287-F275)</f>
        <v>-3.92983029706738</v>
      </c>
      <c r="V287" s="164" t="n">
        <f aca="false">IF(ABS(F287/F275-1)&lt;0.0005,0,(F287/F275-1))</f>
        <v>-0.0289885859296769</v>
      </c>
      <c r="W287" s="57" t="n">
        <f aca="false">(F287/1.2)-57.95</f>
        <v>51.7457633333333</v>
      </c>
      <c r="X287" s="163" t="n">
        <f aca="false">IF(ABS(W287-W286)&lt;0.05,0,W287-W286)</f>
        <v>-5.03457416666664</v>
      </c>
      <c r="Y287" s="184" t="n">
        <f aca="false">IF(ABS(W287/W286-1)&lt;0.0005,0,(W287/W286-1))</f>
        <v>-0.0886675632505116</v>
      </c>
      <c r="Z287" s="163" t="n">
        <f aca="false">IF(ABS(W287-W275)&lt;0.05,0,W287-W275)</f>
        <v>-3.27485858088949</v>
      </c>
      <c r="AA287" s="155" t="n">
        <f aca="false">IF(ABS(W287/W275-1)&lt;0.0005,0,(W287/W275-1))</f>
        <v>-0.0595205664158975</v>
      </c>
      <c r="AB287" s="185"/>
      <c r="AC287" s="57" t="n">
        <f aca="false">IF(ABS(G287-G286)&lt;0.05,0,G287-G286)</f>
        <v>-6.57341034655948</v>
      </c>
      <c r="AD287" s="164" t="n">
        <f aca="false">IF(ABS(G287/G286-1)&lt;0.0005,0,(G287/G286-1))</f>
        <v>-0.0456452272193548</v>
      </c>
      <c r="AE287" s="163" t="n">
        <f aca="false">IF(ABS(G287-G275)&lt;0.05,0,G287-G275)</f>
        <v>-2.20485917614477</v>
      </c>
      <c r="AF287" s="164" t="n">
        <f aca="false">IF(ABS(G287/G275-1)&lt;0.0005,0,(G287/G275-1))</f>
        <v>-0.0157893301144703</v>
      </c>
      <c r="AG287" s="57" t="n">
        <f aca="false">(G287/1.2)-57.95</f>
        <v>56.5812430939227</v>
      </c>
      <c r="AH287" s="163" t="n">
        <f aca="false">IF(ABS(AG287-AG286)&lt;0.05,0,AG287-AG286)</f>
        <v>-5.47784195546623</v>
      </c>
      <c r="AI287" s="164" t="n">
        <f aca="false">IF(ABS(AG287/AG286-1)&lt;0.0005,0,(AG287/AG286-1))</f>
        <v>-0.0882681713903253</v>
      </c>
      <c r="AJ287" s="163" t="n">
        <f aca="false">IF(ABS(AG287-AG275)&lt;0.05,0,AG287-AG275)</f>
        <v>-1.8373826467873</v>
      </c>
      <c r="AK287" s="155" t="n">
        <f aca="false">IF(ABS(AG287/AG275-1)&lt;0.0005,0,(AG287/AG275-1))</f>
        <v>-0.0314520005133722</v>
      </c>
      <c r="AL287" s="185"/>
      <c r="AM287" s="156" t="n">
        <f aca="false">IF(E287="..","",A287)</f>
        <v>41061</v>
      </c>
      <c r="AN287" s="57" t="n">
        <f aca="false">IF(ABS(E287-E286)&lt;0.05,0,E287-E286)</f>
        <v>-6.00019174656103</v>
      </c>
      <c r="AO287" s="164" t="n">
        <f aca="false">IF(ABS(E287/E286-1)&lt;0.0005,0,(E287/E286-1))</f>
        <v>-0.0412776974743422</v>
      </c>
      <c r="AP287" s="163" t="n">
        <f aca="false">IF(ABS(E287-E275)&lt;0.05,0,E287-E275)</f>
        <v>-3.43907511361573</v>
      </c>
      <c r="AQ287" s="164" t="n">
        <f aca="false">IF(ABS(E287/E275-1)&lt;0.0005,0,(E287/E275-1))</f>
        <v>-0.0240830791845699</v>
      </c>
      <c r="AR287" s="57" t="n">
        <f aca="false">(E287/1.2)-57.95</f>
        <v>58.184498749479</v>
      </c>
      <c r="AS287" s="163" t="n">
        <f aca="false">IF(ABS(AR287-AR286)&lt;0.05,0,AR287-AR286)</f>
        <v>-5.00015978880086</v>
      </c>
      <c r="AT287" s="164" t="n">
        <f aca="false">IF(ABS(AR287/AR286-1)&lt;0.0005,0,(AR287/AR286-1))</f>
        <v>-0.079135662112846</v>
      </c>
      <c r="AU287" s="163" t="n">
        <f aca="false">IF(ABS(AR287-AR275)&lt;0.05,0,AR287-AR275)</f>
        <v>-2.86589592801312</v>
      </c>
      <c r="AV287" s="155" t="n">
        <f aca="false">IF(ABS(AR287/AR275-1)&lt;0.0005,0,(AR287/AR275-1))</f>
        <v>-0.0469431187652863</v>
      </c>
      <c r="AW287" s="185"/>
      <c r="AX287" s="163" t="n">
        <f aca="false">IF(ABS(H287-H286)&lt;0.05,0,H287-H286)</f>
        <v>-4.59847043214557</v>
      </c>
      <c r="AY287" s="164" t="n">
        <f aca="false">IF(ABS(H287/H286-1)&lt;0.0005,0,(H287/H286-1))</f>
        <v>-0.0778092341164599</v>
      </c>
      <c r="AZ287" s="163" t="n">
        <f aca="false">IF(ABS(H287-H275)&lt;0.05,0,H287-H275)</f>
        <v>-4.33511821388132</v>
      </c>
      <c r="BA287" s="164" t="n">
        <f aca="false">IF(ABS(H287/H275-1)&lt;0.0005,0,(H287/H275-1))</f>
        <v>-0.07368146805756</v>
      </c>
      <c r="BB287" s="57" t="n">
        <f aca="false">(H287/1.05)</f>
        <v>51.9055417163074</v>
      </c>
      <c r="BC287" s="163" t="n">
        <f aca="false">IF(ABS(BB287-BB286)&lt;0.05,0,BB287-BB286)</f>
        <v>-4.37949564966245</v>
      </c>
      <c r="BD287" s="164" t="n">
        <f aca="false">IF(ABS(BB287/BB286-1)&lt;0.0005,0,(BB287/BB286-1))</f>
        <v>-0.0778092341164599</v>
      </c>
      <c r="BE287" s="163" t="n">
        <f aca="false">IF(ABS(BB287-BB275)&lt;0.05,0,BB287-BB275)</f>
        <v>-4.12868401322031</v>
      </c>
      <c r="BF287" s="155" t="n">
        <f aca="false">IF(ABS(BB287/BB275-1)&lt;0.0005,0,(BB287/BB275-1))</f>
        <v>-0.07368146805756</v>
      </c>
      <c r="BG287" s="162"/>
      <c r="BH287" s="163" t="n">
        <f aca="false">IF(ABS(I287-I286)&lt;0.05,0,I287-I286)</f>
        <v>-4.2937822671156</v>
      </c>
      <c r="BI287" s="164" t="n">
        <f aca="false">IF(ABS(I287/I286-1)&lt;0.0005,0,(I287/I286-1))</f>
        <v>-0.061437693207823</v>
      </c>
      <c r="BJ287" s="163" t="n">
        <f aca="false">IF(ABS(I287-I275)&lt;0.05,0,I287-I275)</f>
        <v>-2.52812555381755</v>
      </c>
      <c r="BK287" s="164" t="n">
        <f aca="false">IF(ABS(I287/I275-1)&lt;0.0005,0,(I287/I275-1))</f>
        <v>-0.0371113275478944</v>
      </c>
      <c r="BL287" s="57" t="n">
        <f aca="false">(I287/1.05)-11.14</f>
        <v>51.3310674393214</v>
      </c>
      <c r="BM287" s="163" t="n">
        <f aca="false">IF(ABS(BL287-BL286)&lt;0.05,0,BL287-BL286)</f>
        <v>-4.089316444872</v>
      </c>
      <c r="BN287" s="164" t="n">
        <f aca="false">IF(ABS(BL287/BL286-1)&lt;0.0005,0,(BL287/BL286-1))</f>
        <v>-0.0737872269780204</v>
      </c>
      <c r="BO287" s="163" t="n">
        <f aca="false">IF(ABS(BL287-BL275)&lt;0.05,0,BL287-BL275)</f>
        <v>-2.40773862268338</v>
      </c>
      <c r="BP287" s="155" t="n">
        <f aca="false">IF(ABS(BL287/BL275-1)&lt;0.0005,0,(BL287/BL275-1))</f>
        <v>-0.0448044681138856</v>
      </c>
      <c r="BQ287" s="162"/>
    </row>
    <row r="288" customFormat="false" ht="12.75" hidden="false" customHeight="true" outlineLevel="0" collapsed="false">
      <c r="A288" s="156" t="n">
        <v>41091</v>
      </c>
      <c r="B288" s="73" t="n">
        <v>2012</v>
      </c>
      <c r="C288" s="157" t="s">
        <v>65</v>
      </c>
      <c r="D288" s="159"/>
      <c r="E288" s="159" t="n">
        <v>138.441054606086</v>
      </c>
      <c r="F288" s="159" t="n">
        <v>131.084754</v>
      </c>
      <c r="G288" s="159" t="n">
        <v>136.592484178805</v>
      </c>
      <c r="H288" s="159" t="n">
        <v>53.740513646702</v>
      </c>
      <c r="I288" s="159" t="n">
        <v>67.335342312009</v>
      </c>
      <c r="J288" s="159"/>
      <c r="K288" s="159" t="n">
        <v>125.511869405951</v>
      </c>
      <c r="L288" s="159"/>
      <c r="M288" s="160" t="n">
        <f aca="false">G288-F288</f>
        <v>5.50773017880462</v>
      </c>
      <c r="N288" s="75"/>
      <c r="O288" s="77" t="n">
        <v>219.735728176615</v>
      </c>
      <c r="P288" s="76"/>
      <c r="Q288" s="183"/>
      <c r="R288" s="162"/>
      <c r="S288" s="57" t="n">
        <f aca="false">IF(ABS(F288-F287)&lt;0.05,0,F288-F287)</f>
        <v>-0.550162</v>
      </c>
      <c r="T288" s="178" t="n">
        <f aca="false">IF((ABS(G288/G287-1))&lt;0.0005,0,(G288/G287-1))</f>
        <v>-0.00614830439185365</v>
      </c>
      <c r="U288" s="163" t="n">
        <f aca="false">IF(ABS(F288-F276)&lt;0.05,0,F288-F276)</f>
        <v>-4.02137115614778</v>
      </c>
      <c r="V288" s="164" t="n">
        <f aca="false">IF(ABS(F288/F276-1)&lt;0.0005,0,(F288/F276-1))</f>
        <v>-0.0297645362229145</v>
      </c>
      <c r="W288" s="57" t="n">
        <f aca="false">(F288/1.2)-57.95</f>
        <v>51.287295</v>
      </c>
      <c r="X288" s="163" t="n">
        <f aca="false">IF(ABS(W288-W287)&lt;0.05,0,W288-W287)</f>
        <v>-0.458468333333343</v>
      </c>
      <c r="Y288" s="184" t="n">
        <f aca="false">IF(ABS(W288/W287-1)&lt;0.0005,0,(W288/W287-1))</f>
        <v>-0.0088600168168359</v>
      </c>
      <c r="Z288" s="163" t="n">
        <f aca="false">IF(ABS(W288-W276)&lt;0.05,0,W288-W276)</f>
        <v>-3.35114263012315</v>
      </c>
      <c r="AA288" s="155" t="n">
        <f aca="false">IF(ABS(W288/W276-1)&lt;0.0005,0,(W288/W276-1))</f>
        <v>-0.0613330610367894</v>
      </c>
      <c r="AB288" s="185"/>
      <c r="AC288" s="57" t="n">
        <f aca="false">IF(ABS(G288-G287)&lt;0.05,0,G288-G287)</f>
        <v>-0.845007533902589</v>
      </c>
      <c r="AD288" s="164" t="n">
        <f aca="false">IF(ABS(G288/G287-1)&lt;0.0005,0,(G288/G287-1))</f>
        <v>-0.00614830439185365</v>
      </c>
      <c r="AE288" s="163" t="n">
        <f aca="false">IF(ABS(G288-G276)&lt;0.05,0,G288-G276)</f>
        <v>-2.82893189252505</v>
      </c>
      <c r="AF288" s="164" t="n">
        <f aca="false">IF(ABS(G288/G276-1)&lt;0.0005,0,(G288/G276-1))</f>
        <v>-0.0202905118326853</v>
      </c>
      <c r="AG288" s="57" t="n">
        <f aca="false">(G288/1.2)-57.95</f>
        <v>55.8770701490039</v>
      </c>
      <c r="AH288" s="163" t="n">
        <f aca="false">IF(ABS(AG288-AG287)&lt;0.05,0,AG288-AG287)</f>
        <v>-0.704172944918824</v>
      </c>
      <c r="AI288" s="164" t="n">
        <f aca="false">IF(ABS(AG288/AG287-1)&lt;0.0005,0,(AG288/AG287-1))</f>
        <v>-0.0124453424211611</v>
      </c>
      <c r="AJ288" s="163" t="n">
        <f aca="false">IF(ABS(AG288-AG276)&lt;0.05,0,AG288-AG276)</f>
        <v>-2.35744324377087</v>
      </c>
      <c r="AK288" s="155" t="n">
        <f aca="false">IF(ABS(AG288/AG276-1)&lt;0.0005,0,(AG288/AG276-1))</f>
        <v>-0.0404818913462985</v>
      </c>
      <c r="AL288" s="185"/>
      <c r="AM288" s="156" t="n">
        <f aca="false">IF(E288="..","",A288)</f>
        <v>41091</v>
      </c>
      <c r="AN288" s="57" t="n">
        <f aca="false">IF(ABS(E288-E287)&lt;0.05,0,E288-E287)</f>
        <v>-0.920343893288901</v>
      </c>
      <c r="AO288" s="164" t="n">
        <f aca="false">IF(ABS(E288/E287-1)&lt;0.0005,0,(E288/E287-1))</f>
        <v>-0.00660400873698919</v>
      </c>
      <c r="AP288" s="163" t="n">
        <f aca="false">IF(ABS(E288-E276)&lt;0.05,0,E288-E276)</f>
        <v>-4.48134052246621</v>
      </c>
      <c r="AQ288" s="164" t="n">
        <f aca="false">IF(ABS(E288/E276-1)&lt;0.0005,0,(E288/E276-1))</f>
        <v>-0.0313550617342752</v>
      </c>
      <c r="AR288" s="57" t="n">
        <f aca="false">(E288/1.2)-57.95</f>
        <v>57.4175455050715</v>
      </c>
      <c r="AS288" s="163" t="n">
        <f aca="false">IF(ABS(AR288-AR287)&lt;0.05,0,AR288-AR287)</f>
        <v>-0.766953244407418</v>
      </c>
      <c r="AT288" s="164" t="n">
        <f aca="false">IF(ABS(AR288/AR287-1)&lt;0.0005,0,(AR288/AR287-1))</f>
        <v>-0.0131814015913351</v>
      </c>
      <c r="AU288" s="163" t="n">
        <f aca="false">IF(ABS(AR288-AR276)&lt;0.05,0,AR288-AR276)</f>
        <v>-3.73445043538851</v>
      </c>
      <c r="AV288" s="155" t="n">
        <f aca="false">IF(ABS(AR288/AR276-1)&lt;0.0005,0,(AR288/AR276-1))</f>
        <v>-0.0610683327331543</v>
      </c>
      <c r="AW288" s="185"/>
      <c r="AX288" s="163" t="n">
        <f aca="false">IF(ABS(H288-H287)&lt;0.05,0,H288-H287)</f>
        <v>-0.760305155420774</v>
      </c>
      <c r="AY288" s="164" t="n">
        <f aca="false">IF(ABS(H288/H287-1)&lt;0.0005,0,(H288/H287-1))</f>
        <v>-0.0139503437220132</v>
      </c>
      <c r="AZ288" s="163" t="n">
        <f aca="false">IF(ABS(H288-H276)&lt;0.05,0,H288-H276)</f>
        <v>-4.89547499552821</v>
      </c>
      <c r="BA288" s="164" t="n">
        <f aca="false">IF(ABS(H288/H276-1)&lt;0.0005,0,(H288/H276-1))</f>
        <v>-0.0834892547885249</v>
      </c>
      <c r="BB288" s="57" t="n">
        <f aca="false">(H288/1.05)</f>
        <v>51.1814415682877</v>
      </c>
      <c r="BC288" s="163" t="n">
        <f aca="false">IF(ABS(BB288-BB287)&lt;0.05,0,BB288-BB287)</f>
        <v>-0.724100148019787</v>
      </c>
      <c r="BD288" s="164" t="n">
        <f aca="false">IF(ABS(BB288/BB287-1)&lt;0.0005,0,(BB288/BB287-1))</f>
        <v>-0.0139503437220132</v>
      </c>
      <c r="BE288" s="163" t="n">
        <f aca="false">IF(ABS(BB288-BB276)&lt;0.05,0,BB288-BB276)</f>
        <v>-4.6623571385983</v>
      </c>
      <c r="BF288" s="155" t="n">
        <f aca="false">IF(ABS(BB288/BB276-1)&lt;0.0005,0,(BB288/BB276-1))</f>
        <v>-0.083489254788525</v>
      </c>
      <c r="BG288" s="162"/>
      <c r="BH288" s="163" t="n">
        <f aca="false">IF(ABS(I288-I287)&lt;0.05,0,I288-I287)</f>
        <v>1.74072150072152</v>
      </c>
      <c r="BI288" s="164" t="n">
        <f aca="false">IF(ABS(I288/I287-1)&lt;0.0005,0,(I288/I287-1))</f>
        <v>0.0265375648062589</v>
      </c>
      <c r="BJ288" s="163" t="n">
        <f aca="false">IF(ABS(I288-I276)&lt;0.05,0,I288-I276)</f>
        <v>-1.25125300301525</v>
      </c>
      <c r="BK288" s="164" t="n">
        <f aca="false">IF(ABS(I288/I276-1)&lt;0.0005,0,(I288/I276-1))</f>
        <v>-0.0182434045204918</v>
      </c>
      <c r="BL288" s="57" t="n">
        <f aca="false">(I288/1.05)-11.14</f>
        <v>52.9888974400086</v>
      </c>
      <c r="BM288" s="163" t="n">
        <f aca="false">IF(ABS(BL288-BL287)&lt;0.05,0,BL288-BL287)</f>
        <v>1.65783000068716</v>
      </c>
      <c r="BN288" s="164" t="n">
        <f aca="false">IF(ABS(BL288/BL287-1)&lt;0.0005,0,(BL288/BL287-1))</f>
        <v>0.0322968152307934</v>
      </c>
      <c r="BO288" s="163" t="n">
        <f aca="false">IF(ABS(BL288-BL276)&lt;0.05,0,BL288-BL276)</f>
        <v>-1.1916695266812</v>
      </c>
      <c r="BP288" s="155" t="n">
        <f aca="false">IF(ABS(BL288/BL276-1)&lt;0.0005,0,(BL288/BL276-1))</f>
        <v>-0.0219944085748278</v>
      </c>
      <c r="BQ288" s="162"/>
    </row>
    <row r="289" customFormat="false" ht="12.75" hidden="false" customHeight="true" outlineLevel="0" collapsed="false">
      <c r="A289" s="156" t="n">
        <v>41122</v>
      </c>
      <c r="B289" s="73" t="n">
        <v>2012</v>
      </c>
      <c r="C289" s="157" t="s">
        <v>66</v>
      </c>
      <c r="D289" s="159"/>
      <c r="E289" s="159" t="n">
        <v>141.594755106294</v>
      </c>
      <c r="F289" s="159" t="n">
        <v>134.13443</v>
      </c>
      <c r="G289" s="159" t="n">
        <v>139.405459568056</v>
      </c>
      <c r="H289" s="159" t="n">
        <v>57.8718328278999</v>
      </c>
      <c r="I289" s="159" t="n">
        <v>71.0628298861632</v>
      </c>
      <c r="J289" s="159"/>
      <c r="K289" s="159" t="n">
        <v>137.430322407392</v>
      </c>
      <c r="L289" s="159"/>
      <c r="M289" s="160" t="n">
        <f aca="false">G289-F289</f>
        <v>5.27102956805626</v>
      </c>
      <c r="N289" s="75"/>
      <c r="O289" s="77" t="n">
        <v>240.65948995657</v>
      </c>
      <c r="P289" s="76"/>
      <c r="Q289" s="183"/>
      <c r="R289" s="162"/>
      <c r="S289" s="57" t="n">
        <f aca="false">IF(ABS(F289-F288)&lt;0.05,0,F289-F288)</f>
        <v>3.04967600000001</v>
      </c>
      <c r="T289" s="178" t="n">
        <f aca="false">IF((ABS(G289/G288-1))&lt;0.0005,0,(G289/G288-1))</f>
        <v>0.0205939251062259</v>
      </c>
      <c r="U289" s="163" t="n">
        <f aca="false">IF(ABS(F289-F277)&lt;0.05,0,F289-F277)</f>
        <v>-1.21129601272972</v>
      </c>
      <c r="V289" s="164" t="n">
        <f aca="false">IF(ABS(F289/F277-1)&lt;0.0005,0,(F289/F277-1))</f>
        <v>-0.00894964361575623</v>
      </c>
      <c r="W289" s="57" t="n">
        <f aca="false">(F289/1.2)-57.95</f>
        <v>53.8286916666667</v>
      </c>
      <c r="X289" s="163" t="n">
        <f aca="false">IF(ABS(W289-W288)&lt;0.05,0,W289-W288)</f>
        <v>2.54139666666667</v>
      </c>
      <c r="Y289" s="184" t="n">
        <f aca="false">IF(ABS(W289/W288-1)&lt;0.0005,0,(W289/W288-1))</f>
        <v>0.0495521681669247</v>
      </c>
      <c r="Z289" s="163" t="n">
        <f aca="false">IF(ABS(W289-W277)&lt;0.05,0,W289-W277)</f>
        <v>-1.00941334394143</v>
      </c>
      <c r="AA289" s="155" t="n">
        <f aca="false">IF(ABS(W289/W277-1)&lt;0.0005,0,(W289/W277-1))</f>
        <v>-0.018407152175411</v>
      </c>
      <c r="AB289" s="185"/>
      <c r="AC289" s="57" t="n">
        <f aca="false">IF(ABS(G289-G288)&lt;0.05,0,G289-G288)</f>
        <v>2.81297538925165</v>
      </c>
      <c r="AD289" s="164" t="n">
        <f aca="false">IF(ABS(G289/G288-1)&lt;0.0005,0,(G289/G288-1))</f>
        <v>0.0205939251062259</v>
      </c>
      <c r="AE289" s="163" t="n">
        <f aca="false">IF(ABS(G289-G277)&lt;0.05,0,G289-G277)</f>
        <v>-0.446932855934421</v>
      </c>
      <c r="AF289" s="164" t="n">
        <f aca="false">IF(ABS(G289/G277-1)&lt;0.0005,0,(G289/G277-1))</f>
        <v>-0.00319574694567581</v>
      </c>
      <c r="AG289" s="57" t="n">
        <f aca="false">(G289/1.2)-57.95</f>
        <v>58.2212163067136</v>
      </c>
      <c r="AH289" s="163" t="n">
        <f aca="false">IF(ABS(AG289-AG288)&lt;0.05,0,AG289-AG288)</f>
        <v>2.3441461577097</v>
      </c>
      <c r="AI289" s="164" t="n">
        <f aca="false">IF(ABS(AG289/AG288-1)&lt;0.0005,0,(AG289/AG288-1))</f>
        <v>0.0419518444946865</v>
      </c>
      <c r="AJ289" s="163" t="n">
        <f aca="false">IF(ABS(AG289-AG277)&lt;0.05,0,AG289-AG277)</f>
        <v>-0.372444046612017</v>
      </c>
      <c r="AK289" s="155" t="n">
        <f aca="false">IF(ABS(AG289/AG277-1)&lt;0.0005,0,(AG289/AG277-1))</f>
        <v>-0.00635638812059436</v>
      </c>
      <c r="AL289" s="185"/>
      <c r="AM289" s="156" t="n">
        <f aca="false">IF(E289="..","",A289)</f>
        <v>41122</v>
      </c>
      <c r="AN289" s="57" t="n">
        <f aca="false">IF(ABS(E289-E288)&lt;0.05,0,E289-E288)</f>
        <v>3.15370050020843</v>
      </c>
      <c r="AO289" s="164" t="n">
        <f aca="false">IF(ABS(E289/E288-1)&lt;0.0005,0,(E289/E288-1))</f>
        <v>0.0227800958984445</v>
      </c>
      <c r="AP289" s="163" t="n">
        <f aca="false">IF(ABS(E289-E277)&lt;0.05,0,E289-E277)</f>
        <v>-1.30937209262316</v>
      </c>
      <c r="AQ289" s="164" t="n">
        <f aca="false">IF(ABS(E289/E277-1)&lt;0.0005,0,(E289/E277-1))</f>
        <v>-0.00916259116015983</v>
      </c>
      <c r="AR289" s="57" t="n">
        <f aca="false">(E289/1.2)-57.95</f>
        <v>60.0456292552452</v>
      </c>
      <c r="AS289" s="163" t="n">
        <f aca="false">IF(ABS(AR289-AR288)&lt;0.05,0,AR289-AR288)</f>
        <v>2.6280837501737</v>
      </c>
      <c r="AT289" s="164" t="n">
        <f aca="false">IF(ABS(AR289/AR288-1)&lt;0.0005,0,(AR289/AR288-1))</f>
        <v>0.0457714401940357</v>
      </c>
      <c r="AU289" s="163" t="n">
        <f aca="false">IF(ABS(AR289-AR277)&lt;0.05,0,AR289-AR277)</f>
        <v>-1.09114341051929</v>
      </c>
      <c r="AV289" s="155" t="n">
        <f aca="false">IF(ABS(AR289/AR277-1)&lt;0.0005,0,(AR289/AR277-1))</f>
        <v>-0.0178475794998959</v>
      </c>
      <c r="AW289" s="185"/>
      <c r="AX289" s="163" t="n">
        <f aca="false">IF(ABS(H289-H288)&lt;0.05,0,H289-H288)</f>
        <v>4.13131918119787</v>
      </c>
      <c r="AY289" s="164" t="n">
        <f aca="false">IF(ABS(H289/H288-1)&lt;0.0005,0,(H289/H288-1))</f>
        <v>0.0768753199561465</v>
      </c>
      <c r="AZ289" s="163" t="n">
        <f aca="false">IF(ABS(H289-H277)&lt;0.05,0,H289-H277)</f>
        <v>0.153407427796665</v>
      </c>
      <c r="BA289" s="164" t="n">
        <f aca="false">IF(ABS(H289/H277-1)&lt;0.0005,0,(H289/H277-1))</f>
        <v>0.00265785885067449</v>
      </c>
      <c r="BB289" s="57" t="n">
        <f aca="false">(H289/1.05)</f>
        <v>55.1160312646666</v>
      </c>
      <c r="BC289" s="163" t="n">
        <f aca="false">IF(ABS(BB289-BB288)&lt;0.05,0,BB289-BB288)</f>
        <v>3.93458969637893</v>
      </c>
      <c r="BD289" s="164" t="n">
        <f aca="false">IF(ABS(BB289/BB288-1)&lt;0.0005,0,(BB289/BB288-1))</f>
        <v>0.0768753199561465</v>
      </c>
      <c r="BE289" s="163" t="n">
        <f aca="false">IF(ABS(BB289-BB277)&lt;0.05,0,BB289-BB277)</f>
        <v>0.146102312187296</v>
      </c>
      <c r="BF289" s="155" t="n">
        <f aca="false">IF(ABS(BB289/BB277-1)&lt;0.0005,0,(BB289/BB277-1))</f>
        <v>0.00265785885067449</v>
      </c>
      <c r="BG289" s="162"/>
      <c r="BH289" s="163" t="n">
        <f aca="false">IF(ABS(I289-I288)&lt;0.05,0,I289-I288)</f>
        <v>3.72748757415424</v>
      </c>
      <c r="BI289" s="164" t="n">
        <f aca="false">IF(ABS(I289/I288-1)&lt;0.0005,0,(I289/I288-1))</f>
        <v>0.0553570746975984</v>
      </c>
      <c r="BJ289" s="163" t="n">
        <f aca="false">IF(ABS(I289-I277)&lt;0.05,0,I289-I277)</f>
        <v>3.04857705902268</v>
      </c>
      <c r="BK289" s="164" t="n">
        <f aca="false">IF(ABS(I289/I277-1)&lt;0.0005,0,(I289/I277-1))</f>
        <v>0.0448226207346671</v>
      </c>
      <c r="BL289" s="57" t="n">
        <f aca="false">(I289/1.05)-11.14</f>
        <v>56.5388856058697</v>
      </c>
      <c r="BM289" s="163" t="n">
        <f aca="false">IF(ABS(BL289-BL288)&lt;0.05,0,BL289-BL288)</f>
        <v>3.54998816586118</v>
      </c>
      <c r="BN289" s="164" t="n">
        <f aca="false">IF(ABS(BL289/BL288-1)&lt;0.0005,0,(BL289/BL288-1))</f>
        <v>0.0669949430421779</v>
      </c>
      <c r="BO289" s="163" t="n">
        <f aca="false">IF(ABS(BL289-BL277)&lt;0.05,0,BL289-BL277)</f>
        <v>2.90340672287874</v>
      </c>
      <c r="BP289" s="155" t="n">
        <f aca="false">IF(ABS(BL289/BL277-1)&lt;0.0005,0,(BL289/BL277-1))</f>
        <v>0.0541322047149555</v>
      </c>
      <c r="BQ289" s="162"/>
    </row>
    <row r="290" customFormat="false" ht="12.75" hidden="false" customHeight="true" outlineLevel="0" collapsed="false">
      <c r="A290" s="156" t="n">
        <v>41153</v>
      </c>
      <c r="B290" s="73" t="n">
        <v>2012</v>
      </c>
      <c r="C290" s="157" t="s">
        <v>67</v>
      </c>
      <c r="D290" s="159"/>
      <c r="E290" s="159" t="n">
        <v>146.449237182159</v>
      </c>
      <c r="F290" s="159" t="n">
        <v>139.128844</v>
      </c>
      <c r="G290" s="159" t="n">
        <v>143.978048216976</v>
      </c>
      <c r="H290" s="159" t="n">
        <v>60.6479662623199</v>
      </c>
      <c r="I290" s="159" t="n">
        <v>72.955494628828</v>
      </c>
      <c r="J290" s="159"/>
      <c r="K290" s="159" t="n">
        <v>136.163503117246</v>
      </c>
      <c r="L290" s="159"/>
      <c r="M290" s="160" t="n">
        <f aca="false">G290-F290</f>
        <v>4.84920421697643</v>
      </c>
      <c r="N290" s="75"/>
      <c r="O290" s="77" t="n">
        <v>238.28262296971</v>
      </c>
      <c r="P290" s="76"/>
      <c r="Q290" s="183"/>
      <c r="R290" s="162"/>
      <c r="S290" s="57" t="n">
        <f aca="false">IF(ABS(F290-F289)&lt;0.05,0,F290-F289)</f>
        <v>4.99441399999998</v>
      </c>
      <c r="T290" s="178" t="n">
        <f aca="false">IF((ABS(G290/G289-1))&lt;0.0005,0,(G290/G289-1))</f>
        <v>0.0328006425507881</v>
      </c>
      <c r="U290" s="163" t="n">
        <f aca="false">IF(ABS(F290-F278)&lt;0.05,0,F290-F278)</f>
        <v>4.37892192516802</v>
      </c>
      <c r="V290" s="164" t="n">
        <f aca="false">IF(ABS(F290/F278-1)&lt;0.0005,0,(F290/F278-1))</f>
        <v>0.0324966564562184</v>
      </c>
      <c r="W290" s="57" t="n">
        <f aca="false">(F290/1.2)-57.95</f>
        <v>57.9907033333333</v>
      </c>
      <c r="X290" s="163" t="n">
        <f aca="false">IF(ABS(W290-W289)&lt;0.05,0,W290-W289)</f>
        <v>4.16201166666666</v>
      </c>
      <c r="Y290" s="184" t="n">
        <f aca="false">IF(ABS(W290/W289-1)&lt;0.0005,0,(W290/W289-1))</f>
        <v>0.0773195769356583</v>
      </c>
      <c r="Z290" s="163" t="n">
        <f aca="false">IF(ABS(W290-W278)&lt;0.05,0,W290-W278)</f>
        <v>3.64910160430668</v>
      </c>
      <c r="AA290" s="155" t="n">
        <f aca="false">IF(ABS(W290/W278-1)&lt;0.0005,0,(W290/W278-1))</f>
        <v>0.0671511602198045</v>
      </c>
      <c r="AB290" s="185"/>
      <c r="AC290" s="57" t="n">
        <f aca="false">IF(ABS(G290-G289)&lt;0.05,0,G290-G289)</f>
        <v>4.57258864892015</v>
      </c>
      <c r="AD290" s="164" t="n">
        <f aca="false">IF(ABS(G290/G289-1)&lt;0.0005,0,(G290/G289-1))</f>
        <v>0.0328006425507881</v>
      </c>
      <c r="AE290" s="163" t="n">
        <f aca="false">IF(ABS(G290-G278)&lt;0.05,0,G290-G278)</f>
        <v>4.82762345095773</v>
      </c>
      <c r="AF290" s="164" t="n">
        <f aca="false">IF(ABS(G290/G278-1)&lt;0.0005,0,(G290/G278-1))</f>
        <v>0.03469355885241</v>
      </c>
      <c r="AG290" s="57" t="n">
        <f aca="false">(G290/1.2)-57.95</f>
        <v>62.0317068474804</v>
      </c>
      <c r="AH290" s="163" t="n">
        <f aca="false">IF(ABS(AG290-AG289)&lt;0.05,0,AG290-AG289)</f>
        <v>3.81049054076679</v>
      </c>
      <c r="AI290" s="164" t="n">
        <f aca="false">IF(ABS(AG290/AG289-1)&lt;0.0005,0,(AG290/AG289-1))</f>
        <v>0.0654484873811783</v>
      </c>
      <c r="AJ290" s="163" t="n">
        <f aca="false">IF(ABS(AG290-AG278)&lt;0.05,0,AG290-AG278)</f>
        <v>4.02301954246478</v>
      </c>
      <c r="AK290" s="155" t="n">
        <f aca="false">IF(ABS(AG290/AG278-1)&lt;0.0005,0,(AG290/AG278-1))</f>
        <v>0.0693520182815264</v>
      </c>
      <c r="AL290" s="185"/>
      <c r="AM290" s="156" t="n">
        <f aca="false">IF(E290="..","",A290)</f>
        <v>41153</v>
      </c>
      <c r="AN290" s="57" t="n">
        <f aca="false">IF(ABS(E290-E289)&lt;0.05,0,E290-E289)</f>
        <v>4.85448207586492</v>
      </c>
      <c r="AO290" s="164" t="n">
        <f aca="false">IF(ABS(E290/E289-1)&lt;0.0005,0,(E290/E289-1))</f>
        <v>0.0342843354064966</v>
      </c>
      <c r="AP290" s="163" t="n">
        <f aca="false">IF(ABS(E290-E278)&lt;0.05,0,E290-E278)</f>
        <v>4.43962960435138</v>
      </c>
      <c r="AQ290" s="164" t="n">
        <f aca="false">IF(ABS(E290/E278-1)&lt;0.0005,0,(E290/E278-1))</f>
        <v>0.0312628819984513</v>
      </c>
      <c r="AR290" s="57" t="n">
        <f aca="false">(E290/1.2)-57.95</f>
        <v>64.0910309851327</v>
      </c>
      <c r="AS290" s="163" t="n">
        <f aca="false">IF(ABS(AR290-AR289)&lt;0.05,0,AR290-AR289)</f>
        <v>4.04540172988743</v>
      </c>
      <c r="AT290" s="164" t="n">
        <f aca="false">IF(ABS(AR290/AR289-1)&lt;0.0005,0,(AR290/AR289-1))</f>
        <v>0.0673721264988501</v>
      </c>
      <c r="AU290" s="163" t="n">
        <f aca="false">IF(ABS(AR290-AR278)&lt;0.05,0,AR290-AR278)</f>
        <v>3.69969133695949</v>
      </c>
      <c r="AV290" s="155" t="n">
        <f aca="false">IF(ABS(AR290/AR278-1)&lt;0.0005,0,(AR290/AR278-1))</f>
        <v>0.0612619517717787</v>
      </c>
      <c r="AW290" s="185"/>
      <c r="AX290" s="163" t="n">
        <f aca="false">IF(ABS(H290-H289)&lt;0.05,0,H290-H289)</f>
        <v>2.77613343442002</v>
      </c>
      <c r="AY290" s="164" t="n">
        <f aca="false">IF(ABS(H290/H289-1)&lt;0.0005,0,(H290/H289-1))</f>
        <v>0.0479703734747043</v>
      </c>
      <c r="AZ290" s="163" t="n">
        <f aca="false">IF(ABS(H290-H278)&lt;0.05,0,H290-H278)</f>
        <v>3.58754292726573</v>
      </c>
      <c r="BA290" s="164" t="n">
        <f aca="false">IF(ABS(H290/H278-1)&lt;0.0005,0,(H290/H278-1))</f>
        <v>0.0628727008595778</v>
      </c>
      <c r="BB290" s="57" t="n">
        <f aca="false">(H290/1.05)</f>
        <v>57.7599678688761</v>
      </c>
      <c r="BC290" s="163" t="n">
        <f aca="false">IF(ABS(BB290-BB289)&lt;0.05,0,BB290-BB289)</f>
        <v>2.64393660420954</v>
      </c>
      <c r="BD290" s="164" t="n">
        <f aca="false">IF(ABS(BB290/BB289-1)&lt;0.0005,0,(BB290/BB289-1))</f>
        <v>0.0479703734747043</v>
      </c>
      <c r="BE290" s="163" t="n">
        <f aca="false">IF(ABS(BB290-BB278)&lt;0.05,0,BB290-BB278)</f>
        <v>3.41670754977689</v>
      </c>
      <c r="BF290" s="155" t="n">
        <f aca="false">IF(ABS(BB290/BB278-1)&lt;0.0005,0,(BB290/BB278-1))</f>
        <v>0.0628727008595778</v>
      </c>
      <c r="BG290" s="162"/>
      <c r="BH290" s="163" t="n">
        <f aca="false">IF(ABS(I290-I289)&lt;0.05,0,I290-I289)</f>
        <v>1.89266474266475</v>
      </c>
      <c r="BI290" s="164" t="n">
        <f aca="false">IF(ABS(I290/I289-1)&lt;0.0005,0,(I290/I289-1))</f>
        <v>0.0266336810073091</v>
      </c>
      <c r="BJ290" s="163" t="n">
        <f aca="false">IF(ABS(I290-I278)&lt;0.05,0,I290-I278)</f>
        <v>4.99059155936109</v>
      </c>
      <c r="BK290" s="164" t="n">
        <f aca="false">IF(ABS(I290/I278-1)&lt;0.0005,0,(I290/I278-1))</f>
        <v>0.0734289513259545</v>
      </c>
      <c r="BL290" s="57" t="n">
        <f aca="false">(I290/1.05)-11.14</f>
        <v>58.3414234560267</v>
      </c>
      <c r="BM290" s="163" t="n">
        <f aca="false">IF(ABS(BL290-BL289)&lt;0.05,0,BL290-BL289)</f>
        <v>1.80253785015691</v>
      </c>
      <c r="BN290" s="164" t="n">
        <f aca="false">IF(ABS(BL290/BL289-1)&lt;0.0005,0,(BL290/BL289-1))</f>
        <v>0.0318813827128168</v>
      </c>
      <c r="BO290" s="163" t="n">
        <f aca="false">IF(ABS(BL290-BL278)&lt;0.05,0,BL290-BL278)</f>
        <v>4.75294434224867</v>
      </c>
      <c r="BP290" s="155" t="n">
        <f aca="false">IF(ABS(BL290/BL278-1)&lt;0.0005,0,(BL290/BL278-1))</f>
        <v>0.0886933986717053</v>
      </c>
      <c r="BQ290" s="162"/>
    </row>
    <row r="291" customFormat="false" ht="12.75" hidden="false" customHeight="true" outlineLevel="0" collapsed="false">
      <c r="A291" s="156" t="n">
        <v>41183</v>
      </c>
      <c r="B291" s="73" t="n">
        <v>2012</v>
      </c>
      <c r="C291" s="157" t="s">
        <v>68</v>
      </c>
      <c r="D291" s="159"/>
      <c r="E291" s="159" t="n">
        <v>145.578834931221</v>
      </c>
      <c r="F291" s="159" t="n">
        <v>138.076356</v>
      </c>
      <c r="G291" s="159" t="n">
        <v>143.018360622803</v>
      </c>
      <c r="H291" s="159" t="n">
        <v>60.4411391205459</v>
      </c>
      <c r="I291" s="159" t="n">
        <v>73.187367324034</v>
      </c>
      <c r="J291" s="159"/>
      <c r="K291" s="159" t="n">
        <v>135.1354702886</v>
      </c>
      <c r="L291" s="159"/>
      <c r="M291" s="160" t="n">
        <f aca="false">G291-F291</f>
        <v>4.94200462280267</v>
      </c>
      <c r="N291" s="75"/>
      <c r="O291" s="77" t="n">
        <v>236.485170209005</v>
      </c>
      <c r="P291" s="76"/>
      <c r="Q291" s="183"/>
      <c r="R291" s="162"/>
      <c r="S291" s="57" t="n">
        <f aca="false">IF(ABS(F291-F290)&lt;0.05,0,F291-F290)</f>
        <v>-1.05248800000001</v>
      </c>
      <c r="T291" s="178" t="n">
        <f aca="false">IF((ABS(G291/G290-1))&lt;0.0005,0,(G291/G290-1))</f>
        <v>-0.00666551329218956</v>
      </c>
      <c r="U291" s="163" t="n">
        <f aca="false">IF(ABS(F291-F279)&lt;0.05,0,F291-F279)</f>
        <v>4.11088577217296</v>
      </c>
      <c r="V291" s="164" t="n">
        <f aca="false">IF(ABS(F291/F279-1)&lt;0.0005,0,(F291/F279-1))</f>
        <v>0.0306861593900416</v>
      </c>
      <c r="W291" s="57" t="n">
        <f aca="false">(F291/1.2)-57.95</f>
        <v>57.11363</v>
      </c>
      <c r="X291" s="163" t="n">
        <f aca="false">IF(ABS(W291-W290)&lt;0.05,0,W291-W290)</f>
        <v>-0.877073333333343</v>
      </c>
      <c r="Y291" s="184" t="n">
        <f aca="false">IF(ABS(W291/W290-1)&lt;0.0005,0,(W291/W290-1))</f>
        <v>-0.0151243782695976</v>
      </c>
      <c r="Z291" s="163" t="n">
        <f aca="false">IF(ABS(W291-W279)&lt;0.05,0,W291-W279)</f>
        <v>3.42573814347747</v>
      </c>
      <c r="AA291" s="155" t="n">
        <f aca="false">IF(ABS(W291/W279-1)&lt;0.0005,0,(W291/W279-1))</f>
        <v>0.0638083937553842</v>
      </c>
      <c r="AB291" s="185"/>
      <c r="AC291" s="57" t="n">
        <f aca="false">IF(ABS(G291-G290)&lt;0.05,0,G291-G290)</f>
        <v>-0.959687594173772</v>
      </c>
      <c r="AD291" s="164" t="n">
        <f aca="false">IF(ABS(G291/G290-1)&lt;0.0005,0,(G291/G290-1))</f>
        <v>-0.00666551329218956</v>
      </c>
      <c r="AE291" s="163" t="n">
        <f aca="false">IF(ABS(G291-G279)&lt;0.05,0,G291-G279)</f>
        <v>3.65150178689416</v>
      </c>
      <c r="AF291" s="164" t="n">
        <f aca="false">IF(ABS(G291/G279-1)&lt;0.0005,0,(G291/G279-1))</f>
        <v>0.026200646390355</v>
      </c>
      <c r="AG291" s="57" t="n">
        <f aca="false">(G291/1.2)-57.95</f>
        <v>61.2319671856689</v>
      </c>
      <c r="AH291" s="163" t="n">
        <f aca="false">IF(ABS(AG291-AG290)&lt;0.05,0,AG291-AG290)</f>
        <v>-0.799739661811472</v>
      </c>
      <c r="AI291" s="164" t="n">
        <f aca="false">IF(ABS(AG291/AG290-1)&lt;0.0005,0,(AG291/AG290-1))</f>
        <v>-0.0128924336029931</v>
      </c>
      <c r="AJ291" s="163" t="n">
        <f aca="false">IF(ABS(AG291-AG279)&lt;0.05,0,AG291-AG279)</f>
        <v>3.04291815574514</v>
      </c>
      <c r="AK291" s="155" t="n">
        <f aca="false">IF(ABS(AG291/AG279-1)&lt;0.0005,0,(AG291/AG279-1))</f>
        <v>0.0522936567356569</v>
      </c>
      <c r="AL291" s="185"/>
      <c r="AM291" s="156" t="n">
        <f aca="false">IF(E291="..","",A291)</f>
        <v>41183</v>
      </c>
      <c r="AN291" s="57" t="n">
        <f aca="false">IF(ABS(E291-E290)&lt;0.05,0,E291-E290)</f>
        <v>-0.8704022509379</v>
      </c>
      <c r="AO291" s="164" t="n">
        <f aca="false">IF(ABS(E291/E290-1)&lt;0.0005,0,(E291/E290-1))</f>
        <v>-0.00594337169442039</v>
      </c>
      <c r="AP291" s="163" t="n">
        <f aca="false">IF(ABS(E291-E279)&lt;0.05,0,E291-E279)</f>
        <v>4.03646686626868</v>
      </c>
      <c r="AQ291" s="164" t="n">
        <f aca="false">IF(ABS(E291/E279-1)&lt;0.0005,0,(E291/E279-1))</f>
        <v>0.0285177288005833</v>
      </c>
      <c r="AR291" s="57" t="n">
        <f aca="false">(E291/1.2)-57.95</f>
        <v>63.3656957760178</v>
      </c>
      <c r="AS291" s="163" t="n">
        <f aca="false">IF(ABS(AR291-AR290)&lt;0.05,0,AR291-AR290)</f>
        <v>-0.725335209114917</v>
      </c>
      <c r="AT291" s="164" t="n">
        <f aca="false">IF(ABS(AR291/AR290-1)&lt;0.0005,0,(AR291/AR290-1))</f>
        <v>-0.0113172654264709</v>
      </c>
      <c r="AU291" s="163" t="n">
        <f aca="false">IF(ABS(AR291-AR279)&lt;0.05,0,AR291-AR279)</f>
        <v>3.36372238855724</v>
      </c>
      <c r="AV291" s="155" t="n">
        <f aca="false">IF(ABS(AR291/AR279-1)&lt;0.0005,0,(AR291/AR279-1))</f>
        <v>0.0560601960011569</v>
      </c>
      <c r="AW291" s="185"/>
      <c r="AX291" s="163" t="n">
        <f aca="false">IF(ABS(H291-H290)&lt;0.05,0,H291-H290)</f>
        <v>-0.20682714177407</v>
      </c>
      <c r="AY291" s="164" t="n">
        <f aca="false">IF(ABS(H291/H290-1)&lt;0.0005,0,(H291/H290-1))</f>
        <v>-0.00341028981713065</v>
      </c>
      <c r="AZ291" s="163" t="n">
        <f aca="false">IF(ABS(H291-H279)&lt;0.05,0,H291-H279)</f>
        <v>3.00321449483599</v>
      </c>
      <c r="BA291" s="164" t="n">
        <f aca="false">IF(ABS(H291/H279-1)&lt;0.0005,0,(H291/H279-1))</f>
        <v>0.052286264073889</v>
      </c>
      <c r="BB291" s="57" t="n">
        <f aca="false">(H291/1.05)</f>
        <v>57.5629896386151</v>
      </c>
      <c r="BC291" s="163" t="n">
        <f aca="false">IF(ABS(BB291-BB290)&lt;0.05,0,BB291-BB290)</f>
        <v>-0.196978230261017</v>
      </c>
      <c r="BD291" s="164" t="n">
        <f aca="false">IF(ABS(BB291/BB290-1)&lt;0.0005,0,(BB291/BB290-1))</f>
        <v>-0.00341028981713054</v>
      </c>
      <c r="BE291" s="163" t="n">
        <f aca="false">IF(ABS(BB291-BB279)&lt;0.05,0,BB291-BB279)</f>
        <v>2.86020428079619</v>
      </c>
      <c r="BF291" s="155" t="n">
        <f aca="false">IF(ABS(BB291/BB279-1)&lt;0.0005,0,(BB291/BB279-1))</f>
        <v>0.052286264073889</v>
      </c>
      <c r="BG291" s="162"/>
      <c r="BH291" s="163" t="n">
        <f aca="false">IF(ABS(I291-I290)&lt;0.05,0,I291-I290)</f>
        <v>0.231872695206022</v>
      </c>
      <c r="BI291" s="164" t="n">
        <f aca="false">IF(ABS(I291/I290-1)&lt;0.0005,0,(I291/I290-1))</f>
        <v>0.00317827596654241</v>
      </c>
      <c r="BJ291" s="163" t="n">
        <f aca="false">IF(ABS(I291-I279)&lt;0.05,0,I291-I279)</f>
        <v>4.172120958929</v>
      </c>
      <c r="BK291" s="164" t="n">
        <f aca="false">IF(ABS(I291/I279-1)&lt;0.0005,0,(I291/I279-1))</f>
        <v>0.0604521635242394</v>
      </c>
      <c r="BL291" s="57" t="n">
        <f aca="false">(I291/1.05)-11.14</f>
        <v>58.5622545943181</v>
      </c>
      <c r="BM291" s="163" t="n">
        <f aca="false">IF(ABS(BL291-BL290)&lt;0.05,0,BL291-BL290)</f>
        <v>0.220831138291445</v>
      </c>
      <c r="BN291" s="164" t="n">
        <f aca="false">IF(ABS(BL291/BL290-1)&lt;0.0005,0,(BL291/BL290-1))</f>
        <v>0.003785151701996</v>
      </c>
      <c r="BO291" s="163" t="n">
        <f aca="false">IF(ABS(BL291-BL279)&lt;0.05,0,BL291-BL279)</f>
        <v>3.97344853231333</v>
      </c>
      <c r="BP291" s="155" t="n">
        <f aca="false">IF(ABS(BL291/BL279-1)&lt;0.0005,0,(BL291/BL279-1))</f>
        <v>0.072788705578211</v>
      </c>
      <c r="BQ291" s="162"/>
    </row>
    <row r="292" customFormat="false" ht="12.75" hidden="false" customHeight="true" outlineLevel="0" collapsed="false">
      <c r="A292" s="156" t="n">
        <v>41214</v>
      </c>
      <c r="B292" s="73" t="n">
        <v>2012</v>
      </c>
      <c r="C292" s="157" t="s">
        <v>69</v>
      </c>
      <c r="D292" s="159"/>
      <c r="E292" s="159" t="n">
        <v>142.275882659441</v>
      </c>
      <c r="F292" s="159" t="n">
        <v>134.54309</v>
      </c>
      <c r="G292" s="159" t="n">
        <v>141.099237569061</v>
      </c>
      <c r="H292" s="159" t="n">
        <v>57.7456539044731</v>
      </c>
      <c r="I292" s="159" t="n">
        <v>70.0097883597884</v>
      </c>
      <c r="J292" s="159"/>
      <c r="K292" s="159" t="n">
        <v>133.035945447916</v>
      </c>
      <c r="L292" s="159"/>
      <c r="M292" s="160" t="n">
        <f aca="false">G292-F292</f>
        <v>6.55614756906076</v>
      </c>
      <c r="N292" s="75"/>
      <c r="O292" s="77" t="n">
        <v>232.838759229592</v>
      </c>
      <c r="P292" s="76"/>
      <c r="Q292" s="183"/>
      <c r="R292" s="162"/>
      <c r="S292" s="57" t="n">
        <f aca="false">IF(ABS(F292-F291)&lt;0.05,0,F292-F291)</f>
        <v>-3.53326599999997</v>
      </c>
      <c r="T292" s="178" t="n">
        <f aca="false">IF((ABS(G292/G291-1))&lt;0.0005,0,(G292/G291-1))</f>
        <v>-0.013418718026026</v>
      </c>
      <c r="U292" s="163" t="n">
        <f aca="false">IF(ABS(F292-F280)&lt;0.05,0,F292-F280)</f>
        <v>1.36740086788413</v>
      </c>
      <c r="V292" s="164" t="n">
        <f aca="false">IF(ABS(F292/F280-1)&lt;0.0005,0,(F292/F280-1))</f>
        <v>0.0102676462708415</v>
      </c>
      <c r="W292" s="57" t="n">
        <f aca="false">(F292/1.2)-57.95</f>
        <v>54.1692416666667</v>
      </c>
      <c r="X292" s="163" t="n">
        <f aca="false">IF(ABS(W292-W291)&lt;0.05,0,W292-W291)</f>
        <v>-2.94438833333331</v>
      </c>
      <c r="Y292" s="184" t="n">
        <f aca="false">IF(ABS(W292/W291-1)&lt;0.0005,0,(W292/W291-1))</f>
        <v>-0.0515531639878836</v>
      </c>
      <c r="Z292" s="163" t="n">
        <f aca="false">IF(ABS(W292-W280)&lt;0.05,0,W292-W280)</f>
        <v>1.13950072323678</v>
      </c>
      <c r="AA292" s="155" t="n">
        <f aca="false">IF(ABS(W292/W280-1)&lt;0.0005,0,(W292/W280-1))</f>
        <v>0.0214879556823095</v>
      </c>
      <c r="AB292" s="185"/>
      <c r="AC292" s="57" t="n">
        <f aca="false">IF(ABS(G292-G291)&lt;0.05,0,G292-G291)</f>
        <v>-1.91912305374188</v>
      </c>
      <c r="AD292" s="164" t="n">
        <f aca="false">IF(ABS(G292/G291-1)&lt;0.0005,0,(G292/G291-1))</f>
        <v>-0.013418718026026</v>
      </c>
      <c r="AE292" s="163" t="n">
        <f aca="false">IF(ABS(G292-G280)&lt;0.05,0,G292-G280)</f>
        <v>0.845065225925168</v>
      </c>
      <c r="AF292" s="164" t="n">
        <f aca="false">IF(ABS(G292/G280-1)&lt;0.0005,0,(G292/G280-1))</f>
        <v>0.00602524125883175</v>
      </c>
      <c r="AG292" s="57" t="n">
        <f aca="false">(G292/1.2)-57.95</f>
        <v>59.6326979742173</v>
      </c>
      <c r="AH292" s="163" t="n">
        <f aca="false">IF(ABS(AG292-AG291)&lt;0.05,0,AG292-AG291)</f>
        <v>-1.59926921145157</v>
      </c>
      <c r="AI292" s="164" t="n">
        <f aca="false">IF(ABS(AG292/AG291-1)&lt;0.0005,0,(AG292/AG291-1))</f>
        <v>-0.0261182072854566</v>
      </c>
      <c r="AJ292" s="163" t="n">
        <f aca="false">IF(ABS(AG292-AG280)&lt;0.05,0,AG292-AG280)</f>
        <v>0.704221021604312</v>
      </c>
      <c r="AK292" s="155" t="n">
        <f aca="false">IF(ABS(AG292/AG280-1)&lt;0.0005,0,(AG292/AG280-1))</f>
        <v>0.0119504364955947</v>
      </c>
      <c r="AL292" s="185"/>
      <c r="AM292" s="156" t="n">
        <f aca="false">IF(E292="..","",A292)</f>
        <v>41214</v>
      </c>
      <c r="AN292" s="57" t="n">
        <f aca="false">IF(ABS(E292-E291)&lt;0.05,0,E292-E291)</f>
        <v>-3.30295227177987</v>
      </c>
      <c r="AO292" s="164" t="n">
        <f aca="false">IF(ABS(E292/E291-1)&lt;0.0005,0,(E292/E291-1))</f>
        <v>-0.0226884098457056</v>
      </c>
      <c r="AP292" s="163" t="n">
        <f aca="false">IF(ABS(E292-E280)&lt;0.05,0,E292-E280)</f>
        <v>1.59036168515189</v>
      </c>
      <c r="AQ292" s="164" t="n">
        <f aca="false">IF(ABS(E292/E280-1)&lt;0.0005,0,(E292/E280-1))</f>
        <v>0.0113043735711973</v>
      </c>
      <c r="AR292" s="57" t="n">
        <f aca="false">(E292/1.2)-57.95</f>
        <v>60.6132355495345</v>
      </c>
      <c r="AS292" s="163" t="n">
        <f aca="false">IF(ABS(AR292-AR291)&lt;0.05,0,AR292-AR291)</f>
        <v>-2.75246022648322</v>
      </c>
      <c r="AT292" s="164" t="n">
        <f aca="false">IF(ABS(AR292/AR291-1)&lt;0.0005,0,(AR292/AR291-1))</f>
        <v>-0.0434377022578983</v>
      </c>
      <c r="AU292" s="163" t="n">
        <f aca="false">IF(ABS(AR292-AR280)&lt;0.05,0,AR292-AR280)</f>
        <v>1.32530140429324</v>
      </c>
      <c r="AV292" s="155" t="n">
        <f aca="false">IF(ABS(AR292/AR280-1)&lt;0.0005,0,(AR292/AR280-1))</f>
        <v>0.0223536445214396</v>
      </c>
      <c r="AW292" s="185"/>
      <c r="AX292" s="163" t="n">
        <f aca="false">IF(ABS(H292-H291)&lt;0.05,0,H292-H291)</f>
        <v>-2.69548521607278</v>
      </c>
      <c r="AY292" s="164" t="n">
        <f aca="false">IF(ABS(H292/H291-1)&lt;0.0005,0,(H292/H291-1))</f>
        <v>-0.0445968632506547</v>
      </c>
      <c r="AZ292" s="163" t="n">
        <f aca="false">IF(ABS(H292-H280)&lt;0.05,0,H292-H280)</f>
        <v>-0.155900044933219</v>
      </c>
      <c r="BA292" s="164" t="n">
        <f aca="false">IF(ABS(H292/H280-1)&lt;0.0005,0,(H292/H280-1))</f>
        <v>-0.00269250191574211</v>
      </c>
      <c r="BB292" s="57" t="n">
        <f aca="false">(H292/1.05)</f>
        <v>54.9958608614029</v>
      </c>
      <c r="BC292" s="163" t="n">
        <f aca="false">IF(ABS(BB292-BB291)&lt;0.05,0,BB292-BB291)</f>
        <v>-2.56712877721218</v>
      </c>
      <c r="BD292" s="164" t="n">
        <f aca="false">IF(ABS(BB292/BB291-1)&lt;0.0005,0,(BB292/BB291-1))</f>
        <v>-0.0445968632506548</v>
      </c>
      <c r="BE292" s="163" t="n">
        <f aca="false">IF(ABS(BB292-BB280)&lt;0.05,0,BB292-BB280)</f>
        <v>-0.148476233269733</v>
      </c>
      <c r="BF292" s="155" t="n">
        <f aca="false">IF(ABS(BB292/BB280-1)&lt;0.0005,0,(BB292/BB280-1))</f>
        <v>-0.00269250191574211</v>
      </c>
      <c r="BG292" s="162"/>
      <c r="BH292" s="163" t="n">
        <f aca="false">IF(ABS(I292-I291)&lt;0.05,0,I292-I291)</f>
        <v>-3.17757896424563</v>
      </c>
      <c r="BI292" s="164" t="n">
        <f aca="false">IF(ABS(I292/I291-1)&lt;0.0005,0,(I292/I291-1))</f>
        <v>-0.0434170414981185</v>
      </c>
      <c r="BJ292" s="163" t="n">
        <f aca="false">IF(ABS(I292-I280)&lt;0.05,0,I292-I280)</f>
        <v>-0.582521817917609</v>
      </c>
      <c r="BK292" s="164" t="n">
        <f aca="false">IF(ABS(I292/I280-1)&lt;0.0005,0,(I292/I280-1))</f>
        <v>-0.00825191605787079</v>
      </c>
      <c r="BL292" s="57" t="n">
        <f aca="false">(I292/1.05)-11.14</f>
        <v>55.5359889140842</v>
      </c>
      <c r="BM292" s="163" t="n">
        <f aca="false">IF(ABS(BL292-BL291)&lt;0.05,0,BL292-BL291)</f>
        <v>-3.02626568023393</v>
      </c>
      <c r="BN292" s="164" t="n">
        <f aca="false">IF(ABS(BL292/BL291-1)&lt;0.0005,0,(BL292/BL291-1))</f>
        <v>-0.0516760445989993</v>
      </c>
      <c r="BO292" s="163" t="n">
        <f aca="false">IF(ABS(BL292-BL280)&lt;0.05,0,BL292-BL280)</f>
        <v>-0.554782683731062</v>
      </c>
      <c r="BP292" s="155" t="n">
        <f aca="false">IF(ABS(BL292/BL280-1)&lt;0.0005,0,(BL292/BL280-1))</f>
        <v>-0.0098908014264627</v>
      </c>
      <c r="BQ292" s="162"/>
    </row>
    <row r="293" customFormat="false" ht="12.75" hidden="false" customHeight="true" outlineLevel="0" collapsed="false">
      <c r="A293" s="156" t="n">
        <v>41244</v>
      </c>
      <c r="B293" s="73" t="n">
        <v>2012</v>
      </c>
      <c r="C293" s="157" t="s">
        <v>70</v>
      </c>
      <c r="D293" s="159"/>
      <c r="E293" s="159" t="n">
        <v>139.403819299708</v>
      </c>
      <c r="F293" s="159" t="n">
        <v>131.552276</v>
      </c>
      <c r="G293" s="159" t="n">
        <v>139.661238573581</v>
      </c>
      <c r="H293" s="159" t="n">
        <v>57.1769977255496</v>
      </c>
      <c r="I293" s="159" t="n">
        <v>68.738505691839</v>
      </c>
      <c r="J293" s="159"/>
      <c r="K293" s="159" t="n">
        <v>131.963687449764</v>
      </c>
      <c r="L293" s="159"/>
      <c r="M293" s="160" t="n">
        <f aca="false">G293-F293</f>
        <v>8.10896257358112</v>
      </c>
      <c r="N293" s="75"/>
      <c r="O293" s="77" t="n">
        <v>230.877111121658</v>
      </c>
      <c r="P293" s="76"/>
      <c r="Q293" s="183"/>
      <c r="R293" s="162"/>
      <c r="S293" s="57" t="n">
        <f aca="false">IF(ABS(F293-F292)&lt;0.05,0,F293-F292)</f>
        <v>-2.990814</v>
      </c>
      <c r="T293" s="178" t="n">
        <f aca="false">IF((ABS(G293/G292-1))&lt;0.0005,0,(G293/G292-1))</f>
        <v>-0.0101914015997131</v>
      </c>
      <c r="U293" s="163" t="n">
        <f aca="false">IF(ABS(F293-F281)&lt;0.05,0,F293-F281)</f>
        <v>-0.533069309618696</v>
      </c>
      <c r="V293" s="164" t="n">
        <f aca="false">IF(ABS(F293/F281-1)&lt;0.0005,0,(F293/F281-1))</f>
        <v>-0.00403579449612024</v>
      </c>
      <c r="W293" s="57" t="n">
        <f aca="false">(F293/1.2)-57.95</f>
        <v>51.6768966666667</v>
      </c>
      <c r="X293" s="163" t="n">
        <f aca="false">IF(ABS(W293-W292)&lt;0.05,0,W293-W292)</f>
        <v>-2.492345</v>
      </c>
      <c r="Y293" s="184" t="n">
        <f aca="false">IF(ABS(W293/W292-1)&lt;0.0005,0,(W293/W292-1))</f>
        <v>-0.0460103358163435</v>
      </c>
      <c r="Z293" s="163" t="n">
        <f aca="false">IF(ABS(W293-W281)&lt;0.05,0,W293-W281)</f>
        <v>-0.444224424682247</v>
      </c>
      <c r="AA293" s="155" t="n">
        <f aca="false">IF(ABS(W293/W281-1)&lt;0.0005,0,(W293/W281-1))</f>
        <v>-0.008522925358871</v>
      </c>
      <c r="AB293" s="185"/>
      <c r="AC293" s="57" t="n">
        <f aca="false">IF(ABS(G293-G292)&lt;0.05,0,G293-G292)</f>
        <v>-1.43799899547963</v>
      </c>
      <c r="AD293" s="164" t="n">
        <f aca="false">IF(ABS(G293/G292-1)&lt;0.0005,0,(G293/G292-1))</f>
        <v>-0.0101914015997131</v>
      </c>
      <c r="AE293" s="163" t="n">
        <f aca="false">IF(ABS(G293-G281)&lt;0.05,0,G293-G281)</f>
        <v>-0.964767407478803</v>
      </c>
      <c r="AF293" s="164" t="n">
        <f aca="false">IF(ABS(G293/G281-1)&lt;0.0005,0,(G293/G281-1))</f>
        <v>-0.00686051915325492</v>
      </c>
      <c r="AG293" s="57" t="n">
        <f aca="false">(G293/1.2)-57.95</f>
        <v>58.4343654779843</v>
      </c>
      <c r="AH293" s="163" t="n">
        <f aca="false">IF(ABS(AG293-AG292)&lt;0.05,0,AG293-AG292)</f>
        <v>-1.19833249623304</v>
      </c>
      <c r="AI293" s="164" t="n">
        <f aca="false">IF(ABS(AG293/AG292-1)&lt;0.0005,0,(AG293/AG292-1))</f>
        <v>-0.0200952252194114</v>
      </c>
      <c r="AJ293" s="163" t="n">
        <f aca="false">IF(ABS(AG293-AG281)&lt;0.05,0,AG293-AG281)</f>
        <v>-0.803972839565674</v>
      </c>
      <c r="AK293" s="155" t="n">
        <f aca="false">IF(ABS(AG293/AG281-1)&lt;0.0005,0,(AG293/AG281-1))</f>
        <v>-0.0135718330797184</v>
      </c>
      <c r="AL293" s="185"/>
      <c r="AM293" s="156" t="n">
        <f aca="false">IF(E293="..","",A293)</f>
        <v>41244</v>
      </c>
      <c r="AN293" s="57" t="n">
        <f aca="false">IF(ABS(E293-E292)&lt;0.05,0,E293-E292)</f>
        <v>-2.87206335973323</v>
      </c>
      <c r="AO293" s="164" t="n">
        <f aca="false">IF(ABS(E293/E292-1)&lt;0.0005,0,(E293/E292-1))</f>
        <v>-0.0201865791028543</v>
      </c>
      <c r="AP293" s="163" t="n">
        <f aca="false">IF(ABS(E293-E281)&lt;0.05,0,E293-E281)</f>
        <v>-0.337723325460956</v>
      </c>
      <c r="AQ293" s="164" t="n">
        <f aca="false">IF(ABS(E293/E281-1)&lt;0.0005,0,(E293/E281-1))</f>
        <v>-0.00241677112701433</v>
      </c>
      <c r="AR293" s="57" t="n">
        <f aca="false">(E293/1.2)-57.95</f>
        <v>58.2198494164235</v>
      </c>
      <c r="AS293" s="163" t="n">
        <f aca="false">IF(ABS(AR293-AR292)&lt;0.05,0,AR293-AR292)</f>
        <v>-2.39338613311104</v>
      </c>
      <c r="AT293" s="164" t="n">
        <f aca="false">IF(ABS(AR293/AR292-1)&lt;0.0005,0,(AR293/AR292-1))</f>
        <v>-0.0394861965610647</v>
      </c>
      <c r="AU293" s="163" t="n">
        <f aca="false">IF(ABS(AR293-AR281)&lt;0.05,0,AR293-AR281)</f>
        <v>-0.281436104550807</v>
      </c>
      <c r="AV293" s="155" t="n">
        <f aca="false">IF(ABS(AR293/AR281-1)&lt;0.0005,0,(AR293/AR281-1))</f>
        <v>-0.00481076786680024</v>
      </c>
      <c r="AW293" s="185"/>
      <c r="AX293" s="163" t="n">
        <f aca="false">IF(ABS(H293-H292)&lt;0.05,0,H293-H292)</f>
        <v>-0.56865617892344</v>
      </c>
      <c r="AY293" s="164" t="n">
        <f aca="false">IF(ABS(H293/H292-1)&lt;0.0005,0,(H293/H292-1))</f>
        <v>-0.00984760134267682</v>
      </c>
      <c r="AZ293" s="163" t="n">
        <f aca="false">IF(ABS(H293-H281)&lt;0.05,0,H293-H281)</f>
        <v>-3.41031254806936</v>
      </c>
      <c r="BA293" s="164" t="n">
        <f aca="false">IF(ABS(H293/H281-1)&lt;0.0005,0,(H293/H281-1))</f>
        <v>-0.0562875713192749</v>
      </c>
      <c r="BB293" s="57" t="n">
        <f aca="false">(H293/1.05)</f>
        <v>54.4542835481425</v>
      </c>
      <c r="BC293" s="163" t="n">
        <f aca="false">IF(ABS(BB293-BB292)&lt;0.05,0,BB293-BB292)</f>
        <v>-0.541577313260419</v>
      </c>
      <c r="BD293" s="164" t="n">
        <f aca="false">IF(ABS(BB293/BB292-1)&lt;0.0005,0,(BB293/BB292-1))</f>
        <v>-0.00984760134267682</v>
      </c>
      <c r="BE293" s="163" t="n">
        <f aca="false">IF(ABS(BB293-BB281)&lt;0.05,0,BB293-BB281)</f>
        <v>-3.24791671244702</v>
      </c>
      <c r="BF293" s="155" t="n">
        <f aca="false">IF(ABS(BB293/BB281-1)&lt;0.0005,0,(BB293/BB281-1))</f>
        <v>-0.0562875713192749</v>
      </c>
      <c r="BG293" s="162"/>
      <c r="BH293" s="163" t="n">
        <f aca="false">IF(ABS(I293-I292)&lt;0.05,0,I293-I292)</f>
        <v>-1.27128266794935</v>
      </c>
      <c r="BI293" s="164" t="n">
        <f aca="false">IF(ABS(I293/I292-1)&lt;0.0005,0,(I293/I292-1))</f>
        <v>-0.0181586417804334</v>
      </c>
      <c r="BJ293" s="163" t="n">
        <f aca="false">IF(ABS(I293-I281)&lt;0.05,0,I293-I281)</f>
        <v>-2.54960416276516</v>
      </c>
      <c r="BK293" s="164" t="n">
        <f aca="false">IF(ABS(I293/I281-1)&lt;0.0005,0,(I293/I281-1))</f>
        <v>-0.0357647883772654</v>
      </c>
      <c r="BL293" s="57" t="n">
        <f aca="false">(I293/1.05)-11.14</f>
        <v>54.3252435160372</v>
      </c>
      <c r="BM293" s="163" t="n">
        <f aca="false">IF(ABS(BL293-BL292)&lt;0.05,0,BL293-BL292)</f>
        <v>-1.210745398047</v>
      </c>
      <c r="BN293" s="164" t="n">
        <f aca="false">IF(ABS(BL293/BL292-1)&lt;0.0005,0,(BL293/BL292-1))</f>
        <v>-0.0218010955007942</v>
      </c>
      <c r="BO293" s="163" t="n">
        <f aca="false">IF(ABS(BL293-BL281)&lt;0.05,0,BL293-BL281)</f>
        <v>-2.42819444072873</v>
      </c>
      <c r="BP293" s="155" t="n">
        <f aca="false">IF(ABS(BL293/BL281-1)&lt;0.0005,0,(BL293/BL281-1))</f>
        <v>-0.0427849752922194</v>
      </c>
      <c r="BQ293" s="162"/>
    </row>
    <row r="294" customFormat="false" ht="12.75" hidden="false" customHeight="true" outlineLevel="0" collapsed="false">
      <c r="A294" s="156" t="n">
        <v>41275</v>
      </c>
      <c r="B294" s="73" t="n">
        <v>2013</v>
      </c>
      <c r="C294" s="157" t="s">
        <v>59</v>
      </c>
      <c r="D294" s="159"/>
      <c r="E294" s="159" t="n">
        <v>139.351546477699</v>
      </c>
      <c r="F294" s="159" t="n">
        <v>131.709578</v>
      </c>
      <c r="G294" s="159" t="n">
        <v>139.45832245103</v>
      </c>
      <c r="H294" s="159" t="n">
        <v>57.8524905231236</v>
      </c>
      <c r="I294" s="159" t="n">
        <v>68.9862177328844</v>
      </c>
      <c r="J294" s="159"/>
      <c r="K294" s="159" t="n">
        <v>136.699590209826</v>
      </c>
      <c r="L294" s="159"/>
      <c r="M294" s="160" t="n">
        <f aca="false">G294-F294</f>
        <v>7.74874445102967</v>
      </c>
      <c r="N294" s="75"/>
      <c r="O294" s="77" t="n">
        <v>239.132056790886</v>
      </c>
      <c r="P294" s="76"/>
      <c r="Q294" s="183"/>
      <c r="R294" s="162"/>
      <c r="S294" s="57" t="n">
        <f aca="false">IF(ABS(F294-F293)&lt;0.05,0,F294-F293)</f>
        <v>0.157301999999987</v>
      </c>
      <c r="T294" s="178" t="n">
        <f aca="false">IF((ABS(G294/G293-1))&lt;0.0005,0,(G294/G293-1))</f>
        <v>-0.00145291653306201</v>
      </c>
      <c r="U294" s="163" t="n">
        <f aca="false">IF(ABS(F294-F282)&lt;0.05,0,F294-F282)</f>
        <v>-1.17776124216289</v>
      </c>
      <c r="V294" s="164" t="n">
        <f aca="false">IF(ABS(F294/F282-1)&lt;0.0005,0,(F294/F282-1))</f>
        <v>-0.00886285517401042</v>
      </c>
      <c r="W294" s="57" t="n">
        <f aca="false">(F294/1.2)-57.95</f>
        <v>51.8079816666667</v>
      </c>
      <c r="X294" s="163" t="n">
        <f aca="false">IF(ABS(W294-W293)&lt;0.05,0,W294-W293)</f>
        <v>0.131084999999985</v>
      </c>
      <c r="Y294" s="184" t="n">
        <f aca="false">IF(ABS(W294/W293-1)&lt;0.0005,0,(W294/W293-1))</f>
        <v>0.0025366267801552</v>
      </c>
      <c r="Z294" s="163" t="n">
        <f aca="false">IF(ABS(W294-W282)&lt;0.05,0,W294-W282)</f>
        <v>-0.981467701802401</v>
      </c>
      <c r="AA294" s="155" t="n">
        <f aca="false">IF(ABS(W294/W282-1)&lt;0.0005,0,(W294/W282-1))</f>
        <v>-0.0185921185680832</v>
      </c>
      <c r="AB294" s="185"/>
      <c r="AC294" s="57" t="n">
        <f aca="false">IF(ABS(G294-G293)&lt;0.05,0,G294-G293)</f>
        <v>-0.202916122551471</v>
      </c>
      <c r="AD294" s="164" t="n">
        <f aca="false">IF(ABS(G294/G293-1)&lt;0.0005,0,(G294/G293-1))</f>
        <v>-0.00145291653306201</v>
      </c>
      <c r="AE294" s="163" t="n">
        <f aca="false">IF(ABS(G294-G282)&lt;0.05,0,G294-G282)</f>
        <v>-1.88617885040469</v>
      </c>
      <c r="AF294" s="164" t="n">
        <f aca="false">IF(ABS(G294/G282-1)&lt;0.0005,0,(G294/G282-1))</f>
        <v>-0.0133445506053481</v>
      </c>
      <c r="AG294" s="57" t="n">
        <f aca="false">(G294/1.2)-57.95</f>
        <v>58.2652687091914</v>
      </c>
      <c r="AH294" s="163" t="n">
        <f aca="false">IF(ABS(AG294-AG293)&lt;0.05,0,AG294-AG293)</f>
        <v>-0.169096768792883</v>
      </c>
      <c r="AI294" s="164" t="n">
        <f aca="false">IF(ABS(AG294/AG293-1)&lt;0.0005,0,(AG294/AG293-1))</f>
        <v>-0.00289378976582866</v>
      </c>
      <c r="AJ294" s="163" t="n">
        <f aca="false">IF(ABS(AG294-AG282)&lt;0.05,0,AG294-AG282)</f>
        <v>-1.57181570867057</v>
      </c>
      <c r="AK294" s="155" t="n">
        <f aca="false">IF(ABS(AG294/AG282-1)&lt;0.0005,0,(AG294/AG282-1))</f>
        <v>-0.0262682536083153</v>
      </c>
      <c r="AL294" s="185"/>
      <c r="AM294" s="156" t="n">
        <f aca="false">IF(E294="..","",A294)</f>
        <v>41275</v>
      </c>
      <c r="AN294" s="57" t="n">
        <f aca="false">IF(ABS(E294-E293)&lt;0.05,0,E294-E293)</f>
        <v>-0.0522728220091437</v>
      </c>
      <c r="AO294" s="164" t="n">
        <f aca="false">IF(ABS(E294/E293-1)&lt;0.0005,0,(E294/E293-1))</f>
        <v>0</v>
      </c>
      <c r="AP294" s="163" t="n">
        <f aca="false">IF(ABS(E294-E282)&lt;0.05,0,E294-E282)</f>
        <v>-1.04378505139431</v>
      </c>
      <c r="AQ294" s="164" t="n">
        <f aca="false">IF(ABS(E294/E282-1)&lt;0.0005,0,(E294/E282-1))</f>
        <v>-0.00743461367287712</v>
      </c>
      <c r="AR294" s="57" t="n">
        <f aca="false">(E294/1.2)-57.95</f>
        <v>58.1762887314159</v>
      </c>
      <c r="AS294" s="163" t="n">
        <f aca="false">IF(ABS(AR294-AR293)&lt;0.05,0,AR294-AR293)</f>
        <v>0</v>
      </c>
      <c r="AT294" s="164" t="n">
        <f aca="false">IF(ABS(AR294/AR293-1)&lt;0.0005,0,(AR294/AR293-1))</f>
        <v>-0.000748210197110688</v>
      </c>
      <c r="AU294" s="163" t="n">
        <f aca="false">IF(ABS(AR294-AR282)&lt;0.05,0,AR294-AR282)</f>
        <v>-0.869820876161924</v>
      </c>
      <c r="AV294" s="155" t="n">
        <f aca="false">IF(ABS(AR294/AR282-1)&lt;0.0005,0,(AR294/AR282-1))</f>
        <v>-0.0147312139943305</v>
      </c>
      <c r="AW294" s="185"/>
      <c r="AX294" s="163" t="n">
        <f aca="false">IF(ABS(H294-H293)&lt;0.05,0,H294-H293)</f>
        <v>0.675492797573938</v>
      </c>
      <c r="AY294" s="164" t="n">
        <f aca="false">IF(ABS(H294/H293-1)&lt;0.0005,0,(H294/H293-1))</f>
        <v>0.0118140655236274</v>
      </c>
      <c r="AZ294" s="163" t="n">
        <f aca="false">IF(ABS(H294-H282)&lt;0.05,0,H294-H282)</f>
        <v>-3.18487137672155</v>
      </c>
      <c r="BA294" s="164" t="n">
        <f aca="false">IF(ABS(H294/H282-1)&lt;0.0005,0,(H294/H282-1))</f>
        <v>-0.0521790470228306</v>
      </c>
      <c r="BB294" s="57" t="n">
        <f aca="false">(H294/1.05)</f>
        <v>55.0976100220225</v>
      </c>
      <c r="BC294" s="163" t="n">
        <f aca="false">IF(ABS(BB294-BB293)&lt;0.05,0,BB294-BB293)</f>
        <v>0.643326473879938</v>
      </c>
      <c r="BD294" s="164" t="n">
        <f aca="false">IF(ABS(BB294/BB293-1)&lt;0.0005,0,(BB294/BB293-1))</f>
        <v>0.0118140655236274</v>
      </c>
      <c r="BE294" s="163" t="n">
        <f aca="false">IF(ABS(BB294-BB282)&lt;0.05,0,BB294-BB282)</f>
        <v>-3.03321083497291</v>
      </c>
      <c r="BF294" s="155" t="n">
        <f aca="false">IF(ABS(BB294/BB282-1)&lt;0.0005,0,(BB294/BB282-1))</f>
        <v>-0.0521790470228306</v>
      </c>
      <c r="BG294" s="162"/>
      <c r="BH294" s="163" t="n">
        <f aca="false">IF(ABS(I294-I293)&lt;0.05,0,I294-I293)</f>
        <v>0.247712041045375</v>
      </c>
      <c r="BI294" s="164" t="n">
        <f aca="false">IF(ABS(I294/I293-1)&lt;0.0005,0,(I294/I293-1))</f>
        <v>0.00360368673354472</v>
      </c>
      <c r="BJ294" s="163" t="n">
        <f aca="false">IF(ABS(I294-I282)&lt;0.05,0,I294-I282)</f>
        <v>-1.75841473884419</v>
      </c>
      <c r="BK294" s="164" t="n">
        <f aca="false">IF(ABS(I294/I282-1)&lt;0.0005,0,(I294/I282-1))</f>
        <v>-0.0248558042837653</v>
      </c>
      <c r="BL294" s="57" t="n">
        <f aca="false">(I294/1.05)-11.14</f>
        <v>54.5611597456042</v>
      </c>
      <c r="BM294" s="163" t="n">
        <f aca="false">IF(ABS(BL294-BL293)&lt;0.05,0,BL294-BL293)</f>
        <v>0.235916229567025</v>
      </c>
      <c r="BN294" s="164" t="n">
        <f aca="false">IF(ABS(BL294/BL293-1)&lt;0.0005,0,(BL294/BL293-1))</f>
        <v>0.00434266308437947</v>
      </c>
      <c r="BO294" s="163" t="n">
        <f aca="false">IF(ABS(BL294-BL282)&lt;0.05,0,BL294-BL282)</f>
        <v>-1.67468070366114</v>
      </c>
      <c r="BP294" s="155" t="n">
        <f aca="false">IF(ABS(BL294/BL282-1)&lt;0.0005,0,(BL294/BL282-1))</f>
        <v>-0.0297795976779612</v>
      </c>
      <c r="BQ294" s="162"/>
    </row>
    <row r="295" customFormat="false" ht="12.75" hidden="false" customHeight="true" outlineLevel="0" collapsed="false">
      <c r="A295" s="156" t="n">
        <v>41306</v>
      </c>
      <c r="B295" s="73" t="n">
        <v>2013</v>
      </c>
      <c r="C295" s="157" t="s">
        <v>60</v>
      </c>
      <c r="D295" s="186"/>
      <c r="E295" s="159" t="n">
        <v>144.033173197165</v>
      </c>
      <c r="F295" s="159" t="n">
        <v>136.366511</v>
      </c>
      <c r="G295" s="159" t="n">
        <v>143.904015067805</v>
      </c>
      <c r="H295" s="159" t="n">
        <v>64.592706595906</v>
      </c>
      <c r="I295" s="159" t="n">
        <v>74.54443001443</v>
      </c>
      <c r="J295" s="159"/>
      <c r="K295" s="159" t="n">
        <v>144.769409007121</v>
      </c>
      <c r="L295" s="159"/>
      <c r="M295" s="160" t="n">
        <f aca="false">G295-F295</f>
        <v>7.53750406780512</v>
      </c>
      <c r="N295" s="75"/>
      <c r="O295" s="77" t="n">
        <v>253.234663855964</v>
      </c>
      <c r="P295" s="76"/>
      <c r="Q295" s="183"/>
      <c r="R295" s="162"/>
      <c r="S295" s="57" t="n">
        <f aca="false">IF(ABS(F295-F294)&lt;0.05,0,F295-F294)</f>
        <v>4.65693300000001</v>
      </c>
      <c r="T295" s="178" t="n">
        <f aca="false">IF((ABS(G295/G294-1))&lt;0.0005,0,(G295/G294-1))</f>
        <v>0.0318782883562689</v>
      </c>
      <c r="U295" s="163" t="n">
        <f aca="false">IF(ABS(F295-F283)&lt;0.05,0,F295-F283)</f>
        <v>1.80914558449823</v>
      </c>
      <c r="V295" s="164" t="n">
        <f aca="false">IF(ABS(F295/F283-1)&lt;0.0005,0,(F295/F283-1))</f>
        <v>0.0134451620608931</v>
      </c>
      <c r="W295" s="57" t="n">
        <f aca="false">(F295/1.2)-57.95</f>
        <v>55.6887591666667</v>
      </c>
      <c r="X295" s="163" t="n">
        <f aca="false">IF(ABS(W295-W294)&lt;0.05,0,W295-W294)</f>
        <v>3.88077750000001</v>
      </c>
      <c r="Y295" s="184" t="n">
        <f aca="false">IF(ABS(W295/W294-1)&lt;0.0005,0,(W295/W294-1))</f>
        <v>0.0749069424276936</v>
      </c>
      <c r="Z295" s="163" t="n">
        <f aca="false">IF(ABS(W295-W283)&lt;0.05,0,W295-W283)</f>
        <v>1.50762132041518</v>
      </c>
      <c r="AA295" s="155" t="n">
        <f aca="false">IF(ABS(W295/W283-1)&lt;0.0005,0,(W295/W283-1))</f>
        <v>0.0278255751049992</v>
      </c>
      <c r="AB295" s="185"/>
      <c r="AC295" s="57" t="n">
        <f aca="false">IF(ABS(G295-G294)&lt;0.05,0,G295-G294)</f>
        <v>4.44569261677546</v>
      </c>
      <c r="AD295" s="164" t="n">
        <f aca="false">IF(ABS(G295/G294-1)&lt;0.0005,0,(G295/G294-1))</f>
        <v>0.0318782883562689</v>
      </c>
      <c r="AE295" s="163" t="n">
        <f aca="false">IF(ABS(G295-G283)&lt;0.05,0,G295-G283)</f>
        <v>1.33926344793474</v>
      </c>
      <c r="AF295" s="164" t="n">
        <f aca="false">IF(ABS(G295/G283-1)&lt;0.0005,0,(G295/G283-1))</f>
        <v>0.00939407134454728</v>
      </c>
      <c r="AG295" s="57" t="n">
        <f aca="false">(G295/1.2)-57.95</f>
        <v>61.9700125565043</v>
      </c>
      <c r="AH295" s="163" t="n">
        <f aca="false">IF(ABS(AG295-AG294)&lt;0.05,0,AG295-AG294)</f>
        <v>3.70474384731288</v>
      </c>
      <c r="AI295" s="164" t="n">
        <f aca="false">IF(ABS(AG295/AG294-1)&lt;0.0005,0,(AG295/AG294-1))</f>
        <v>0.0635840858437242</v>
      </c>
      <c r="AJ295" s="163" t="n">
        <f aca="false">IF(ABS(AG295-AG283)&lt;0.05,0,AG295-AG283)</f>
        <v>1.11605287327896</v>
      </c>
      <c r="AK295" s="155" t="n">
        <f aca="false">IF(ABS(AG295/AG283-1)&lt;0.0005,0,(AG295/AG283-1))</f>
        <v>0.0183398562573178</v>
      </c>
      <c r="AL295" s="185"/>
      <c r="AM295" s="156" t="n">
        <f aca="false">IF(E295="..","",A295)</f>
        <v>41306</v>
      </c>
      <c r="AN295" s="57" t="n">
        <f aca="false">IF(ABS(E295-E294)&lt;0.05,0,E295-E294)</f>
        <v>4.68162671946641</v>
      </c>
      <c r="AO295" s="164" t="n">
        <f aca="false">IF(ABS(E295/E294-1)&lt;0.0005,0,(E295/E294-1))</f>
        <v>0.0335958002462184</v>
      </c>
      <c r="AP295" s="163" t="n">
        <f aca="false">IF(ABS(E295-E283)&lt;0.05,0,E295-E283)</f>
        <v>2.21807170866754</v>
      </c>
      <c r="AQ295" s="164" t="n">
        <f aca="false">IF(ABS(E295/E283-1)&lt;0.0005,0,(E295/E283-1))</f>
        <v>0.0156405889456521</v>
      </c>
      <c r="AR295" s="57" t="n">
        <f aca="false">(E295/1.2)-57.95</f>
        <v>62.0776443309712</v>
      </c>
      <c r="AS295" s="163" t="n">
        <f aca="false">IF(ABS(AR295-AR294)&lt;0.05,0,AR295-AR294)</f>
        <v>3.90135559955534</v>
      </c>
      <c r="AT295" s="164" t="n">
        <f aca="false">IF(ABS(AR295/AR294-1)&lt;0.0005,0,(AR295/AR294-1))</f>
        <v>0.0670609226650198</v>
      </c>
      <c r="AU295" s="163" t="n">
        <f aca="false">IF(ABS(AR295-AR283)&lt;0.05,0,AR295-AR283)</f>
        <v>1.84839309055629</v>
      </c>
      <c r="AV295" s="155" t="n">
        <f aca="false">IF(ABS(AR295/AR283-1)&lt;0.0005,0,(AR295/AR283-1))</f>
        <v>0.0306892922041837</v>
      </c>
      <c r="AW295" s="185"/>
      <c r="AX295" s="163" t="n">
        <f aca="false">IF(ABS(H295-H294)&lt;0.05,0,H295-H294)</f>
        <v>6.74021607278242</v>
      </c>
      <c r="AY295" s="164" t="n">
        <f aca="false">IF(ABS(H295/H294-1)&lt;0.0005,0,(H295/H294-1))</f>
        <v>0.116506930156937</v>
      </c>
      <c r="AZ295" s="163" t="n">
        <f aca="false">IF(ABS(H295-H283)&lt;0.05,0,H295-H283)</f>
        <v>3.07443091185849</v>
      </c>
      <c r="BA295" s="164" t="n">
        <f aca="false">IF(ABS(H295/H283-1)&lt;0.0005,0,(H295/H283-1))</f>
        <v>0.0499758954176235</v>
      </c>
      <c r="BB295" s="57" t="n">
        <f aca="false">(H295/1.05)</f>
        <v>61.5168634246724</v>
      </c>
      <c r="BC295" s="163" t="n">
        <f aca="false">IF(ABS(BB295-BB294)&lt;0.05,0,BB295-BB294)</f>
        <v>6.41925340264992</v>
      </c>
      <c r="BD295" s="164" t="n">
        <f aca="false">IF(ABS(BB295/BB294-1)&lt;0.0005,0,(BB295/BB294-1))</f>
        <v>0.116506930156937</v>
      </c>
      <c r="BE295" s="163" t="n">
        <f aca="false">IF(ABS(BB295-BB283)&lt;0.05,0,BB295-BB283)</f>
        <v>2.92802943986523</v>
      </c>
      <c r="BF295" s="155" t="n">
        <f aca="false">IF(ABS(BB295/BB283-1)&lt;0.0005,0,(BB295/BB283-1))</f>
        <v>0.0499758954176235</v>
      </c>
      <c r="BG295" s="162"/>
      <c r="BH295" s="163" t="n">
        <f aca="false">IF(ABS(I295-I294)&lt;0.05,0,I295-I294)</f>
        <v>5.55821228154562</v>
      </c>
      <c r="BI295" s="164" t="n">
        <f aca="false">IF(ABS(I295/I294-1)&lt;0.0005,0,(I295/I294-1))</f>
        <v>0.0805698944543836</v>
      </c>
      <c r="BJ295" s="163" t="n">
        <f aca="false">IF(ABS(I295-I283)&lt;0.05,0,I295-I283)</f>
        <v>3.20542355239448</v>
      </c>
      <c r="BK295" s="164" t="n">
        <f aca="false">IF(ABS(I295/I283-1)&lt;0.0005,0,(I295/I283-1))</f>
        <v>0.0449322707360706</v>
      </c>
      <c r="BL295" s="57" t="n">
        <f aca="false">(I295/1.05)-11.14</f>
        <v>59.8546952518381</v>
      </c>
      <c r="BM295" s="163" t="n">
        <f aca="false">IF(ABS(BL295-BL294)&lt;0.05,0,BL295-BL294)</f>
        <v>5.29353550623392</v>
      </c>
      <c r="BN295" s="164" t="n">
        <f aca="false">IF(ABS(BL295/BL294-1)&lt;0.0005,0,(BL295/BL294-1))</f>
        <v>0.0970202160459099</v>
      </c>
      <c r="BO295" s="163" t="n">
        <f aca="false">IF(ABS(BL295-BL283)&lt;0.05,0,BL295-BL283)</f>
        <v>3.05278433561379</v>
      </c>
      <c r="BP295" s="155" t="n">
        <f aca="false">IF(ABS(BL295/BL283-1)&lt;0.0005,0,(BL295/BL283-1))</f>
        <v>0.0537443949749554</v>
      </c>
      <c r="BQ295" s="162"/>
    </row>
    <row r="296" customFormat="false" ht="12.75" hidden="false" customHeight="true" outlineLevel="0" collapsed="false">
      <c r="A296" s="156" t="n">
        <v>41334</v>
      </c>
      <c r="B296" s="73" t="n">
        <v>2013</v>
      </c>
      <c r="C296" s="157" t="s">
        <v>61</v>
      </c>
      <c r="D296" s="159"/>
      <c r="E296" s="159" t="n">
        <v>144.987635473114</v>
      </c>
      <c r="F296" s="159" t="n">
        <v>137.249865</v>
      </c>
      <c r="G296" s="159" t="n">
        <v>144.609511803114</v>
      </c>
      <c r="H296" s="159" t="n">
        <v>62.7254700530705</v>
      </c>
      <c r="I296" s="159" t="n">
        <v>72.6733846400513</v>
      </c>
      <c r="J296" s="159"/>
      <c r="K296" s="159" t="n">
        <v>140.940555989277</v>
      </c>
      <c r="L296" s="182"/>
      <c r="M296" s="160" t="n">
        <f aca="false">G296-F296</f>
        <v>7.35964680311403</v>
      </c>
      <c r="N296" s="76"/>
      <c r="O296" s="77" t="n">
        <v>246.542249805586</v>
      </c>
      <c r="P296" s="76"/>
      <c r="Q296" s="183"/>
      <c r="R296" s="162"/>
      <c r="S296" s="57" t="n">
        <f aca="false">IF(ABS(F296-F295)&lt;0.05,0,F296-F295)</f>
        <v>0.883353999999997</v>
      </c>
      <c r="T296" s="178" t="n">
        <f aca="false">IF((ABS(G296/G295-1))&lt;0.0005,0,(G296/G295-1))</f>
        <v>0.00490255073825763</v>
      </c>
      <c r="U296" s="163" t="n">
        <f aca="false">IF(ABS(F296-F284)&lt;0.05,0,F296-F284)</f>
        <v>-0.422501902623281</v>
      </c>
      <c r="V296" s="164" t="n">
        <f aca="false">IF(ABS(F296/F284-1)&lt;0.0005,0,(F296/F284-1))</f>
        <v>-0.00306889401358312</v>
      </c>
      <c r="W296" s="57" t="n">
        <f aca="false">(F296/1.2)-57.95</f>
        <v>56.4248875</v>
      </c>
      <c r="X296" s="163" t="n">
        <f aca="false">IF(ABS(W296-W295)&lt;0.05,0,W296-W295)</f>
        <v>0.736128333333326</v>
      </c>
      <c r="Y296" s="184" t="n">
        <f aca="false">IF(ABS(W296/W295-1)&lt;0.0005,0,(W296/W295-1))</f>
        <v>0.0132186161866208</v>
      </c>
      <c r="Z296" s="163" t="n">
        <f aca="false">IF(ABS(W296-W284)&lt;0.05,0,W296-W284)</f>
        <v>-0.352084918852739</v>
      </c>
      <c r="AA296" s="155" t="n">
        <f aca="false">IF(ABS(W296/W284-1)&lt;0.0005,0,(W296/W284-1))</f>
        <v>-0.00620119220615278</v>
      </c>
      <c r="AB296" s="185"/>
      <c r="AC296" s="57" t="n">
        <f aca="false">IF(ABS(G296-G295)&lt;0.05,0,G296-G295)</f>
        <v>0.705496735308913</v>
      </c>
      <c r="AD296" s="164" t="n">
        <f aca="false">IF(ABS(G296/G295-1)&lt;0.0005,0,(G296/G295-1))</f>
        <v>0.00490255073825763</v>
      </c>
      <c r="AE296" s="163" t="n">
        <f aca="false">IF(ABS(G296-G284)&lt;0.05,0,G296-G284)</f>
        <v>-0.434249619049098</v>
      </c>
      <c r="AF296" s="164" t="n">
        <f aca="false">IF(ABS(G296/G284-1)&lt;0.0005,0,(G296/G284-1))</f>
        <v>-0.00299392138476862</v>
      </c>
      <c r="AG296" s="57" t="n">
        <f aca="false">(G296/1.2)-57.95</f>
        <v>62.557926502595</v>
      </c>
      <c r="AH296" s="163" t="n">
        <f aca="false">IF(ABS(AG296-AG295)&lt;0.05,0,AG296-AG295)</f>
        <v>0.587913946090751</v>
      </c>
      <c r="AI296" s="164" t="n">
        <f aca="false">IF(ABS(AG296/AG295-1)&lt;0.0005,0,(AG296/AG295-1))</f>
        <v>0.00948707159861706</v>
      </c>
      <c r="AJ296" s="163" t="n">
        <f aca="false">IF(ABS(AG296-AG284)&lt;0.05,0,AG296-AG284)</f>
        <v>-0.361874682540915</v>
      </c>
      <c r="AK296" s="155" t="n">
        <f aca="false">IF(ABS(AG296/AG284-1)&lt;0.0005,0,(AG296/AG284-1))</f>
        <v>-0.00575136404954824</v>
      </c>
      <c r="AL296" s="185"/>
      <c r="AM296" s="156" t="n">
        <f aca="false">IF(E296="..","",A296)</f>
        <v>41334</v>
      </c>
      <c r="AN296" s="57" t="n">
        <f aca="false">IF(ABS(E296-E295)&lt;0.05,0,E296-E295)</f>
        <v>0.954462275948316</v>
      </c>
      <c r="AO296" s="164" t="n">
        <f aca="false">IF(ABS(E296/E295-1)&lt;0.0005,0,(E296/E295-1))</f>
        <v>0.00662668366433716</v>
      </c>
      <c r="AP296" s="163" t="n">
        <f aca="false">IF(ABS(E296-E284)&lt;0.05,0,E296-E284)</f>
        <v>0.0885962308945807</v>
      </c>
      <c r="AQ296" s="164" t="n">
        <f aca="false">IF(ABS(E296/E284-1)&lt;0.0005,0,(E296/E284-1))</f>
        <v>0.000611434219011553</v>
      </c>
      <c r="AR296" s="57" t="n">
        <f aca="false">(E296/1.2)-57.95</f>
        <v>62.8730295609282</v>
      </c>
      <c r="AS296" s="163" t="n">
        <f aca="false">IF(ABS(AR296-AR295)&lt;0.05,0,AR296-AR295)</f>
        <v>0.795385229956935</v>
      </c>
      <c r="AT296" s="164" t="n">
        <f aca="false">IF(ABS(AR296/AR295-1)&lt;0.0005,0,(AR296/AR295-1))</f>
        <v>0.0128127482691882</v>
      </c>
      <c r="AU296" s="163" t="n">
        <f aca="false">IF(ABS(AR296-AR284)&lt;0.05,0,AR296-AR284)</f>
        <v>0.0738301924121601</v>
      </c>
      <c r="AV296" s="155" t="n">
        <f aca="false">IF(ABS(AR296/AR284-1)&lt;0.0005,0,(AR296/AR284-1))</f>
        <v>0.00117565499488159</v>
      </c>
      <c r="AW296" s="185"/>
      <c r="AX296" s="163" t="n">
        <f aca="false">IF(ABS(H296-H295)&lt;0.05,0,H296-H295)</f>
        <v>-1.86723654283549</v>
      </c>
      <c r="AY296" s="164" t="n">
        <f aca="false">IF(ABS(H296/H295-1)&lt;0.0005,0,(H296/H295-1))</f>
        <v>-0.0289078541717872</v>
      </c>
      <c r="AZ296" s="163" t="n">
        <f aca="false">IF(ABS(H296-H284)&lt;0.05,0,H296-H284)</f>
        <v>-0.549578160202323</v>
      </c>
      <c r="BA296" s="164" t="n">
        <f aca="false">IF(ABS(H296/H284-1)&lt;0.0005,0,(H296/H284-1))</f>
        <v>-0.00868554312831071</v>
      </c>
      <c r="BB296" s="57" t="n">
        <f aca="false">(H296/1.05)</f>
        <v>59.7385429076862</v>
      </c>
      <c r="BC296" s="163" t="n">
        <f aca="false">IF(ABS(BB296-BB295)&lt;0.05,0,BB296-BB295)</f>
        <v>-1.77832051698618</v>
      </c>
      <c r="BD296" s="164" t="n">
        <f aca="false">IF(ABS(BB296/BB295-1)&lt;0.0005,0,(BB296/BB295-1))</f>
        <v>-0.0289078541717872</v>
      </c>
      <c r="BE296" s="163" t="n">
        <f aca="false">IF(ABS(BB296-BB284)&lt;0.05,0,BB296-BB284)</f>
        <v>-0.523407771621258</v>
      </c>
      <c r="BF296" s="155" t="n">
        <f aca="false">IF(ABS(BB296/BB284-1)&lt;0.0005,0,(BB296/BB284-1))</f>
        <v>-0.00868554312831071</v>
      </c>
      <c r="BG296" s="162"/>
      <c r="BH296" s="163" t="n">
        <f aca="false">IF(ABS(I296-I295)&lt;0.05,0,I296-I295)</f>
        <v>-1.87104537437871</v>
      </c>
      <c r="BI296" s="164" t="n">
        <f aca="false">IF(ABS(I296/I295-1)&lt;0.0005,0,(I296/I295-1))</f>
        <v>-0.0250997341319335</v>
      </c>
      <c r="BJ296" s="163" t="n">
        <f aca="false">IF(ABS(I296-I284)&lt;0.05,0,I296-I284)</f>
        <v>-1.01163709907912</v>
      </c>
      <c r="BK296" s="164" t="n">
        <f aca="false">IF(ABS(I296/I284-1)&lt;0.0005,0,(I296/I284-1))</f>
        <v>-0.0137292094811433</v>
      </c>
      <c r="BL296" s="57" t="n">
        <f aca="false">(I296/1.05)-11.14</f>
        <v>58.0727472762393</v>
      </c>
      <c r="BM296" s="163" t="n">
        <f aca="false">IF(ABS(BL296-BL295)&lt;0.05,0,BL296-BL295)</f>
        <v>-1.78194797559877</v>
      </c>
      <c r="BN296" s="164" t="n">
        <f aca="false">IF(ABS(BL296/BL295-1)&lt;0.0005,0,(BL296/BL295-1))</f>
        <v>-0.0297712312810422</v>
      </c>
      <c r="BO296" s="163" t="n">
        <f aca="false">IF(ABS(BL296-BL284)&lt;0.05,0,BL296-BL284)</f>
        <v>-0.963463903884886</v>
      </c>
      <c r="BP296" s="155" t="n">
        <f aca="false">IF(ABS(BL296/BL284-1)&lt;0.0005,0,(BL296/BL284-1))</f>
        <v>-0.0163198803687669</v>
      </c>
      <c r="BQ296" s="162"/>
    </row>
    <row r="297" customFormat="false" ht="12.75" hidden="false" customHeight="true" outlineLevel="0" collapsed="false">
      <c r="A297" s="156" t="n">
        <v>41365</v>
      </c>
      <c r="B297" s="73" t="n">
        <v>2013</v>
      </c>
      <c r="C297" s="157" t="s">
        <v>62</v>
      </c>
      <c r="D297" s="159"/>
      <c r="E297" s="159" t="n">
        <v>144.238315964985</v>
      </c>
      <c r="F297" s="159" t="n">
        <v>136.806063</v>
      </c>
      <c r="G297" s="159" t="n">
        <v>141.27323656454</v>
      </c>
      <c r="H297" s="159" t="n">
        <v>57.7581159969674</v>
      </c>
      <c r="I297" s="159" t="n">
        <v>69.7945807279141</v>
      </c>
      <c r="J297" s="159"/>
      <c r="K297" s="159" t="n">
        <v>131.618784219304</v>
      </c>
      <c r="L297" s="159"/>
      <c r="M297" s="160" t="n">
        <f aca="false">G297-F297</f>
        <v>4.46717356454045</v>
      </c>
      <c r="N297" s="75"/>
      <c r="O297" s="77" t="n">
        <v>230.178097518662</v>
      </c>
      <c r="P297" s="76"/>
      <c r="Q297" s="183"/>
      <c r="R297" s="162"/>
      <c r="S297" s="57" t="n">
        <f aca="false">IF(ABS(F297-F296)&lt;0.05,0,F297-F296)</f>
        <v>-0.443801999999977</v>
      </c>
      <c r="T297" s="178" t="n">
        <f aca="false">IF((ABS(G297/G296-1))&lt;0.0005,0,(G297/G296-1))</f>
        <v>-0.0230709252591621</v>
      </c>
      <c r="U297" s="163" t="n">
        <f aca="false">IF(ABS(F297-F285)&lt;0.05,0,F297-F285)</f>
        <v>-4.93236124602936</v>
      </c>
      <c r="V297" s="164" t="n">
        <f aca="false">IF(ABS(F297/F285-1)&lt;0.0005,0,(F297/F285-1))</f>
        <v>-0.0347990410664349</v>
      </c>
      <c r="W297" s="57" t="n">
        <f aca="false">(F297/1.2)-57.95</f>
        <v>56.0550525</v>
      </c>
      <c r="X297" s="163" t="n">
        <f aca="false">IF(ABS(W297-W296)&lt;0.05,0,W297-W296)</f>
        <v>-0.369834999999981</v>
      </c>
      <c r="Y297" s="184" t="n">
        <f aca="false">IF(ABS(W297/W296-1)&lt;0.0005,0,(W297/W296-1))</f>
        <v>-0.0065544658817438</v>
      </c>
      <c r="Z297" s="163" t="n">
        <f aca="false">IF(ABS(W297-W285)&lt;0.05,0,W297-W285)</f>
        <v>-4.1103010383578</v>
      </c>
      <c r="AA297" s="155" t="n">
        <f aca="false">IF(ABS(W297/W285-1)&lt;0.0005,0,(W297/W285-1))</f>
        <v>-0.0683167437175836</v>
      </c>
      <c r="AB297" s="185"/>
      <c r="AC297" s="57" t="n">
        <f aca="false">IF(ABS(G297-G296)&lt;0.05,0,G297-G296)</f>
        <v>-3.33627523857356</v>
      </c>
      <c r="AD297" s="164" t="n">
        <f aca="false">IF(ABS(G297/G296-1)&lt;0.0005,0,(G297/G296-1))</f>
        <v>-0.0230709252591621</v>
      </c>
      <c r="AE297" s="163" t="n">
        <f aca="false">IF(ABS(G297-G285)&lt;0.05,0,G297-G285)</f>
        <v>-6.50964375887978</v>
      </c>
      <c r="AF297" s="164" t="n">
        <f aca="false">IF(ABS(G297/G285-1)&lt;0.0005,0,(G297/G285-1))</f>
        <v>-0.0440486999890213</v>
      </c>
      <c r="AG297" s="57" t="n">
        <f aca="false">(G297/1.2)-57.95</f>
        <v>59.7776971371171</v>
      </c>
      <c r="AH297" s="163" t="n">
        <f aca="false">IF(ABS(AG297-AG296)&lt;0.05,0,AG297-AG296)</f>
        <v>-2.78022936547796</v>
      </c>
      <c r="AI297" s="164" t="n">
        <f aca="false">IF(ABS(AG297/AG296-1)&lt;0.0005,0,(AG297/AG296-1))</f>
        <v>-0.0444424794891921</v>
      </c>
      <c r="AJ297" s="163" t="n">
        <f aca="false">IF(ABS(AG297-AG285)&lt;0.05,0,AG297-AG285)</f>
        <v>-5.42470313239981</v>
      </c>
      <c r="AK297" s="155" t="n">
        <f aca="false">IF(ABS(AG297/AG285-1)&lt;0.0005,0,(AG297/AG285-1))</f>
        <v>-0.0831979054448391</v>
      </c>
      <c r="AL297" s="185"/>
      <c r="AM297" s="156" t="n">
        <f aca="false">IF(E297="..","",A297)</f>
        <v>41365</v>
      </c>
      <c r="AN297" s="57" t="n">
        <f aca="false">IF(ABS(E297-E296)&lt;0.05,0,E297-E296)</f>
        <v>-0.749319508128394</v>
      </c>
      <c r="AO297" s="164" t="n">
        <f aca="false">IF(ABS(E297/E296-1)&lt;0.0005,0,(E297/E296-1))</f>
        <v>-0.00516816144827292</v>
      </c>
      <c r="AP297" s="163" t="n">
        <f aca="false">IF(ABS(E297-E285)&lt;0.05,0,E297-E285)</f>
        <v>-4.61145399441921</v>
      </c>
      <c r="AQ297" s="164" t="n">
        <f aca="false">IF(ABS(E297/E285-1)&lt;0.0005,0,(E297/E285-1))</f>
        <v>-0.030980592013524</v>
      </c>
      <c r="AR297" s="57" t="n">
        <f aca="false">(E297/1.2)-57.95</f>
        <v>62.2485966374878</v>
      </c>
      <c r="AS297" s="163" t="n">
        <f aca="false">IF(ABS(AR297-AR296)&lt;0.05,0,AR297-AR296)</f>
        <v>-0.624432923440338</v>
      </c>
      <c r="AT297" s="164" t="n">
        <f aca="false">IF(ABS(AR297/AR296-1)&lt;0.0005,0,(AR297/AR296-1))</f>
        <v>-0.00993164999048157</v>
      </c>
      <c r="AU297" s="163" t="n">
        <f aca="false">IF(ABS(AR297-AR285)&lt;0.05,0,AR297-AR285)</f>
        <v>-3.84287832868267</v>
      </c>
      <c r="AV297" s="155" t="n">
        <f aca="false">IF(ABS(AR297/AR285-1)&lt;0.0005,0,(AR297/AR285-1))</f>
        <v>-0.0581448413830934</v>
      </c>
      <c r="AW297" s="185"/>
      <c r="AX297" s="163" t="n">
        <f aca="false">IF(ABS(H297-H296)&lt;0.05,0,H297-H296)</f>
        <v>-4.96735405610312</v>
      </c>
      <c r="AY297" s="164" t="n">
        <f aca="false">IF(ABS(H297/H296-1)&lt;0.0005,0,(H297/H296-1))</f>
        <v>-0.0791919781852629</v>
      </c>
      <c r="AZ297" s="163" t="n">
        <f aca="false">IF(ABS(H297-H285)&lt;0.05,0,H297-H285)</f>
        <v>-6.64188400303262</v>
      </c>
      <c r="BA297" s="164" t="n">
        <f aca="false">IF(ABS(H297/H285-1)&lt;0.0005,0,(H297/H285-1))</f>
        <v>-0.103134844767587</v>
      </c>
      <c r="BB297" s="57" t="n">
        <f aca="false">(H297/1.05)</f>
        <v>55.0077295209213</v>
      </c>
      <c r="BC297" s="163" t="n">
        <f aca="false">IF(ABS(BB297-BB296)&lt;0.05,0,BB297-BB296)</f>
        <v>-4.73081338676487</v>
      </c>
      <c r="BD297" s="164" t="n">
        <f aca="false">IF(ABS(BB297/BB296-1)&lt;0.0005,0,(BB297/BB296-1))</f>
        <v>-0.0791919781852628</v>
      </c>
      <c r="BE297" s="163" t="n">
        <f aca="false">IF(ABS(BB297-BB285)&lt;0.05,0,BB297-BB285)</f>
        <v>-6.32560381241201</v>
      </c>
      <c r="BF297" s="155" t="n">
        <f aca="false">IF(ABS(BB297/BB285-1)&lt;0.0005,0,(BB297/BB285-1))</f>
        <v>-0.103134844767587</v>
      </c>
      <c r="BG297" s="162"/>
      <c r="BH297" s="163" t="n">
        <f aca="false">IF(ABS(I297-I296)&lt;0.05,0,I297-I296)</f>
        <v>-2.87880391213724</v>
      </c>
      <c r="BI297" s="164" t="n">
        <f aca="false">IF(ABS(I297/I296-1)&lt;0.0005,0,(I297/I296-1))</f>
        <v>-0.0396129054177931</v>
      </c>
      <c r="BJ297" s="163" t="n">
        <f aca="false">IF(ABS(I297-I285)&lt;0.05,0,I297-I285)</f>
        <v>-4.79541927208594</v>
      </c>
      <c r="BK297" s="164" t="n">
        <f aca="false">IF(ABS(I297/I285-1)&lt;0.0005,0,(I297/I285-1))</f>
        <v>-0.0642903776925317</v>
      </c>
      <c r="BL297" s="57" t="n">
        <f aca="false">(I297/1.05)-11.14</f>
        <v>55.3310292646801</v>
      </c>
      <c r="BM297" s="163" t="n">
        <f aca="false">IF(ABS(BL297-BL296)&lt;0.05,0,BL297-BL296)</f>
        <v>-2.74171801155929</v>
      </c>
      <c r="BN297" s="164" t="n">
        <f aca="false">IF(ABS(BL297/BL296-1)&lt;0.0005,0,(BL297/BL296-1))</f>
        <v>-0.0472117841871254</v>
      </c>
      <c r="BO297" s="163" t="n">
        <f aca="false">IF(ABS(BL297-BL285)&lt;0.05,0,BL297-BL285)</f>
        <v>-4.56706597341518</v>
      </c>
      <c r="BP297" s="155" t="n">
        <f aca="false">IF(ABS(BL297/BL285-1)&lt;0.0005,0,(BL297/BL285-1))</f>
        <v>-0.0762472655476116</v>
      </c>
      <c r="BQ297" s="162"/>
    </row>
    <row r="298" customFormat="false" ht="12.75" hidden="false" customHeight="true" outlineLevel="0" collapsed="false">
      <c r="A298" s="156" t="n">
        <v>41395</v>
      </c>
      <c r="B298" s="73" t="n">
        <v>2013</v>
      </c>
      <c r="C298" s="157" t="s">
        <v>63</v>
      </c>
      <c r="D298" s="159"/>
      <c r="E298" s="159" t="n">
        <v>140.541384952063</v>
      </c>
      <c r="F298" s="159" t="n">
        <v>132.747279</v>
      </c>
      <c r="G298" s="159" t="n">
        <v>137.951125062783</v>
      </c>
      <c r="H298" s="159" t="n">
        <v>55.392113343442</v>
      </c>
      <c r="I298" s="159" t="n">
        <v>67.9570113836781</v>
      </c>
      <c r="J298" s="159"/>
      <c r="K298" s="159" t="n">
        <v>130.473972497302</v>
      </c>
      <c r="L298" s="159"/>
      <c r="M298" s="160" t="n">
        <f aca="false">G298-F298</f>
        <v>5.2038460627825</v>
      </c>
      <c r="N298" s="75"/>
      <c r="O298" s="77" t="n">
        <v>228.291576916974</v>
      </c>
      <c r="P298" s="76"/>
      <c r="Q298" s="183"/>
      <c r="R298" s="162"/>
      <c r="S298" s="57" t="n">
        <f aca="false">IF(ABS(F298-F297)&lt;0.05,0,F298-F297)</f>
        <v>-4.058784</v>
      </c>
      <c r="T298" s="178" t="n">
        <f aca="false">IF((ABS(G298/G297-1))&lt;0.0005,0,(G298/G297-1))</f>
        <v>-0.0235155050067833</v>
      </c>
      <c r="U298" s="163" t="n">
        <f aca="false">IF(ABS(F298-F286)&lt;0.05,0,F298-F286)</f>
        <v>-4.92912599999997</v>
      </c>
      <c r="V298" s="164" t="n">
        <f aca="false">IF(ABS(F298/F286-1)&lt;0.0005,0,(F298/F286-1))</f>
        <v>-0.0358022567483511</v>
      </c>
      <c r="W298" s="57" t="n">
        <f aca="false">(F298/1.2)-57.95</f>
        <v>52.6727325</v>
      </c>
      <c r="X298" s="163" t="n">
        <f aca="false">IF(ABS(W298-W297)&lt;0.05,0,W298-W297)</f>
        <v>-3.38231999999999</v>
      </c>
      <c r="Y298" s="184" t="n">
        <f aca="false">IF(ABS(W298/W297-1)&lt;0.0005,0,(W298/W297-1))</f>
        <v>-0.0603392530940898</v>
      </c>
      <c r="Z298" s="163" t="n">
        <f aca="false">IF(ABS(W298-W286)&lt;0.05,0,W298-W286)</f>
        <v>-4.10760499999996</v>
      </c>
      <c r="AA298" s="155" t="n">
        <f aca="false">IF(ABS(W298/W286-1)&lt;0.0005,0,(W298/W286-1))</f>
        <v>-0.0723420321339225</v>
      </c>
      <c r="AB298" s="185"/>
      <c r="AC298" s="57" t="n">
        <f aca="false">IF(ABS(G298-G297)&lt;0.05,0,G298-G297)</f>
        <v>-3.32211150175795</v>
      </c>
      <c r="AD298" s="164" t="n">
        <f aca="false">IF(ABS(G298/G297-1)&lt;0.0005,0,(G298/G297-1))</f>
        <v>-0.0235155050067833</v>
      </c>
      <c r="AE298" s="163" t="n">
        <f aca="false">IF(ABS(G298-G286)&lt;0.05,0,G298-G286)</f>
        <v>-6.05977699648418</v>
      </c>
      <c r="AF298" s="164" t="n">
        <f aca="false">IF(ABS(G298/G286-1)&lt;0.0005,0,(G298/G286-1))</f>
        <v>-0.0420785989798905</v>
      </c>
      <c r="AG298" s="57" t="n">
        <f aca="false">(G298/1.2)-57.95</f>
        <v>57.0092708856521</v>
      </c>
      <c r="AH298" s="163" t="n">
        <f aca="false">IF(ABS(AG298-AG297)&lt;0.05,0,AG298-AG297)</f>
        <v>-2.76842625146496</v>
      </c>
      <c r="AI298" s="164" t="n">
        <f aca="false">IF(ABS(AG298/AG297-1)&lt;0.0005,0,(AG298/AG297-1))</f>
        <v>-0.046312025789732</v>
      </c>
      <c r="AJ298" s="163" t="n">
        <f aca="false">IF(ABS(AG298-AG286)&lt;0.05,0,AG298-AG286)</f>
        <v>-5.04981416373681</v>
      </c>
      <c r="AK298" s="155" t="n">
        <f aca="false">IF(ABS(AG298/AG286-1)&lt;0.0005,0,(AG298/AG286-1))</f>
        <v>-0.0813710701618946</v>
      </c>
      <c r="AL298" s="185"/>
      <c r="AM298" s="156" t="n">
        <f aca="false">IF(E298="..","",A298)</f>
        <v>41395</v>
      </c>
      <c r="AN298" s="57" t="n">
        <f aca="false">IF(ABS(E298-E297)&lt;0.05,0,E298-E297)</f>
        <v>-3.69693101292205</v>
      </c>
      <c r="AO298" s="164" t="n">
        <f aca="false">IF(ABS(E298/E297-1)&lt;0.0005,0,(E298/E297-1))</f>
        <v>-0.0256307139208385</v>
      </c>
      <c r="AP298" s="163" t="n">
        <f aca="false">IF(ABS(E298-E286)&lt;0.05,0,E298-E286)</f>
        <v>-4.82020529387245</v>
      </c>
      <c r="AQ298" s="164" t="n">
        <f aca="false">IF(ABS(E298/E286-1)&lt;0.0005,0,(E298/E286-1))</f>
        <v>-0.0331601029248317</v>
      </c>
      <c r="AR298" s="57" t="n">
        <f aca="false">(E298/1.2)-57.95</f>
        <v>59.1678207933861</v>
      </c>
      <c r="AS298" s="163" t="n">
        <f aca="false">IF(ABS(AR298-AR297)&lt;0.05,0,AR298-AR297)</f>
        <v>-3.08077584410171</v>
      </c>
      <c r="AT298" s="164" t="n">
        <f aca="false">IF(ABS(AR298/AR297-1)&lt;0.0005,0,(AR298/AR297-1))</f>
        <v>-0.0494914907406343</v>
      </c>
      <c r="AU298" s="163" t="n">
        <f aca="false">IF(ABS(AR298-AR286)&lt;0.05,0,AR298-AR286)</f>
        <v>-4.01683774489371</v>
      </c>
      <c r="AV298" s="155" t="n">
        <f aca="false">IF(ABS(AR298/AR286-1)&lt;0.0005,0,(AR298/AR286-1))</f>
        <v>-0.0635729912579989</v>
      </c>
      <c r="AW298" s="185"/>
      <c r="AX298" s="163" t="n">
        <f aca="false">IF(ABS(H298-H297)&lt;0.05,0,H298-H297)</f>
        <v>-2.36600265352539</v>
      </c>
      <c r="AY298" s="164" t="n">
        <f aca="false">IF(ABS(H298/H297-1)&lt;0.0005,0,(H298/H297-1))</f>
        <v>-0.0409639859729777</v>
      </c>
      <c r="AZ298" s="163" t="n">
        <f aca="false">IF(ABS(H298-H286)&lt;0.05,0,H298-H286)</f>
        <v>-3.70717589082638</v>
      </c>
      <c r="BA298" s="164" t="n">
        <f aca="false">IF(ABS(H298/H286-1)&lt;0.0005,0,(H298/H286-1))</f>
        <v>-0.0627279268305785</v>
      </c>
      <c r="BB298" s="57" t="n">
        <f aca="false">(H298/1.05)</f>
        <v>52.754393660421</v>
      </c>
      <c r="BC298" s="163" t="n">
        <f aca="false">IF(ABS(BB298-BB297)&lt;0.05,0,BB298-BB297)</f>
        <v>-2.25333586050037</v>
      </c>
      <c r="BD298" s="164" t="n">
        <f aca="false">IF(ABS(BB298/BB297-1)&lt;0.0005,0,(BB298/BB297-1))</f>
        <v>-0.0409639859729777</v>
      </c>
      <c r="BE298" s="163" t="n">
        <f aca="false">IF(ABS(BB298-BB286)&lt;0.05,0,BB298-BB286)</f>
        <v>-3.53064370554893</v>
      </c>
      <c r="BF298" s="155" t="n">
        <f aca="false">IF(ABS(BB298/BB286-1)&lt;0.0005,0,(BB298/BB286-1))</f>
        <v>-0.0627279268305785</v>
      </c>
      <c r="BG298" s="162"/>
      <c r="BH298" s="163" t="n">
        <f aca="false">IF(ABS(I298-I297)&lt;0.05,0,I298-I297)</f>
        <v>-1.837569344236</v>
      </c>
      <c r="BI298" s="164" t="n">
        <f aca="false">IF(ABS(I298/I297-1)&lt;0.0005,0,(I298/I297-1))</f>
        <v>-0.0263282524956995</v>
      </c>
      <c r="BJ298" s="163" t="n">
        <f aca="false">IF(ABS(I298-I286)&lt;0.05,0,I298-I286)</f>
        <v>-1.93139169472501</v>
      </c>
      <c r="BK298" s="164" t="n">
        <f aca="false">IF(ABS(I298/I286-1)&lt;0.0005,0,(I298/I286-1))</f>
        <v>-0.0276353673807415</v>
      </c>
      <c r="BL298" s="57" t="n">
        <f aca="false">(I298/1.05)-11.14</f>
        <v>53.5809632225505</v>
      </c>
      <c r="BM298" s="163" t="n">
        <f aca="false">IF(ABS(BL298-BL297)&lt;0.05,0,BL298-BL297)</f>
        <v>-1.75006604212952</v>
      </c>
      <c r="BN298" s="164" t="n">
        <f aca="false">IF(ABS(BL298/BL297-1)&lt;0.0005,0,(BL298/BL297-1))</f>
        <v>-0.0316290165823222</v>
      </c>
      <c r="BO298" s="163" t="n">
        <f aca="false">IF(ABS(BL298-BL286)&lt;0.05,0,BL298-BL286)</f>
        <v>-1.83942066164286</v>
      </c>
      <c r="BP298" s="155" t="n">
        <f aca="false">IF(ABS(BL298/BL286-1)&lt;0.0005,0,(BL298/BL286-1))</f>
        <v>-0.033190326965012</v>
      </c>
      <c r="BQ298" s="162"/>
    </row>
    <row r="299" customFormat="false" ht="12.75" hidden="false" customHeight="true" outlineLevel="0" collapsed="false">
      <c r="A299" s="156" t="n">
        <v>41426</v>
      </c>
      <c r="B299" s="73" t="n">
        <v>2013</v>
      </c>
      <c r="C299" s="157" t="s">
        <v>64</v>
      </c>
      <c r="D299" s="159"/>
      <c r="E299" s="159" t="n">
        <v>141.876769487286</v>
      </c>
      <c r="F299" s="159" t="n">
        <v>134.061392</v>
      </c>
      <c r="G299" s="159" t="n">
        <v>139.259936715219</v>
      </c>
      <c r="H299" s="159" t="n">
        <v>54.9890769522365</v>
      </c>
      <c r="I299" s="159" t="n">
        <v>68.2291774891775</v>
      </c>
      <c r="J299" s="159"/>
      <c r="K299" s="159" t="n">
        <v>128.293473650811</v>
      </c>
      <c r="L299" s="159"/>
      <c r="M299" s="160" t="n">
        <f aca="false">G299-F299</f>
        <v>5.1985447152185</v>
      </c>
      <c r="N299" s="75"/>
      <c r="O299" s="77" t="n">
        <v>224.475991615723</v>
      </c>
      <c r="P299" s="76"/>
      <c r="Q299" s="183"/>
      <c r="R299" s="162"/>
      <c r="S299" s="57" t="n">
        <f aca="false">IF(ABS(F299-F298)&lt;0.05,0,F299-F298)</f>
        <v>1.31411299999996</v>
      </c>
      <c r="T299" s="178" t="n">
        <f aca="false">IF((ABS(G299/G298-1))&lt;0.0005,0,(G299/G298-1))</f>
        <v>0.00948750256179731</v>
      </c>
      <c r="U299" s="163" t="n">
        <f aca="false">IF(ABS(F299-F287)&lt;0.05,0,F299-F287)</f>
        <v>2.42647599999998</v>
      </c>
      <c r="V299" s="164" t="n">
        <f aca="false">IF(ABS(F299/F287-1)&lt;0.0005,0,(F299/F287-1))</f>
        <v>0.0184333767493723</v>
      </c>
      <c r="W299" s="57" t="n">
        <f aca="false">(F299/1.2)-57.95</f>
        <v>53.7678266666667</v>
      </c>
      <c r="X299" s="163" t="n">
        <f aca="false">IF(ABS(W299-W298)&lt;0.05,0,W299-W298)</f>
        <v>1.09509416666663</v>
      </c>
      <c r="Y299" s="184" t="n">
        <f aca="false">IF(ABS(W299/W298-1)&lt;0.0005,0,(W299/W298-1))</f>
        <v>0.0207905326853248</v>
      </c>
      <c r="Z299" s="163" t="n">
        <f aca="false">IF(ABS(W299-W287)&lt;0.05,0,W299-W287)</f>
        <v>2.02206333333331</v>
      </c>
      <c r="AA299" s="155" t="n">
        <f aca="false">IF(ABS(W299/W287-1)&lt;0.0005,0,(W299/W287-1))</f>
        <v>0.0390768867454459</v>
      </c>
      <c r="AB299" s="185"/>
      <c r="AC299" s="57" t="n">
        <f aca="false">IF(ABS(G299-G298)&lt;0.05,0,G299-G298)</f>
        <v>1.30881165243596</v>
      </c>
      <c r="AD299" s="164" t="n">
        <f aca="false">IF(ABS(G299/G298-1)&lt;0.0005,0,(G299/G298-1))</f>
        <v>0.00948750256179731</v>
      </c>
      <c r="AE299" s="163" t="n">
        <f aca="false">IF(ABS(G299-G287)&lt;0.05,0,G299-G287)</f>
        <v>1.82244500251127</v>
      </c>
      <c r="AF299" s="164" t="n">
        <f aca="false">IF(ABS(G299/G287-1)&lt;0.0005,0,(G299/G287-1))</f>
        <v>0.0132601736236633</v>
      </c>
      <c r="AG299" s="57" t="n">
        <f aca="false">(G299/1.2)-57.95</f>
        <v>58.0999472626821</v>
      </c>
      <c r="AH299" s="163" t="n">
        <f aca="false">IF(ABS(AG299-AG298)&lt;0.05,0,AG299-AG298)</f>
        <v>1.09067637702998</v>
      </c>
      <c r="AI299" s="164" t="n">
        <f aca="false">IF(ABS(AG299/AG298-1)&lt;0.0005,0,(AG299/AG298-1))</f>
        <v>0.0191315615878973</v>
      </c>
      <c r="AJ299" s="163" t="n">
        <f aca="false">IF(ABS(AG299-AG287)&lt;0.05,0,AG299-AG287)</f>
        <v>1.5187041687594</v>
      </c>
      <c r="AK299" s="155" t="n">
        <f aca="false">IF(ABS(AG299/AG287-1)&lt;0.0005,0,(AG299/AG287-1))</f>
        <v>0.0268411241202038</v>
      </c>
      <c r="AL299" s="185"/>
      <c r="AM299" s="156" t="n">
        <f aca="false">IF(E299="..","",A299)</f>
        <v>41426</v>
      </c>
      <c r="AN299" s="57" t="n">
        <f aca="false">IF(ABS(E299-E298)&lt;0.05,0,E299-E298)</f>
        <v>1.33538453522303</v>
      </c>
      <c r="AO299" s="164" t="n">
        <f aca="false">IF(ABS(E299/E298-1)&lt;0.0005,0,(E299/E298-1))</f>
        <v>0.00950171748825812</v>
      </c>
      <c r="AP299" s="163" t="n">
        <f aca="false">IF(ABS(E299-E287)&lt;0.05,0,E299-E287)</f>
        <v>2.51537098791161</v>
      </c>
      <c r="AQ299" s="164" t="n">
        <f aca="false">IF(ABS(E299/E287-1)&lt;0.0005,0,(E299/E287-1))</f>
        <v>0.0180492662602183</v>
      </c>
      <c r="AR299" s="57" t="n">
        <f aca="false">(E299/1.2)-57.95</f>
        <v>60.2806412394053</v>
      </c>
      <c r="AS299" s="163" t="n">
        <f aca="false">IF(ABS(AR299-AR298)&lt;0.05,0,AR299-AR298)</f>
        <v>1.1128204460192</v>
      </c>
      <c r="AT299" s="164" t="n">
        <f aca="false">IF(ABS(AR299/AR298-1)&lt;0.0005,0,(AR299/AR298-1))</f>
        <v>0.0188078660173265</v>
      </c>
      <c r="AU299" s="163" t="n">
        <f aca="false">IF(ABS(AR299-AR287)&lt;0.05,0,AR299-AR287)</f>
        <v>2.09614248992635</v>
      </c>
      <c r="AV299" s="155" t="n">
        <f aca="false">IF(ABS(AR299/AR287-1)&lt;0.0005,0,(AR299/AR287-1))</f>
        <v>0.0360257892561997</v>
      </c>
      <c r="AW299" s="185"/>
      <c r="AX299" s="163" t="n">
        <f aca="false">IF(ABS(H299-H298)&lt;0.05,0,H299-H298)</f>
        <v>-0.403036391205461</v>
      </c>
      <c r="AY299" s="164" t="n">
        <f aca="false">IF(ABS(H299/H298-1)&lt;0.0005,0,(H299/H298-1))</f>
        <v>-0.00727606092056021</v>
      </c>
      <c r="AZ299" s="163" t="n">
        <f aca="false">IF(ABS(H299-H287)&lt;0.05,0,H299-H287)</f>
        <v>0.488258150113722</v>
      </c>
      <c r="BA299" s="164" t="n">
        <f aca="false">IF(ABS(H299/H287-1)&lt;0.0005,0,(H299/H287-1))</f>
        <v>0.00895873054469965</v>
      </c>
      <c r="BB299" s="57" t="n">
        <f aca="false">(H299/1.05)</f>
        <v>52.3705494783205</v>
      </c>
      <c r="BC299" s="163" t="n">
        <f aca="false">IF(ABS(BB299-BB298)&lt;0.05,0,BB299-BB298)</f>
        <v>-0.383844182100439</v>
      </c>
      <c r="BD299" s="164" t="n">
        <f aca="false">IF(ABS(BB299/BB298-1)&lt;0.0005,0,(BB299/BB298-1))</f>
        <v>-0.00727606092056021</v>
      </c>
      <c r="BE299" s="163" t="n">
        <f aca="false">IF(ABS(BB299-BB287)&lt;0.05,0,BB299-BB287)</f>
        <v>0.465007762013073</v>
      </c>
      <c r="BF299" s="155" t="n">
        <f aca="false">IF(ABS(BB299/BB287-1)&lt;0.0005,0,(BB299/BB287-1))</f>
        <v>0.00895873054469987</v>
      </c>
      <c r="BG299" s="162"/>
      <c r="BH299" s="163" t="n">
        <f aca="false">IF(ABS(I299-I298)&lt;0.05,0,I299-I298)</f>
        <v>0.272166105499437</v>
      </c>
      <c r="BI299" s="164" t="n">
        <f aca="false">IF(ABS(I299/I298-1)&lt;0.0005,0,(I299/I298-1))</f>
        <v>0.00400497461494909</v>
      </c>
      <c r="BJ299" s="163" t="n">
        <f aca="false">IF(ABS(I299-I287)&lt;0.05,0,I299-I287)</f>
        <v>2.63455667789003</v>
      </c>
      <c r="BK299" s="164" t="n">
        <f aca="false">IF(ABS(I299/I287-1)&lt;0.0005,0,(I299/I287-1))</f>
        <v>0.040164218426836</v>
      </c>
      <c r="BL299" s="57" t="n">
        <f aca="false">(I299/1.05)-11.14</f>
        <v>53.8401690373119</v>
      </c>
      <c r="BM299" s="163" t="n">
        <f aca="false">IF(ABS(BL299-BL298)&lt;0.05,0,BL299-BL298)</f>
        <v>0.259205814761373</v>
      </c>
      <c r="BN299" s="164" t="n">
        <f aca="false">IF(ABS(BL299/BL298-1)&lt;0.0005,0,(BL299/BL298-1))</f>
        <v>0.00483764753695737</v>
      </c>
      <c r="BO299" s="163" t="n">
        <f aca="false">IF(ABS(BL299-BL287)&lt;0.05,0,BL299-BL287)</f>
        <v>2.50910159799052</v>
      </c>
      <c r="BP299" s="155" t="n">
        <f aca="false">IF(ABS(BL299/BL287-1)&lt;0.0005,0,(BL299/BL287-1))</f>
        <v>0.0488807601937469</v>
      </c>
      <c r="BQ299" s="162"/>
    </row>
    <row r="300" customFormat="false" ht="12.75" hidden="false" customHeight="true" outlineLevel="0" collapsed="false">
      <c r="A300" s="156" t="n">
        <v>41456</v>
      </c>
      <c r="B300" s="73" t="n">
        <v>2013</v>
      </c>
      <c r="C300" s="157" t="s">
        <v>65</v>
      </c>
      <c r="D300" s="159"/>
      <c r="E300" s="159" t="n">
        <v>142.261098219644</v>
      </c>
      <c r="F300" s="159" t="n">
        <v>134.741711</v>
      </c>
      <c r="G300" s="159" t="n">
        <v>139.622535</v>
      </c>
      <c r="H300" s="159" t="n">
        <v>56.9379288338813</v>
      </c>
      <c r="I300" s="159" t="n">
        <v>70.9634394010295</v>
      </c>
      <c r="J300" s="159"/>
      <c r="K300" s="159" t="n">
        <v>137.278055088006</v>
      </c>
      <c r="L300" s="159"/>
      <c r="M300" s="160" t="n">
        <f aca="false">G300-F300</f>
        <v>4.88082399999999</v>
      </c>
      <c r="N300" s="75"/>
      <c r="O300" s="77" t="n">
        <v>240.247673015027</v>
      </c>
      <c r="P300" s="76"/>
      <c r="Q300" s="183"/>
      <c r="R300" s="162"/>
      <c r="S300" s="57" t="n">
        <f aca="false">IF(ABS(F300-F299)&lt;0.05,0,F300-F299)</f>
        <v>0.680319000000026</v>
      </c>
      <c r="T300" s="178" t="n">
        <f aca="false">IF((ABS(G300/G299-1))&lt;0.0005,0,(G300/G299-1))</f>
        <v>0.0026037516125188</v>
      </c>
      <c r="U300" s="163" t="n">
        <f aca="false">IF(ABS(F300-F288)&lt;0.05,0,F300-F288)</f>
        <v>3.65695700000001</v>
      </c>
      <c r="V300" s="164" t="n">
        <f aca="false">IF(ABS(F300/F288-1)&lt;0.0005,0,(F300/F288-1))</f>
        <v>0.0278976531473676</v>
      </c>
      <c r="W300" s="57" t="n">
        <f aca="false">(F300/1.2)-57.95</f>
        <v>54.3347591666667</v>
      </c>
      <c r="X300" s="163" t="n">
        <f aca="false">IF(ABS(W300-W299)&lt;0.05,0,W300-W299)</f>
        <v>0.566932500000021</v>
      </c>
      <c r="Y300" s="184" t="n">
        <f aca="false">IF(ABS(W300/W299-1)&lt;0.0005,0,(W300/W299-1))</f>
        <v>0.0105440843557749</v>
      </c>
      <c r="Z300" s="163" t="n">
        <f aca="false">IF(ABS(W300-W288)&lt;0.05,0,W300-W288)</f>
        <v>3.04746416666667</v>
      </c>
      <c r="AA300" s="155" t="n">
        <f aca="false">IF(ABS(W300/W288-1)&lt;0.0005,0,(W300/W288-1))</f>
        <v>0.0594194754600856</v>
      </c>
      <c r="AB300" s="185"/>
      <c r="AC300" s="57" t="n">
        <f aca="false">IF(ABS(G300-G299)&lt;0.05,0,G300-G299)</f>
        <v>0.362598284781512</v>
      </c>
      <c r="AD300" s="164" t="n">
        <f aca="false">IF(ABS(G300/G299-1)&lt;0.0005,0,(G300/G299-1))</f>
        <v>0.0026037516125188</v>
      </c>
      <c r="AE300" s="163" t="n">
        <f aca="false">IF(ABS(G300-G288)&lt;0.05,0,G300-G288)</f>
        <v>3.03005082119537</v>
      </c>
      <c r="AF300" s="164" t="n">
        <f aca="false">IF(ABS(G300/G288-1)&lt;0.0005,0,(G300/G288-1))</f>
        <v>0.0221831445515621</v>
      </c>
      <c r="AG300" s="57" t="n">
        <f aca="false">(G300/1.2)-57.95</f>
        <v>58.4021125</v>
      </c>
      <c r="AH300" s="163" t="n">
        <f aca="false">IF(ABS(AG300-AG299)&lt;0.05,0,AG300-AG299)</f>
        <v>0.302165237317922</v>
      </c>
      <c r="AI300" s="164" t="n">
        <f aca="false">IF(ABS(AG300/AG299-1)&lt;0.0005,0,(AG300/AG299-1))</f>
        <v>0.00520078333207041</v>
      </c>
      <c r="AJ300" s="163" t="n">
        <f aca="false">IF(ABS(AG300-AG288)&lt;0.05,0,AG300-AG288)</f>
        <v>2.52504235099615</v>
      </c>
      <c r="AK300" s="155" t="n">
        <f aca="false">IF(ABS(AG300/AG288-1)&lt;0.0005,0,(AG300/AG288-1))</f>
        <v>0.0451892403138312</v>
      </c>
      <c r="AL300" s="185"/>
      <c r="AM300" s="156" t="n">
        <f aca="false">IF(E300="..","",A300)</f>
        <v>41456</v>
      </c>
      <c r="AN300" s="57" t="n">
        <f aca="false">IF(ABS(E300-E299)&lt;0.05,0,E300-E299)</f>
        <v>0.384328732357602</v>
      </c>
      <c r="AO300" s="164" t="n">
        <f aca="false">IF(ABS(E300/E299-1)&lt;0.0005,0,(E300/E299-1))</f>
        <v>0.0027088912000639</v>
      </c>
      <c r="AP300" s="163" t="n">
        <f aca="false">IF(ABS(E300-E288)&lt;0.05,0,E300-E288)</f>
        <v>3.82004361355811</v>
      </c>
      <c r="AQ300" s="164" t="n">
        <f aca="false">IF(ABS(E300/E288-1)&lt;0.0005,0,(E300/E288-1))</f>
        <v>0.0275932859976218</v>
      </c>
      <c r="AR300" s="57" t="n">
        <f aca="false">(E300/1.2)-57.95</f>
        <v>60.6009151830367</v>
      </c>
      <c r="AS300" s="163" t="n">
        <f aca="false">IF(ABS(AR300-AR299)&lt;0.05,0,AR300-AR299)</f>
        <v>0.320273943631335</v>
      </c>
      <c r="AT300" s="164" t="n">
        <f aca="false">IF(ABS(AR300/AR299-1)&lt;0.0005,0,(AR300/AR299-1))</f>
        <v>0.00531304805400734</v>
      </c>
      <c r="AU300" s="163" t="n">
        <f aca="false">IF(ABS(AR300-AR288)&lt;0.05,0,AR300-AR288)</f>
        <v>3.1833696779651</v>
      </c>
      <c r="AV300" s="155" t="n">
        <f aca="false">IF(ABS(AR300/AR288-1)&lt;0.0005,0,(AR300/AR288-1))</f>
        <v>0.0554424549144812</v>
      </c>
      <c r="AW300" s="185"/>
      <c r="AX300" s="163" t="n">
        <f aca="false">IF(ABS(H300-H299)&lt;0.05,0,H300-H299)</f>
        <v>1.94885188164472</v>
      </c>
      <c r="AY300" s="164" t="n">
        <f aca="false">IF(ABS(H300/H299-1)&lt;0.0005,0,(H300/H299-1))</f>
        <v>0.0354407091309696</v>
      </c>
      <c r="AZ300" s="163" t="n">
        <f aca="false">IF(ABS(H300-H288)&lt;0.05,0,H300-H288)</f>
        <v>3.19741518717922</v>
      </c>
      <c r="BA300" s="164" t="n">
        <f aca="false">IF(ABS(H300/H288-1)&lt;0.0005,0,(H300/H288-1))</f>
        <v>0.0594972948751382</v>
      </c>
      <c r="BB300" s="57" t="n">
        <f aca="false">(H300/1.05)</f>
        <v>54.2265988894107</v>
      </c>
      <c r="BC300" s="163" t="n">
        <f aca="false">IF(ABS(BB300-BB299)&lt;0.05,0,BB300-BB299)</f>
        <v>1.8560494110902</v>
      </c>
      <c r="BD300" s="164" t="n">
        <f aca="false">IF(ABS(BB300/BB299-1)&lt;0.0005,0,(BB300/BB299-1))</f>
        <v>0.0354407091309694</v>
      </c>
      <c r="BE300" s="163" t="n">
        <f aca="false">IF(ABS(BB300-BB288)&lt;0.05,0,BB300-BB288)</f>
        <v>3.04515732112306</v>
      </c>
      <c r="BF300" s="155" t="n">
        <f aca="false">IF(ABS(BB300/BB288-1)&lt;0.0005,0,(BB300/BB288-1))</f>
        <v>0.0594972948751382</v>
      </c>
      <c r="BG300" s="162"/>
      <c r="BH300" s="163" t="n">
        <f aca="false">IF(ABS(I300-I299)&lt;0.05,0,I300-I299)</f>
        <v>2.73426191185199</v>
      </c>
      <c r="BI300" s="164" t="n">
        <f aca="false">IF(ABS(I300/I299-1)&lt;0.0005,0,(I300/I299-1))</f>
        <v>0.0400746720460714</v>
      </c>
      <c r="BJ300" s="163" t="n">
        <f aca="false">IF(ABS(I300-I288)&lt;0.05,0,I300-I288)</f>
        <v>3.6280970890205</v>
      </c>
      <c r="BK300" s="164" t="n">
        <f aca="false">IF(ABS(I300/I288-1)&lt;0.0005,0,(I300/I288-1))</f>
        <v>0.0538810224236945</v>
      </c>
      <c r="BL300" s="57" t="n">
        <f aca="false">(I300/1.05)-11.14</f>
        <v>56.4442280009805</v>
      </c>
      <c r="BM300" s="163" t="n">
        <f aca="false">IF(ABS(BL300-BL299)&lt;0.05,0,BL300-BL299)</f>
        <v>2.60405896366855</v>
      </c>
      <c r="BN300" s="164" t="n">
        <f aca="false">IF(ABS(BL300/BL299-1)&lt;0.0005,0,(BL300/BL299-1))</f>
        <v>0.0483664708010836</v>
      </c>
      <c r="BO300" s="163" t="n">
        <f aca="false">IF(ABS(BL300-BL288)&lt;0.05,0,BL300-BL288)</f>
        <v>3.4553305609719</v>
      </c>
      <c r="BP300" s="155" t="n">
        <f aca="false">IF(ABS(BL300/BL288-1)&lt;0.0005,0,(BL300/BL288-1))</f>
        <v>0.0652085762849446</v>
      </c>
      <c r="BQ300" s="162"/>
    </row>
    <row r="301" customFormat="false" ht="12.75" hidden="false" customHeight="true" outlineLevel="0" collapsed="false">
      <c r="A301" s="156" t="n">
        <v>41487</v>
      </c>
      <c r="B301" s="73" t="n">
        <v>2013</v>
      </c>
      <c r="C301" s="157" t="s">
        <v>66</v>
      </c>
      <c r="D301" s="159"/>
      <c r="E301" s="159" t="n">
        <v>144.423554710942</v>
      </c>
      <c r="F301" s="159" t="n">
        <v>136.868361</v>
      </c>
      <c r="G301" s="159" t="n">
        <v>141.625522</v>
      </c>
      <c r="H301" s="159" t="n">
        <v>55.3232566234771</v>
      </c>
      <c r="I301" s="159" t="n">
        <v>70.0786788332554</v>
      </c>
      <c r="J301" s="159"/>
      <c r="K301" s="159" t="n">
        <v>138.82517018175</v>
      </c>
      <c r="L301" s="159"/>
      <c r="M301" s="160" t="n">
        <f aca="false">G301-F301</f>
        <v>4.75716100000003</v>
      </c>
      <c r="N301" s="75"/>
      <c r="O301" s="77" t="n">
        <v>242.999604738193</v>
      </c>
      <c r="P301" s="76"/>
      <c r="Q301" s="183"/>
      <c r="R301" s="162"/>
      <c r="S301" s="57" t="n">
        <f aca="false">IF(ABS(F301-F300)&lt;0.05,0,F301-F300)</f>
        <v>2.12664999999998</v>
      </c>
      <c r="T301" s="178" t="n">
        <f aca="false">IF((ABS(G301/G300-1))&lt;0.0005,0,(G301/G300-1))</f>
        <v>0.0143457286461675</v>
      </c>
      <c r="U301" s="163" t="n">
        <f aca="false">IF(ABS(F301-F289)&lt;0.05,0,F301-F289)</f>
        <v>2.73393099999998</v>
      </c>
      <c r="V301" s="164" t="n">
        <f aca="false">IF(ABS(F301/F289-1)&lt;0.0005,0,(F301/F289-1))</f>
        <v>0.0203820227215339</v>
      </c>
      <c r="W301" s="57" t="n">
        <f aca="false">(F301/1.2)-57.95</f>
        <v>56.1069675</v>
      </c>
      <c r="X301" s="163" t="n">
        <f aca="false">IF(ABS(W301-W300)&lt;0.05,0,W301-W300)</f>
        <v>1.77220833333332</v>
      </c>
      <c r="Y301" s="184" t="n">
        <f aca="false">IF(ABS(W301/W300-1)&lt;0.0005,0,(W301/W300-1))</f>
        <v>0.0326164753559917</v>
      </c>
      <c r="Z301" s="163" t="n">
        <f aca="false">IF(ABS(W301-W289)&lt;0.05,0,W301-W289)</f>
        <v>2.27827583333333</v>
      </c>
      <c r="AA301" s="155" t="n">
        <f aca="false">IF(ABS(W301/W289-1)&lt;0.0005,0,(W301/W289-1))</f>
        <v>0.0423245626596596</v>
      </c>
      <c r="AB301" s="185"/>
      <c r="AC301" s="57" t="n">
        <f aca="false">IF(ABS(G301-G300)&lt;0.05,0,G301-G300)</f>
        <v>2.00298700000002</v>
      </c>
      <c r="AD301" s="164" t="n">
        <f aca="false">IF(ABS(G301/G300-1)&lt;0.0005,0,(G301/G300-1))</f>
        <v>0.0143457286461675</v>
      </c>
      <c r="AE301" s="163" t="n">
        <f aca="false">IF(ABS(G301-G289)&lt;0.05,0,G301-G289)</f>
        <v>2.22006243194375</v>
      </c>
      <c r="AF301" s="164" t="n">
        <f aca="false">IF(ABS(G301/G289-1)&lt;0.0005,0,(G301/G289-1))</f>
        <v>0.0159252187024994</v>
      </c>
      <c r="AG301" s="57" t="n">
        <f aca="false">(G301/1.2)-57.95</f>
        <v>60.0712683333334</v>
      </c>
      <c r="AH301" s="163" t="n">
        <f aca="false">IF(ABS(AG301-AG300)&lt;0.05,0,AG301-AG300)</f>
        <v>1.66915583333335</v>
      </c>
      <c r="AI301" s="164" t="n">
        <f aca="false">IF(ABS(AG301/AG300-1)&lt;0.0005,0,(AG301/AG300-1))</f>
        <v>0.02858040166498</v>
      </c>
      <c r="AJ301" s="163" t="n">
        <f aca="false">IF(ABS(AG301-AG289)&lt;0.05,0,AG301-AG289)</f>
        <v>1.85005202661979</v>
      </c>
      <c r="AK301" s="155" t="n">
        <f aca="false">IF(ABS(AG301/AG289-1)&lt;0.0005,0,(AG301/AG289-1))</f>
        <v>0.0317762517511415</v>
      </c>
      <c r="AL301" s="185"/>
      <c r="AM301" s="156" t="n">
        <f aca="false">IF(E301="..","",A301)</f>
        <v>41487</v>
      </c>
      <c r="AN301" s="57" t="n">
        <f aca="false">IF(ABS(E301-E300)&lt;0.05,0,E301-E300)</f>
        <v>2.16245649129823</v>
      </c>
      <c r="AO301" s="164" t="n">
        <f aca="false">IF(ABS(E301/E300-1)&lt;0.0005,0,(E301/E300-1))</f>
        <v>0.0152006171635166</v>
      </c>
      <c r="AP301" s="163" t="n">
        <f aca="false">IF(ABS(E301-E289)&lt;0.05,0,E301-E289)</f>
        <v>2.82879960464791</v>
      </c>
      <c r="AQ301" s="164" t="n">
        <f aca="false">IF(ABS(E301/E289-1)&lt;0.0005,0,(E301/E289-1))</f>
        <v>0.0199781383323439</v>
      </c>
      <c r="AR301" s="57" t="n">
        <f aca="false">(E301/1.2)-57.95</f>
        <v>62.4029622591185</v>
      </c>
      <c r="AS301" s="163" t="n">
        <f aca="false">IF(ABS(AR301-AR300)&lt;0.05,0,AR301-AR300)</f>
        <v>1.80204707608185</v>
      </c>
      <c r="AT301" s="164" t="n">
        <f aca="false">IF(ABS(AR301/AR300-1)&lt;0.0005,0,(AR301/AR300-1))</f>
        <v>0.0297363013518692</v>
      </c>
      <c r="AU301" s="163" t="n">
        <f aca="false">IF(ABS(AR301-AR289)&lt;0.05,0,AR301-AR289)</f>
        <v>2.35733300387325</v>
      </c>
      <c r="AV301" s="155" t="n">
        <f aca="false">IF(ABS(AR301/AR289-1)&lt;0.0005,0,(AR301/AR289-1))</f>
        <v>0.0392590273948594</v>
      </c>
      <c r="AW301" s="185"/>
      <c r="AX301" s="163" t="n">
        <f aca="false">IF(ABS(H301-H300)&lt;0.05,0,H301-H300)</f>
        <v>-1.61467221040418</v>
      </c>
      <c r="AY301" s="164" t="n">
        <f aca="false">IF(ABS(H301/H300-1)&lt;0.0005,0,(H301/H300-1))</f>
        <v>-0.0283584640936809</v>
      </c>
      <c r="AZ301" s="163" t="n">
        <f aca="false">IF(ABS(H301-H289)&lt;0.05,0,H301-H289)</f>
        <v>-2.54857620442284</v>
      </c>
      <c r="BA301" s="164" t="n">
        <f aca="false">IF(ABS(H301/H289-1)&lt;0.0005,0,(H301/H289-1))</f>
        <v>-0.0440382839092349</v>
      </c>
      <c r="BB301" s="57" t="n">
        <f aca="false">(H301/1.05)</f>
        <v>52.6888158318829</v>
      </c>
      <c r="BC301" s="163" t="n">
        <f aca="false">IF(ABS(BB301-BB300)&lt;0.05,0,BB301-BB300)</f>
        <v>-1.53778305752779</v>
      </c>
      <c r="BD301" s="164" t="n">
        <f aca="false">IF(ABS(BB301/BB300-1)&lt;0.0005,0,(BB301/BB300-1))</f>
        <v>-0.0283584640936809</v>
      </c>
      <c r="BE301" s="163" t="n">
        <f aca="false">IF(ABS(BB301-BB289)&lt;0.05,0,BB301-BB289)</f>
        <v>-2.42721543278365</v>
      </c>
      <c r="BF301" s="155" t="n">
        <f aca="false">IF(ABS(BB301/BB289-1)&lt;0.0005,0,(BB301/BB289-1))</f>
        <v>-0.0440382839092349</v>
      </c>
      <c r="BG301" s="162"/>
      <c r="BH301" s="163" t="n">
        <f aca="false">IF(ABS(I301-I300)&lt;0.05,0,I301-I300)</f>
        <v>-0.884760567774137</v>
      </c>
      <c r="BI301" s="164" t="n">
        <f aca="false">IF(ABS(I301/I300-1)&lt;0.0005,0,(I301/I300-1))</f>
        <v>-0.0124678366105421</v>
      </c>
      <c r="BJ301" s="163" t="n">
        <f aca="false">IF(ABS(I301-I289)&lt;0.05,0,I301-I289)</f>
        <v>-0.984151052907876</v>
      </c>
      <c r="BK301" s="164" t="n">
        <f aca="false">IF(ABS(I301/I289-1)&lt;0.0005,0,(I301/I289-1))</f>
        <v>-0.0138490270438766</v>
      </c>
      <c r="BL301" s="57" t="n">
        <f aca="false">(I301/1.05)-11.14</f>
        <v>55.6015988888146</v>
      </c>
      <c r="BM301" s="163" t="n">
        <f aca="false">IF(ABS(BL301-BL300)&lt;0.05,0,BL301-BL300)</f>
        <v>-0.842629112165838</v>
      </c>
      <c r="BN301" s="164" t="n">
        <f aca="false">IF(ABS(BL301/BL300-1)&lt;0.0005,0,(BL301/BL300-1))</f>
        <v>-0.0149285257679704</v>
      </c>
      <c r="BO301" s="163" t="n">
        <f aca="false">IF(ABS(BL301-BL289)&lt;0.05,0,BL301-BL289)</f>
        <v>-0.937286717055116</v>
      </c>
      <c r="BP301" s="155" t="n">
        <f aca="false">IF(ABS(BL301/BL289-1)&lt;0.0005,0,(BL301/BL289-1))</f>
        <v>-0.0165777359601479</v>
      </c>
      <c r="BQ301" s="162"/>
    </row>
    <row r="302" customFormat="false" ht="12.75" hidden="false" customHeight="true" outlineLevel="0" collapsed="false">
      <c r="A302" s="156" t="n">
        <v>41518</v>
      </c>
      <c r="B302" s="73" t="n">
        <v>2013</v>
      </c>
      <c r="C302" s="157" t="s">
        <v>67</v>
      </c>
      <c r="D302" s="159"/>
      <c r="E302" s="159" t="n">
        <v>145.034446889378</v>
      </c>
      <c r="F302" s="159" t="n">
        <v>137.191123</v>
      </c>
      <c r="G302" s="159" t="n">
        <v>142.332028</v>
      </c>
      <c r="H302" s="159" t="n">
        <v>56.6363875459292</v>
      </c>
      <c r="I302" s="159" t="n">
        <v>71.2497231888643</v>
      </c>
      <c r="J302" s="159"/>
      <c r="K302" s="159" t="n">
        <v>138.181091205035</v>
      </c>
      <c r="L302" s="159"/>
      <c r="M302" s="160" t="n">
        <f aca="false">G302-F302</f>
        <v>5.140905</v>
      </c>
      <c r="N302" s="75"/>
      <c r="O302" s="77" t="n">
        <v>241.739721810868</v>
      </c>
      <c r="P302" s="76"/>
      <c r="Q302" s="183"/>
      <c r="R302" s="162"/>
      <c r="S302" s="57" t="n">
        <f aca="false">IF(ABS(F302-F301)&lt;0.05,0,F302-F301)</f>
        <v>0.322762000000012</v>
      </c>
      <c r="T302" s="178" t="n">
        <f aca="false">IF((ABS(G302/G301-1))&lt;0.0005,0,(G302/G301-1))</f>
        <v>0.00498855001572385</v>
      </c>
      <c r="U302" s="163" t="n">
        <f aca="false">IF(ABS(F302-F290)&lt;0.05,0,F302-F290)</f>
        <v>-1.93772099999998</v>
      </c>
      <c r="V302" s="164" t="n">
        <f aca="false">IF(ABS(F302/F290-1)&lt;0.0005,0,(F302/F290-1))</f>
        <v>-0.0139275289313838</v>
      </c>
      <c r="W302" s="57" t="n">
        <f aca="false">(F302/1.2)-57.95</f>
        <v>56.3759358333333</v>
      </c>
      <c r="X302" s="163" t="n">
        <f aca="false">IF(ABS(W302-W301)&lt;0.05,0,W302-W301)</f>
        <v>0.268968333333348</v>
      </c>
      <c r="Y302" s="184" t="n">
        <f aca="false">IF(ABS(W302/W301-1)&lt;0.0005,0,(W302/W301-1))</f>
        <v>0.00479384905864588</v>
      </c>
      <c r="Z302" s="163" t="n">
        <f aca="false">IF(ABS(W302-W290)&lt;0.05,0,W302-W290)</f>
        <v>-1.61476749999999</v>
      </c>
      <c r="AA302" s="155" t="n">
        <f aca="false">IF(ABS(W302/W290-1)&lt;0.0005,0,(W302/W290-1))</f>
        <v>-0.0278452822121889</v>
      </c>
      <c r="AB302" s="185"/>
      <c r="AC302" s="57" t="n">
        <f aca="false">IF(ABS(G302-G301)&lt;0.05,0,G302-G301)</f>
        <v>0.70650599999999</v>
      </c>
      <c r="AD302" s="164" t="n">
        <f aca="false">IF(ABS(G302/G301-1)&lt;0.0005,0,(G302/G301-1))</f>
        <v>0.00498855001572385</v>
      </c>
      <c r="AE302" s="163" t="n">
        <f aca="false">IF(ABS(G302-G290)&lt;0.05,0,G302-G290)</f>
        <v>-1.64602021697641</v>
      </c>
      <c r="AF302" s="164" t="n">
        <f aca="false">IF(ABS(G302/G290-1)&lt;0.0005,0,(G302/G290-1))</f>
        <v>-0.0114324387457722</v>
      </c>
      <c r="AG302" s="57" t="n">
        <f aca="false">(G302/1.2)-57.95</f>
        <v>60.6600233333333</v>
      </c>
      <c r="AH302" s="163" t="n">
        <f aca="false">IF(ABS(AG302-AG301)&lt;0.05,0,AG302-AG301)</f>
        <v>0.588754999999992</v>
      </c>
      <c r="AI302" s="164" t="n">
        <f aca="false">IF(ABS(AG302/AG301-1)&lt;0.0005,0,(AG302/AG301-1))</f>
        <v>0.00980094172030821</v>
      </c>
      <c r="AJ302" s="163" t="n">
        <f aca="false">IF(ABS(AG302-AG290)&lt;0.05,0,AG302-AG290)</f>
        <v>-1.37168351414701</v>
      </c>
      <c r="AK302" s="155" t="n">
        <f aca="false">IF(ABS(AG302/AG290-1)&lt;0.0005,0,(AG302/AG290-1))</f>
        <v>-0.0221126192371204</v>
      </c>
      <c r="AL302" s="185"/>
      <c r="AM302" s="156" t="n">
        <f aca="false">IF(E302="..","",A302)</f>
        <v>41518</v>
      </c>
      <c r="AN302" s="57" t="n">
        <f aca="false">IF(ABS(E302-E301)&lt;0.05,0,E302-E301)</f>
        <v>0.610892178435705</v>
      </c>
      <c r="AO302" s="164" t="n">
        <f aca="false">IF(ABS(E302/E301-1)&lt;0.0005,0,(E302/E301-1))</f>
        <v>0.00422986527134284</v>
      </c>
      <c r="AP302" s="163" t="n">
        <f aca="false">IF(ABS(E302-E290)&lt;0.05,0,E302-E290)</f>
        <v>-1.41479029278131</v>
      </c>
      <c r="AQ302" s="164" t="n">
        <f aca="false">IF(ABS(E302/E290-1)&lt;0.0005,0,(E302/E290-1))</f>
        <v>-0.00966061906503157</v>
      </c>
      <c r="AR302" s="57" t="n">
        <f aca="false">(E302/1.2)-57.95</f>
        <v>62.9120390744816</v>
      </c>
      <c r="AS302" s="163" t="n">
        <f aca="false">IF(ABS(AR302-AR301)&lt;0.05,0,AR302-AR301)</f>
        <v>0.509076815363088</v>
      </c>
      <c r="AT302" s="164" t="n">
        <f aca="false">IF(ABS(AR302/AR301-1)&lt;0.0005,0,(AR302/AR301-1))</f>
        <v>0.0081578950250667</v>
      </c>
      <c r="AU302" s="163" t="n">
        <f aca="false">IF(ABS(AR302-AR290)&lt;0.05,0,AR302-AR290)</f>
        <v>-1.17899191065109</v>
      </c>
      <c r="AV302" s="155" t="n">
        <f aca="false">IF(ABS(AR302/AR290-1)&lt;0.0005,0,(AR302/AR290-1))</f>
        <v>-0.0183955834775787</v>
      </c>
      <c r="AW302" s="185"/>
      <c r="AX302" s="163" t="n">
        <f aca="false">IF(ABS(H302-H301)&lt;0.05,0,H302-H301)</f>
        <v>1.31313092245214</v>
      </c>
      <c r="AY302" s="164" t="n">
        <f aca="false">IF(ABS(H302/H301-1)&lt;0.0005,0,(H302/H301-1))</f>
        <v>0.0237356042032943</v>
      </c>
      <c r="AZ302" s="163" t="n">
        <f aca="false">IF(ABS(H302-H290)&lt;0.05,0,H302-H290)</f>
        <v>-4.01157871639072</v>
      </c>
      <c r="BA302" s="164" t="n">
        <f aca="false">IF(ABS(H302/H290-1)&lt;0.0005,0,(H302/H290-1))</f>
        <v>-0.0661453130850173</v>
      </c>
      <c r="BB302" s="57" t="n">
        <f aca="false">(H302/1.05)</f>
        <v>53.9394167104088</v>
      </c>
      <c r="BC302" s="163" t="n">
        <f aca="false">IF(ABS(BB302-BB301)&lt;0.05,0,BB302-BB301)</f>
        <v>1.25060087852585</v>
      </c>
      <c r="BD302" s="164" t="n">
        <f aca="false">IF(ABS(BB302/BB301-1)&lt;0.0005,0,(BB302/BB301-1))</f>
        <v>0.0237356042032946</v>
      </c>
      <c r="BE302" s="163" t="n">
        <f aca="false">IF(ABS(BB302-BB290)&lt;0.05,0,BB302-BB290)</f>
        <v>-3.82055115846735</v>
      </c>
      <c r="BF302" s="155" t="n">
        <f aca="false">IF(ABS(BB302/BB290-1)&lt;0.0005,0,(BB302/BB290-1))</f>
        <v>-0.0661453130850173</v>
      </c>
      <c r="BG302" s="162"/>
      <c r="BH302" s="163" t="n">
        <f aca="false">IF(ABS(I302-I301)&lt;0.05,0,I302-I301)</f>
        <v>1.17104435560894</v>
      </c>
      <c r="BI302" s="164" t="n">
        <f aca="false">IF(ABS(I302/I301-1)&lt;0.0005,0,(I302/I301-1))</f>
        <v>0.0167104228433774</v>
      </c>
      <c r="BJ302" s="163" t="n">
        <f aca="false">IF(ABS(I302-I290)&lt;0.05,0,I302-I290)</f>
        <v>-1.70577143996368</v>
      </c>
      <c r="BK302" s="164" t="n">
        <f aca="false">IF(ABS(I302/I290-1)&lt;0.0005,0,(I302/I290-1))</f>
        <v>-0.023380986567798</v>
      </c>
      <c r="BL302" s="57" t="n">
        <f aca="false">(I302/1.05)-11.14</f>
        <v>56.7168792274898</v>
      </c>
      <c r="BM302" s="163" t="n">
        <f aca="false">IF(ABS(BL302-BL301)&lt;0.05,0,BL302-BL301)</f>
        <v>1.11528033867518</v>
      </c>
      <c r="BN302" s="164" t="n">
        <f aca="false">IF(ABS(BL302/BL301-1)&lt;0.0005,0,(BL302/BL301-1))</f>
        <v>0.0200584220771309</v>
      </c>
      <c r="BO302" s="163" t="n">
        <f aca="false">IF(ABS(BL302-BL290)&lt;0.05,0,BL302-BL290)</f>
        <v>-1.62454422853685</v>
      </c>
      <c r="BP302" s="155" t="n">
        <f aca="false">IF(ABS(BL302/BL290-1)&lt;0.0005,0,(BL302/BL290-1))</f>
        <v>-0.0278454678049004</v>
      </c>
      <c r="BQ302" s="162"/>
    </row>
    <row r="303" customFormat="false" ht="12.75" hidden="false" customHeight="true" outlineLevel="0" collapsed="false">
      <c r="A303" s="156" t="n">
        <v>41548</v>
      </c>
      <c r="B303" s="73" t="n">
        <v>2013</v>
      </c>
      <c r="C303" s="157" t="s">
        <v>68</v>
      </c>
      <c r="D303" s="159"/>
      <c r="E303" s="159" t="n">
        <v>139.493074614923</v>
      </c>
      <c r="F303" s="159" t="n">
        <v>131.480586</v>
      </c>
      <c r="G303" s="159" t="n">
        <v>138.763945</v>
      </c>
      <c r="H303" s="159" t="n">
        <v>54.437911429124</v>
      </c>
      <c r="I303" s="159" t="n">
        <v>67.8935843087631</v>
      </c>
      <c r="J303" s="159"/>
      <c r="K303" s="159" t="n">
        <v>132.895988834851</v>
      </c>
      <c r="L303" s="159"/>
      <c r="M303" s="160" t="n">
        <f aca="false">G303-F303</f>
        <v>7.28335899999999</v>
      </c>
      <c r="N303" s="75"/>
      <c r="O303" s="77" t="n">
        <v>232.488133853749</v>
      </c>
      <c r="P303" s="76"/>
      <c r="Q303" s="183"/>
      <c r="R303" s="162"/>
      <c r="S303" s="57" t="n">
        <f aca="false">IF(ABS(F303-F302)&lt;0.05,0,F303-F302)</f>
        <v>-5.71053699999999</v>
      </c>
      <c r="T303" s="178" t="n">
        <f aca="false">IF((ABS(G303/G302-1))&lt;0.0005,0,(G303/G302-1))</f>
        <v>-0.025068728733353</v>
      </c>
      <c r="U303" s="163" t="n">
        <f aca="false">IF(ABS(F303-F291)&lt;0.05,0,F303-F291)</f>
        <v>-6.59576999999996</v>
      </c>
      <c r="V303" s="164" t="n">
        <f aca="false">IF(ABS(F303/F291-1)&lt;0.0005,0,(F303/F291-1))</f>
        <v>-0.0477690039850122</v>
      </c>
      <c r="W303" s="57" t="n">
        <f aca="false">(F303/1.2)-57.95</f>
        <v>51.617155</v>
      </c>
      <c r="X303" s="163" t="n">
        <f aca="false">IF(ABS(W303-W302)&lt;0.05,0,W303-W302)</f>
        <v>-4.75878083333333</v>
      </c>
      <c r="Y303" s="184" t="n">
        <f aca="false">IF(ABS(W303/W302-1)&lt;0.0005,0,(W303/W302-1))</f>
        <v>-0.0844115625397675</v>
      </c>
      <c r="Z303" s="163" t="n">
        <f aca="false">IF(ABS(W303-W291)&lt;0.05,0,W303-W291)</f>
        <v>-5.49647499999998</v>
      </c>
      <c r="AA303" s="155" t="n">
        <f aca="false">IF(ABS(W303/W291-1)&lt;0.0005,0,(W303/W291-1))</f>
        <v>-0.0962375355935173</v>
      </c>
      <c r="AB303" s="185"/>
      <c r="AC303" s="57" t="n">
        <f aca="false">IF(ABS(G303-G302)&lt;0.05,0,G303-G302)</f>
        <v>-3.568083</v>
      </c>
      <c r="AD303" s="164" t="n">
        <f aca="false">IF(ABS(G303/G302-1)&lt;0.0005,0,(G303/G302-1))</f>
        <v>-0.025068728733353</v>
      </c>
      <c r="AE303" s="163" t="n">
        <f aca="false">IF(ABS(G303-G291)&lt;0.05,0,G303-G291)</f>
        <v>-4.25441562280264</v>
      </c>
      <c r="AF303" s="164" t="n">
        <f aca="false">IF(ABS(G303/G291-1)&lt;0.0005,0,(G303/G291-1))</f>
        <v>-0.0297473387631904</v>
      </c>
      <c r="AG303" s="57" t="n">
        <f aca="false">(G303/1.2)-57.95</f>
        <v>57.6866208333333</v>
      </c>
      <c r="AH303" s="163" t="n">
        <f aca="false">IF(ABS(AG303-AG302)&lt;0.05,0,AG303-AG302)</f>
        <v>-2.97340250000001</v>
      </c>
      <c r="AI303" s="164" t="n">
        <f aca="false">IF(ABS(AG303/AG302-1)&lt;0.0005,0,(AG303/AG302-1))</f>
        <v>-0.0490174968061063</v>
      </c>
      <c r="AJ303" s="163" t="n">
        <f aca="false">IF(ABS(AG303-AG291)&lt;0.05,0,AG303-AG291)</f>
        <v>-3.54534635233554</v>
      </c>
      <c r="AK303" s="155" t="n">
        <f aca="false">IF(ABS(AG303/AG291-1)&lt;0.0005,0,(AG303/AG291-1))</f>
        <v>-0.0579002523565063</v>
      </c>
      <c r="AL303" s="185"/>
      <c r="AM303" s="156" t="n">
        <f aca="false">IF(E303="..","",A303)</f>
        <v>41548</v>
      </c>
      <c r="AN303" s="57" t="n">
        <f aca="false">IF(ABS(E303-E302)&lt;0.05,0,E303-E302)</f>
        <v>-5.54137227445489</v>
      </c>
      <c r="AO303" s="164" t="n">
        <f aca="false">IF(ABS(E303/E302-1)&lt;0.0005,0,(E303/E302-1))</f>
        <v>-0.0382072838094901</v>
      </c>
      <c r="AP303" s="163" t="n">
        <f aca="false">IF(ABS(E303-E291)&lt;0.05,0,E303-E291)</f>
        <v>-6.08576031629829</v>
      </c>
      <c r="AQ303" s="164" t="n">
        <f aca="false">IF(ABS(E303/E291-1)&lt;0.0005,0,(E303/E291-1))</f>
        <v>-0.0418038811697696</v>
      </c>
      <c r="AR303" s="57" t="n">
        <f aca="false">(E303/1.2)-57.95</f>
        <v>58.2942288457692</v>
      </c>
      <c r="AS303" s="163" t="n">
        <f aca="false">IF(ABS(AR303-AR302)&lt;0.05,0,AR303-AR302)</f>
        <v>-4.6178102287124</v>
      </c>
      <c r="AT303" s="164" t="n">
        <f aca="false">IF(ABS(AR303/AR302-1)&lt;0.0005,0,(AR303/AR302-1))</f>
        <v>-0.0734010579953603</v>
      </c>
      <c r="AU303" s="163" t="n">
        <f aca="false">IF(ABS(AR303-AR291)&lt;0.05,0,AR303-AR291)</f>
        <v>-5.07146693024858</v>
      </c>
      <c r="AV303" s="155" t="n">
        <f aca="false">IF(ABS(AR303/AR291-1)&lt;0.0005,0,(AR303/AR291-1))</f>
        <v>-0.0800348969286943</v>
      </c>
      <c r="AW303" s="185"/>
      <c r="AX303" s="163" t="n">
        <f aca="false">IF(ABS(H303-H302)&lt;0.05,0,H303-H302)</f>
        <v>-2.19847611680526</v>
      </c>
      <c r="AY303" s="164" t="n">
        <f aca="false">IF(ABS(H303/H302-1)&lt;0.0005,0,(H303/H302-1))</f>
        <v>-0.038817378933683</v>
      </c>
      <c r="AZ303" s="163" t="n">
        <f aca="false">IF(ABS(H303-H291)&lt;0.05,0,H303-H291)</f>
        <v>-6.00322769142191</v>
      </c>
      <c r="BA303" s="164" t="n">
        <f aca="false">IF(ABS(H303/H291-1)&lt;0.0005,0,(H303/H291-1))</f>
        <v>-0.0993235365642078</v>
      </c>
      <c r="BB303" s="57" t="n">
        <f aca="false">(H303/1.05)</f>
        <v>51.845629932499</v>
      </c>
      <c r="BC303" s="163" t="n">
        <f aca="false">IF(ABS(BB303-BB302)&lt;0.05,0,BB303-BB302)</f>
        <v>-2.09378677790977</v>
      </c>
      <c r="BD303" s="164" t="n">
        <f aca="false">IF(ABS(BB303/BB302-1)&lt;0.0005,0,(BB303/BB302-1))</f>
        <v>-0.038817378933683</v>
      </c>
      <c r="BE303" s="163" t="n">
        <f aca="false">IF(ABS(BB303-BB291)&lt;0.05,0,BB303-BB291)</f>
        <v>-5.7173597061161</v>
      </c>
      <c r="BF303" s="155" t="n">
        <f aca="false">IF(ABS(BB303/BB291-1)&lt;0.0005,0,(BB303/BB291-1))</f>
        <v>-0.0993235365642078</v>
      </c>
      <c r="BG303" s="162"/>
      <c r="BH303" s="163" t="n">
        <f aca="false">IF(ABS(I303-I302)&lt;0.05,0,I303-I302)</f>
        <v>-3.35613888010124</v>
      </c>
      <c r="BI303" s="164" t="n">
        <f aca="false">IF(ABS(I303/I302-1)&lt;0.0005,0,(I303/I302-1))</f>
        <v>-0.0471038865821977</v>
      </c>
      <c r="BJ303" s="163" t="n">
        <f aca="false">IF(ABS(I303-I291)&lt;0.05,0,I303-I291)</f>
        <v>-5.29378301527095</v>
      </c>
      <c r="BK303" s="164" t="n">
        <f aca="false">IF(ABS(I303/I291-1)&lt;0.0005,0,(I303/I291-1))</f>
        <v>-0.0723319229646962</v>
      </c>
      <c r="BL303" s="57" t="n">
        <f aca="false">(I303/1.05)-11.14</f>
        <v>53.5205564845362</v>
      </c>
      <c r="BM303" s="163" t="n">
        <f aca="false">IF(ABS(BL303-BL302)&lt;0.05,0,BL303-BL302)</f>
        <v>-3.19632274295356</v>
      </c>
      <c r="BN303" s="164" t="n">
        <f aca="false">IF(ABS(BL303/BL302-1)&lt;0.0005,0,(BL303/BL302-1))</f>
        <v>-0.0563557584001263</v>
      </c>
      <c r="BO303" s="163" t="n">
        <f aca="false">IF(ABS(BL303-BL291)&lt;0.05,0,BL303-BL291)</f>
        <v>-5.04169810978185</v>
      </c>
      <c r="BP303" s="155" t="n">
        <f aca="false">IF(ABS(BL303/BL291-1)&lt;0.0005,0,(BL303/BL291-1))</f>
        <v>-0.086091256982975</v>
      </c>
      <c r="BQ303" s="162"/>
    </row>
    <row r="304" customFormat="false" ht="12.75" hidden="false" customHeight="true" outlineLevel="0" collapsed="false">
      <c r="A304" s="156" t="n">
        <v>41579</v>
      </c>
      <c r="B304" s="73" t="n">
        <v>2013</v>
      </c>
      <c r="C304" s="157" t="s">
        <v>69</v>
      </c>
      <c r="D304" s="159"/>
      <c r="E304" s="159" t="n">
        <v>136.199361872374</v>
      </c>
      <c r="F304" s="159" t="n">
        <v>129.730169</v>
      </c>
      <c r="G304" s="159" t="n">
        <v>137.296061</v>
      </c>
      <c r="H304" s="159" t="n">
        <v>54.3609998066138</v>
      </c>
      <c r="I304" s="159" t="n">
        <v>67.3166244859222</v>
      </c>
      <c r="J304" s="159"/>
      <c r="K304" s="159" t="n">
        <v>129.649599979179</v>
      </c>
      <c r="L304" s="159"/>
      <c r="M304" s="160" t="n">
        <f aca="false">G304-F304</f>
        <v>7.56589199999999</v>
      </c>
      <c r="N304" s="75"/>
      <c r="O304" s="77" t="n">
        <v>226.801431614743</v>
      </c>
      <c r="P304" s="76"/>
      <c r="Q304" s="183"/>
      <c r="R304" s="162"/>
      <c r="S304" s="57" t="n">
        <f aca="false">IF(ABS(F304-F303)&lt;0.05,0,F304-F303)</f>
        <v>-1.750417</v>
      </c>
      <c r="T304" s="178" t="n">
        <f aca="false">IF((ABS(G304/G303-1))&lt;0.0005,0,(G304/G303-1))</f>
        <v>-0.0105782809792558</v>
      </c>
      <c r="U304" s="163" t="n">
        <f aca="false">IF(ABS(F304-F292)&lt;0.05,0,F304-F292)</f>
        <v>-4.81292099999999</v>
      </c>
      <c r="V304" s="164" t="n">
        <f aca="false">IF(ABS(F304/F292-1)&lt;0.0005,0,(F304/F292-1))</f>
        <v>-0.0357723388098191</v>
      </c>
      <c r="W304" s="57" t="n">
        <f aca="false">(F304/1.2)-57.95</f>
        <v>50.1584741666667</v>
      </c>
      <c r="X304" s="163" t="n">
        <f aca="false">IF(ABS(W304-W303)&lt;0.05,0,W304-W303)</f>
        <v>-1.45868083333333</v>
      </c>
      <c r="Y304" s="184" t="n">
        <f aca="false">IF(ABS(W304/W303-1)&lt;0.0005,0,(W304/W303-1))</f>
        <v>-0.028259613171887</v>
      </c>
      <c r="Z304" s="163" t="n">
        <f aca="false">IF(ABS(W304-W292)&lt;0.05,0,W304-W292)</f>
        <v>-4.0107675</v>
      </c>
      <c r="AA304" s="155" t="n">
        <f aca="false">IF(ABS(W304/W292-1)&lt;0.0005,0,(W304/W292-1))</f>
        <v>-0.0740414186464059</v>
      </c>
      <c r="AB304" s="185"/>
      <c r="AC304" s="57" t="n">
        <f aca="false">IF(ABS(G304-G303)&lt;0.05,0,G304-G303)</f>
        <v>-1.467884</v>
      </c>
      <c r="AD304" s="164" t="n">
        <f aca="false">IF(ABS(G304/G303-1)&lt;0.0005,0,(G304/G303-1))</f>
        <v>-0.0105782809792558</v>
      </c>
      <c r="AE304" s="163" t="n">
        <f aca="false">IF(ABS(G304-G292)&lt;0.05,0,G304-G292)</f>
        <v>-3.80317656906075</v>
      </c>
      <c r="AF304" s="164" t="n">
        <f aca="false">IF(ABS(G304/G292-1)&lt;0.0005,0,(G304/G292-1))</f>
        <v>-0.0269539129663922</v>
      </c>
      <c r="AG304" s="57" t="n">
        <f aca="false">(G304/1.2)-57.95</f>
        <v>56.4633841666667</v>
      </c>
      <c r="AH304" s="163" t="n">
        <f aca="false">IF(ABS(AG304-AG303)&lt;0.05,0,AG304-AG303)</f>
        <v>-1.22323666666667</v>
      </c>
      <c r="AI304" s="164" t="n">
        <f aca="false">IF(ABS(AG304/AG303-1)&lt;0.0005,0,(AG304/AG303-1))</f>
        <v>-0.0212048590989722</v>
      </c>
      <c r="AJ304" s="163" t="n">
        <f aca="false">IF(ABS(AG304-AG292)&lt;0.05,0,AG304-AG292)</f>
        <v>-3.16931380755064</v>
      </c>
      <c r="AK304" s="155" t="n">
        <f aca="false">IF(ABS(AG304/AG292-1)&lt;0.0005,0,(AG304/AG292-1))</f>
        <v>-0.0531472483254224</v>
      </c>
      <c r="AL304" s="185"/>
      <c r="AM304" s="156" t="n">
        <f aca="false">IF(E304="..","",A304)</f>
        <v>41579</v>
      </c>
      <c r="AN304" s="57" t="n">
        <f aca="false">IF(ABS(E304-E303)&lt;0.05,0,E304-E303)</f>
        <v>-3.29371274254854</v>
      </c>
      <c r="AO304" s="164" t="n">
        <f aca="false">IF(ABS(E304/E303-1)&lt;0.0005,0,(E304/E303-1))</f>
        <v>-0.0236120162355084</v>
      </c>
      <c r="AP304" s="163" t="n">
        <f aca="false">IF(ABS(E304-E292)&lt;0.05,0,E304-E292)</f>
        <v>-6.07652078706695</v>
      </c>
      <c r="AQ304" s="164" t="n">
        <f aca="false">IF(ABS(E304/E292-1)&lt;0.0005,0,(E304/E292-1))</f>
        <v>-0.0427094225211171</v>
      </c>
      <c r="AR304" s="57" t="n">
        <f aca="false">(E304/1.2)-57.95</f>
        <v>55.5494682269787</v>
      </c>
      <c r="AS304" s="163" t="n">
        <f aca="false">IF(ABS(AR304-AR303)&lt;0.05,0,AR304-AR303)</f>
        <v>-2.74476061879045</v>
      </c>
      <c r="AT304" s="164" t="n">
        <f aca="false">IF(ABS(AR304/AR303-1)&lt;0.0005,0,(AR304/AR303-1))</f>
        <v>-0.0470846029381802</v>
      </c>
      <c r="AU304" s="163" t="n">
        <f aca="false">IF(ABS(AR304-AR292)&lt;0.05,0,AR304-AR292)</f>
        <v>-5.06376732255581</v>
      </c>
      <c r="AV304" s="155" t="n">
        <f aca="false">IF(ABS(AR304/AR292-1)&lt;0.0005,0,(AR304/AR292-1))</f>
        <v>-0.0835422705395355</v>
      </c>
      <c r="AW304" s="185"/>
      <c r="AX304" s="163" t="n">
        <f aca="false">IF(ABS(H304-H303)&lt;0.05,0,H304-H303)</f>
        <v>-0.0769116225101527</v>
      </c>
      <c r="AY304" s="164" t="n">
        <f aca="false">IF(ABS(H304/H303-1)&lt;0.0005,0,(H304/H303-1))</f>
        <v>-0.00141283198585396</v>
      </c>
      <c r="AZ304" s="163" t="n">
        <f aca="false">IF(ABS(H304-H292)&lt;0.05,0,H304-H292)</f>
        <v>-3.38465409785928</v>
      </c>
      <c r="BA304" s="164" t="n">
        <f aca="false">IF(ABS(H304/H292-1)&lt;0.0005,0,(H304/H292-1))</f>
        <v>-0.058613140020172</v>
      </c>
      <c r="BB304" s="57" t="n">
        <f aca="false">(H304/1.05)</f>
        <v>51.7723807682036</v>
      </c>
      <c r="BC304" s="163" t="n">
        <f aca="false">IF(ABS(BB304-BB303)&lt;0.05,0,BB304-BB303)</f>
        <v>-0.0732491642953903</v>
      </c>
      <c r="BD304" s="164" t="n">
        <f aca="false">IF(ABS(BB304/BB303-1)&lt;0.0005,0,(BB304/BB303-1))</f>
        <v>-0.00141283198585407</v>
      </c>
      <c r="BE304" s="163" t="n">
        <f aca="false">IF(ABS(BB304-BB292)&lt;0.05,0,BB304-BB292)</f>
        <v>-3.22348009319931</v>
      </c>
      <c r="BF304" s="155" t="n">
        <f aca="false">IF(ABS(BB304/BB292-1)&lt;0.0005,0,(BB304/BB292-1))</f>
        <v>-0.0586131400201722</v>
      </c>
      <c r="BG304" s="162"/>
      <c r="BH304" s="163" t="n">
        <f aca="false">IF(ABS(I304-I303)&lt;0.05,0,I304-I303)</f>
        <v>-0.576959822840877</v>
      </c>
      <c r="BI304" s="164" t="n">
        <f aca="false">IF(ABS(I304/I303-1)&lt;0.0005,0,(I304/I303-1))</f>
        <v>-0.0084980021119081</v>
      </c>
      <c r="BJ304" s="163" t="n">
        <f aca="false">IF(ABS(I304-I292)&lt;0.05,0,I304-I292)</f>
        <v>-2.6931638738662</v>
      </c>
      <c r="BK304" s="164" t="n">
        <f aca="false">IF(ABS(I304/I292-1)&lt;0.0005,0,(I304/I292-1))</f>
        <v>-0.0384683904488572</v>
      </c>
      <c r="BL304" s="57" t="n">
        <f aca="false">(I304/1.05)-11.14</f>
        <v>52.9710709389735</v>
      </c>
      <c r="BM304" s="163" t="n">
        <f aca="false">IF(ABS(BL304-BL303)&lt;0.05,0,BL304-BL303)</f>
        <v>-0.549485545562746</v>
      </c>
      <c r="BN304" s="164" t="n">
        <f aca="false">IF(ABS(BL304/BL303-1)&lt;0.0005,0,(BL304/BL303-1))</f>
        <v>-0.0102668130089699</v>
      </c>
      <c r="BO304" s="163" t="n">
        <f aca="false">IF(ABS(BL304-BL292)&lt;0.05,0,BL304-BL292)</f>
        <v>-2.56491797511066</v>
      </c>
      <c r="BP304" s="155" t="n">
        <f aca="false">IF(ABS(BL304/BL292-1)&lt;0.0005,0,(BL304/BL292-1))</f>
        <v>-0.0461847898140189</v>
      </c>
      <c r="BQ304" s="162"/>
    </row>
    <row r="305" customFormat="false" ht="12.75" hidden="false" customHeight="true" outlineLevel="0" collapsed="false">
      <c r="A305" s="156" t="n">
        <v>41609</v>
      </c>
      <c r="B305" s="73" t="n">
        <v>2013</v>
      </c>
      <c r="C305" s="157" t="s">
        <v>70</v>
      </c>
      <c r="D305" s="159"/>
      <c r="E305" s="159" t="n">
        <v>138.547773554711</v>
      </c>
      <c r="F305" s="159" t="n">
        <v>130.790698</v>
      </c>
      <c r="G305" s="159" t="n">
        <v>138.766031</v>
      </c>
      <c r="H305" s="159" t="n">
        <v>54.7222181396248</v>
      </c>
      <c r="I305" s="159" t="n">
        <v>67.7117858272698</v>
      </c>
      <c r="J305" s="159"/>
      <c r="K305" s="159" t="n">
        <v>131.780589207645</v>
      </c>
      <c r="L305" s="159"/>
      <c r="M305" s="160" t="n">
        <f aca="false">G305-F305</f>
        <v>7.97533300000001</v>
      </c>
      <c r="N305" s="75"/>
      <c r="O305" s="77" t="n">
        <v>230.604983824625</v>
      </c>
      <c r="P305" s="76"/>
      <c r="Q305" s="183"/>
      <c r="R305" s="162"/>
      <c r="S305" s="57" t="n">
        <f aca="false">IF(ABS(F305-F304)&lt;0.05,0,F305-F304)</f>
        <v>1.06052899999997</v>
      </c>
      <c r="T305" s="178" t="n">
        <f aca="false">IF((ABS(G305/G304-1))&lt;0.0005,0,(G305/G304-1))</f>
        <v>0.0107065708170608</v>
      </c>
      <c r="U305" s="163" t="n">
        <f aca="false">IF(ABS(F305-F293)&lt;0.05,0,F305-F293)</f>
        <v>-0.761578000000014</v>
      </c>
      <c r="V305" s="164" t="n">
        <f aca="false">IF(ABS(F305/F293-1)&lt;0.0005,0,(F305/F293-1))</f>
        <v>-0.00578916627789861</v>
      </c>
      <c r="W305" s="57" t="n">
        <f aca="false">(F305/1.2)-57.95</f>
        <v>51.0422483333333</v>
      </c>
      <c r="X305" s="163" t="n">
        <f aca="false">IF(ABS(W305-W304)&lt;0.05,0,W305-W304)</f>
        <v>0.883774166666655</v>
      </c>
      <c r="Y305" s="184" t="n">
        <f aca="false">IF(ABS(W305/W304-1)&lt;0.0005,0,(W305/W304-1))</f>
        <v>0.0176196381837703</v>
      </c>
      <c r="Z305" s="163" t="n">
        <f aca="false">IF(ABS(W305-W293)&lt;0.05,0,W305-W293)</f>
        <v>-0.634648333333345</v>
      </c>
      <c r="AA305" s="155" t="n">
        <f aca="false">IF(ABS(W305/W293-1)&lt;0.0005,0,(W305/W293-1))</f>
        <v>-0.0122810844743065</v>
      </c>
      <c r="AB305" s="185"/>
      <c r="AC305" s="57" t="n">
        <f aca="false">IF(ABS(G305-G304)&lt;0.05,0,G305-G304)</f>
        <v>1.46996999999999</v>
      </c>
      <c r="AD305" s="164" t="n">
        <f aca="false">IF(ABS(G305/G304-1)&lt;0.0005,0,(G305/G304-1))</f>
        <v>0.0107065708170608</v>
      </c>
      <c r="AE305" s="163" t="n">
        <f aca="false">IF(ABS(G305-G293)&lt;0.05,0,G305-G293)</f>
        <v>-0.895207573581132</v>
      </c>
      <c r="AF305" s="164" t="n">
        <f aca="false">IF(ABS(G305/G293-1)&lt;0.0005,0,(G305/G293-1))</f>
        <v>-0.0064098498819305</v>
      </c>
      <c r="AG305" s="57" t="n">
        <f aca="false">(G305/1.2)-57.95</f>
        <v>57.6883591666667</v>
      </c>
      <c r="AH305" s="163" t="n">
        <f aca="false">IF(ABS(AG305-AG304)&lt;0.05,0,AG305-AG304)</f>
        <v>1.224975</v>
      </c>
      <c r="AI305" s="164" t="n">
        <f aca="false">IF(ABS(AG305/AG304-1)&lt;0.0005,0,(AG305/AG304-1))</f>
        <v>0.0216950333048433</v>
      </c>
      <c r="AJ305" s="163" t="n">
        <f aca="false">IF(ABS(AG305-AG293)&lt;0.05,0,AG305-AG293)</f>
        <v>-0.746006311317601</v>
      </c>
      <c r="AK305" s="155" t="n">
        <f aca="false">IF(ABS(AG305/AG293-1)&lt;0.0005,0,(AG305/AG293-1))</f>
        <v>-0.0127665681866378</v>
      </c>
      <c r="AL305" s="185"/>
      <c r="AM305" s="156" t="n">
        <f aca="false">IF(E305="..","",A305)</f>
        <v>41609</v>
      </c>
      <c r="AN305" s="57" t="n">
        <f aca="false">IF(ABS(E305-E304)&lt;0.05,0,E305-E304)</f>
        <v>2.34841168233649</v>
      </c>
      <c r="AO305" s="164" t="n">
        <f aca="false">IF(ABS(E305/E304-1)&lt;0.0005,0,(E305/E304-1))</f>
        <v>0.017242457307084</v>
      </c>
      <c r="AP305" s="163" t="n">
        <f aca="false">IF(ABS(E305-E293)&lt;0.05,0,E305-E293)</f>
        <v>-0.856045744997232</v>
      </c>
      <c r="AQ305" s="164" t="n">
        <f aca="false">IF(ABS(E305/E293-1)&lt;0.0005,0,(E305/E293-1))</f>
        <v>-0.00614076249343498</v>
      </c>
      <c r="AR305" s="57" t="n">
        <f aca="false">(E305/1.2)-57.95</f>
        <v>57.5064779622591</v>
      </c>
      <c r="AS305" s="163" t="n">
        <f aca="false">IF(ABS(AR305-AR304)&lt;0.05,0,AR305-AR304)</f>
        <v>1.95700973528041</v>
      </c>
      <c r="AT305" s="164" t="n">
        <f aca="false">IF(ABS(AR305/AR304-1)&lt;0.0005,0,(AR305/AR304-1))</f>
        <v>0.0352300354574762</v>
      </c>
      <c r="AU305" s="163" t="n">
        <f aca="false">IF(ABS(AR305-AR293)&lt;0.05,0,AR305-AR293)</f>
        <v>-0.71337145416436</v>
      </c>
      <c r="AV305" s="155" t="n">
        <f aca="false">IF(ABS(AR305/AR293-1)&lt;0.0005,0,(AR305/AR293-1))</f>
        <v>-0.0122530625090062</v>
      </c>
      <c r="AW305" s="185"/>
      <c r="AX305" s="163" t="n">
        <f aca="false">IF(ABS(H305-H304)&lt;0.05,0,H305-H304)</f>
        <v>0.361218333011017</v>
      </c>
      <c r="AY305" s="164" t="n">
        <f aca="false">IF(ABS(H305/H304-1)&lt;0.0005,0,(H305/H304-1))</f>
        <v>0.00664480664991496</v>
      </c>
      <c r="AZ305" s="163" t="n">
        <f aca="false">IF(ABS(H305-H293)&lt;0.05,0,H305-H293)</f>
        <v>-2.45477958592482</v>
      </c>
      <c r="BA305" s="164" t="n">
        <f aca="false">IF(ABS(H305/H293-1)&lt;0.0005,0,(H305/H293-1))</f>
        <v>-0.0429329919998213</v>
      </c>
      <c r="BB305" s="57" t="n">
        <f aca="false">(H305/1.05)</f>
        <v>52.1163982282141</v>
      </c>
      <c r="BC305" s="163" t="n">
        <f aca="false">IF(ABS(BB305-BB304)&lt;0.05,0,BB305-BB304)</f>
        <v>0.344017460010498</v>
      </c>
      <c r="BD305" s="164" t="n">
        <f aca="false">IF(ABS(BB305/BB304-1)&lt;0.0005,0,(BB305/BB304-1))</f>
        <v>0.00664480664991518</v>
      </c>
      <c r="BE305" s="163" t="n">
        <f aca="false">IF(ABS(BB305-BB293)&lt;0.05,0,BB305-BB293)</f>
        <v>-2.3378853199284</v>
      </c>
      <c r="BF305" s="155" t="n">
        <f aca="false">IF(ABS(BB305/BB293-1)&lt;0.0005,0,(BB305/BB293-1))</f>
        <v>-0.0429329919998211</v>
      </c>
      <c r="BG305" s="162"/>
      <c r="BH305" s="163" t="n">
        <f aca="false">IF(ABS(I305-I304)&lt;0.05,0,I305-I304)</f>
        <v>0.395161341347659</v>
      </c>
      <c r="BI305" s="164" t="n">
        <f aca="false">IF(ABS(I305/I304-1)&lt;0.0005,0,(I305/I304-1))</f>
        <v>0.00587018948685247</v>
      </c>
      <c r="BJ305" s="163" t="n">
        <f aca="false">IF(ABS(I305-I293)&lt;0.05,0,I305-I293)</f>
        <v>-1.02671986456919</v>
      </c>
      <c r="BK305" s="164" t="n">
        <f aca="false">IF(ABS(I305/I293-1)&lt;0.0005,0,(I305/I293-1))</f>
        <v>-0.0149366043709485</v>
      </c>
      <c r="BL305" s="57" t="n">
        <f aca="false">(I305/1.05)-11.14</f>
        <v>53.3474150735903</v>
      </c>
      <c r="BM305" s="163" t="n">
        <f aca="false">IF(ABS(BL305-BL304)&lt;0.05,0,BL305-BL304)</f>
        <v>0.376344134616815</v>
      </c>
      <c r="BN305" s="164" t="n">
        <f aca="false">IF(ABS(BL305/BL304-1)&lt;0.0005,0,(BL305/BL304-1))</f>
        <v>0.00710471070238294</v>
      </c>
      <c r="BO305" s="163" t="n">
        <f aca="false">IF(ABS(BL305-BL293)&lt;0.05,0,BL305-BL293)</f>
        <v>-0.97782844244685</v>
      </c>
      <c r="BP305" s="155" t="n">
        <f aca="false">IF(ABS(BL305/BL293-1)&lt;0.0005,0,(BL305/BL293-1))</f>
        <v>-0.017999522490096</v>
      </c>
      <c r="BQ305" s="162"/>
    </row>
    <row r="306" customFormat="false" ht="12.75" hidden="false" customHeight="true" outlineLevel="0" collapsed="false">
      <c r="A306" s="156" t="n">
        <v>41640</v>
      </c>
      <c r="B306" s="73" t="n">
        <v>2014</v>
      </c>
      <c r="C306" s="157" t="s">
        <v>59</v>
      </c>
      <c r="D306" s="159"/>
      <c r="E306" s="159" t="n">
        <v>137.771648329666</v>
      </c>
      <c r="F306" s="159" t="n">
        <v>130.163805</v>
      </c>
      <c r="G306" s="159" t="n">
        <v>138.106687</v>
      </c>
      <c r="H306" s="159" t="n">
        <v>55.6681879713789</v>
      </c>
      <c r="I306" s="159" t="n">
        <v>66.6757023093958</v>
      </c>
      <c r="J306" s="159"/>
      <c r="K306" s="159" t="n">
        <v>128.80818319472</v>
      </c>
      <c r="L306" s="159"/>
      <c r="M306" s="160" t="n">
        <f aca="false">G306-F306</f>
        <v>7.942882</v>
      </c>
      <c r="N306" s="75"/>
      <c r="O306" s="77" t="n">
        <v>223.499216055689</v>
      </c>
      <c r="P306" s="76"/>
      <c r="Q306" s="183"/>
      <c r="R306" s="162"/>
      <c r="S306" s="57" t="n">
        <f aca="false">IF(ABS(F306-F305)&lt;0.05,0,F306-F305)</f>
        <v>-0.626892999999996</v>
      </c>
      <c r="T306" s="178" t="n">
        <f aca="false">IF((ABS(G306/G305-1))&lt;0.0005,0,(G306/G305-1))</f>
        <v>-0.00475147984883995</v>
      </c>
      <c r="U306" s="163" t="n">
        <f aca="false">IF(ABS(F306-F294)&lt;0.05,0,F306-F294)</f>
        <v>-1.545773</v>
      </c>
      <c r="V306" s="164" t="n">
        <f aca="false">IF(ABS(F306/F294-1)&lt;0.0005,0,(F306/F294-1))</f>
        <v>-0.0117362231621454</v>
      </c>
      <c r="W306" s="57" t="n">
        <f aca="false">(F306/1.2)-57.95</f>
        <v>50.5198375</v>
      </c>
      <c r="X306" s="163" t="n">
        <f aca="false">IF(ABS(W306-W305)&lt;0.05,0,W306-W305)</f>
        <v>-0.522410833333339</v>
      </c>
      <c r="Y306" s="184" t="n">
        <f aca="false">IF(ABS(W306/W305-1)&lt;0.0005,0,(W306/W305-1))</f>
        <v>-0.0102348711193464</v>
      </c>
      <c r="Z306" s="163" t="n">
        <f aca="false">IF(ABS(W306-W294)&lt;0.05,0,W306-W294)</f>
        <v>-1.28814416666667</v>
      </c>
      <c r="AA306" s="155" t="n">
        <f aca="false">IF(ABS(W306/W294-1)&lt;0.0005,0,(W306/W294-1))</f>
        <v>-0.0248638168333715</v>
      </c>
      <c r="AB306" s="185"/>
      <c r="AC306" s="57" t="n">
        <f aca="false">IF(ABS(G306-G305)&lt;0.05,0,G306-G305)</f>
        <v>-0.659344000000004</v>
      </c>
      <c r="AD306" s="164" t="n">
        <f aca="false">IF(ABS(G306/G305-1)&lt;0.0005,0,(G306/G305-1))</f>
        <v>-0.00475147984883995</v>
      </c>
      <c r="AE306" s="163" t="n">
        <f aca="false">IF(ABS(G306-G294)&lt;0.05,0,G306-G294)</f>
        <v>-1.35163545102967</v>
      </c>
      <c r="AF306" s="164" t="n">
        <f aca="false">IF(ABS(G306/G294-1)&lt;0.0005,0,(G306/G294-1))</f>
        <v>-0.00969203864835166</v>
      </c>
      <c r="AG306" s="57" t="n">
        <f aca="false">(G306/1.2)-57.95</f>
        <v>57.1389058333333</v>
      </c>
      <c r="AH306" s="163" t="n">
        <f aca="false">IF(ABS(AG306-AG305)&lt;0.05,0,AG306-AG305)</f>
        <v>-0.549453333333346</v>
      </c>
      <c r="AI306" s="164" t="n">
        <f aca="false">IF(ABS(AG306/AG305-1)&lt;0.0005,0,(AG306/AG305-1))</f>
        <v>-0.00952450964580098</v>
      </c>
      <c r="AJ306" s="163" t="n">
        <f aca="false">IF(ABS(AG306-AG294)&lt;0.05,0,AG306-AG294)</f>
        <v>-1.12636287585806</v>
      </c>
      <c r="AK306" s="155" t="n">
        <f aca="false">IF(ABS(AG306/AG294-1)&lt;0.0005,0,(AG306/AG294-1))</f>
        <v>-0.0193316344507029</v>
      </c>
      <c r="AL306" s="185"/>
      <c r="AM306" s="156" t="n">
        <f aca="false">IF(E306="..","",A306)</f>
        <v>41640</v>
      </c>
      <c r="AN306" s="57" t="n">
        <f aca="false">IF(ABS(E306-E305)&lt;0.05,0,E306-E305)</f>
        <v>-0.776125225045007</v>
      </c>
      <c r="AO306" s="164" t="n">
        <f aca="false">IF(ABS(E306/E305-1)&lt;0.0005,0,(E306/E305-1))</f>
        <v>-0.00560185995871321</v>
      </c>
      <c r="AP306" s="163" t="n">
        <f aca="false">IF(ABS(E306-E294)&lt;0.05,0,E306-E294)</f>
        <v>-1.5798981480331</v>
      </c>
      <c r="AQ306" s="164" t="n">
        <f aca="false">IF(ABS(E306/E294-1)&lt;0.0005,0,(E306/E294-1))</f>
        <v>-0.0113374999271065</v>
      </c>
      <c r="AR306" s="57" t="n">
        <f aca="false">(E306/1.2)-57.95</f>
        <v>56.8597069413883</v>
      </c>
      <c r="AS306" s="163" t="n">
        <f aca="false">IF(ABS(AR306-AR305)&lt;0.05,0,AR306-AR305)</f>
        <v>-0.64677102087083</v>
      </c>
      <c r="AT306" s="164" t="n">
        <f aca="false">IF(ABS(AR306/AR305-1)&lt;0.0005,0,(AR306/AR305-1))</f>
        <v>-0.011246924586397</v>
      </c>
      <c r="AU306" s="163" t="n">
        <f aca="false">IF(ABS(AR306-AR294)&lt;0.05,0,AR306-AR294)</f>
        <v>-1.31658179002757</v>
      </c>
      <c r="AV306" s="155" t="n">
        <f aca="false">IF(ABS(AR306/AR294-1)&lt;0.0005,0,(AR306/AR294-1))</f>
        <v>-0.0226309002986744</v>
      </c>
      <c r="AW306" s="185"/>
      <c r="AX306" s="163" t="n">
        <f aca="false">IF(ABS(H306-H305)&lt;0.05,0,H306-H305)</f>
        <v>0.945969831754027</v>
      </c>
      <c r="AY306" s="164" t="n">
        <f aca="false">IF(ABS(H306/H305-1)&lt;0.0005,0,(H306/H305-1))</f>
        <v>0.0172867596364674</v>
      </c>
      <c r="AZ306" s="163" t="n">
        <f aca="false">IF(ABS(H306-H294)&lt;0.05,0,H306-H294)</f>
        <v>-2.18430255174473</v>
      </c>
      <c r="BA306" s="164" t="n">
        <f aca="false">IF(ABS(H306/H294-1)&lt;0.0005,0,(H306/H294-1))</f>
        <v>-0.0377564134576309</v>
      </c>
      <c r="BB306" s="57" t="n">
        <f aca="false">(H306/1.05)</f>
        <v>53.0173218775037</v>
      </c>
      <c r="BC306" s="163" t="n">
        <f aca="false">IF(ABS(BB306-BB305)&lt;0.05,0,BB306-BB305)</f>
        <v>0.900923649289545</v>
      </c>
      <c r="BD306" s="164" t="n">
        <f aca="false">IF(ABS(BB306/BB305-1)&lt;0.0005,0,(BB306/BB305-1))</f>
        <v>0.0172867596364672</v>
      </c>
      <c r="BE306" s="163" t="n">
        <f aca="false">IF(ABS(BB306-BB294)&lt;0.05,0,BB306-BB294)</f>
        <v>-2.08028814451879</v>
      </c>
      <c r="BF306" s="155" t="n">
        <f aca="false">IF(ABS(BB306/BB294-1)&lt;0.0005,0,(BB306/BB294-1))</f>
        <v>-0.0377564134576309</v>
      </c>
      <c r="BG306" s="162"/>
      <c r="BH306" s="163" t="n">
        <f aca="false">IF(ABS(I306-I305)&lt;0.05,0,I306-I305)</f>
        <v>-1.03608351787408</v>
      </c>
      <c r="BI306" s="164" t="n">
        <f aca="false">IF(ABS(I306/I305-1)&lt;0.0005,0,(I306/I305-1))</f>
        <v>-0.0153013763440989</v>
      </c>
      <c r="BJ306" s="163" t="n">
        <f aca="false">IF(ABS(I306-I294)&lt;0.05,0,I306-I294)</f>
        <v>-2.31051542348864</v>
      </c>
      <c r="BK306" s="164" t="n">
        <f aca="false">IF(ABS(I306/I294-1)&lt;0.0005,0,(I306/I294-1))</f>
        <v>-0.033492420651832</v>
      </c>
      <c r="BL306" s="57" t="n">
        <f aca="false">(I306/1.05)-11.14</f>
        <v>52.3606688660912</v>
      </c>
      <c r="BM306" s="163" t="n">
        <f aca="false">IF(ABS(BL306-BL305)&lt;0.05,0,BL306-BL305)</f>
        <v>-0.986746207499117</v>
      </c>
      <c r="BN306" s="164" t="n">
        <f aca="false">IF(ABS(BL306/BL305-1)&lt;0.0005,0,(BL306/BL305-1))</f>
        <v>-0.0184966076826393</v>
      </c>
      <c r="BO306" s="163" t="n">
        <f aca="false">IF(ABS(BL306-BL294)&lt;0.05,0,BL306-BL294)</f>
        <v>-2.20049087951299</v>
      </c>
      <c r="BP306" s="155" t="n">
        <f aca="false">IF(ABS(BL306/BL294-1)&lt;0.0005,0,(BL306/BL294-1))</f>
        <v>-0.0403307204204045</v>
      </c>
      <c r="BQ306" s="162"/>
    </row>
    <row r="307" customFormat="false" ht="12.75" hidden="false" customHeight="true" outlineLevel="0" collapsed="false">
      <c r="A307" s="156" t="n">
        <v>41671</v>
      </c>
      <c r="B307" s="73" t="n">
        <v>2014</v>
      </c>
      <c r="C307" s="157" t="s">
        <v>60</v>
      </c>
      <c r="D307" s="159"/>
      <c r="E307" s="159" t="n">
        <v>136.33651130226</v>
      </c>
      <c r="F307" s="159" t="n">
        <v>128.996635</v>
      </c>
      <c r="G307" s="159" t="n">
        <v>136.65356</v>
      </c>
      <c r="H307" s="159" t="n">
        <v>52.86731386579</v>
      </c>
      <c r="I307" s="159" t="n">
        <v>65.8124928819994</v>
      </c>
      <c r="J307" s="159"/>
      <c r="K307" s="159" t="n">
        <v>128.529189630509</v>
      </c>
      <c r="L307" s="159"/>
      <c r="M307" s="160" t="n">
        <f aca="false">G307-F307</f>
        <v>7.65692499999997</v>
      </c>
      <c r="N307" s="75"/>
      <c r="O307" s="187"/>
      <c r="P307" s="76"/>
      <c r="Q307" s="183"/>
      <c r="R307" s="162"/>
      <c r="S307" s="57" t="n">
        <f aca="false">IF(ABS(F307-F306)&lt;0.05,0,F307-F306)</f>
        <v>-1.16716999999997</v>
      </c>
      <c r="T307" s="178" t="n">
        <f aca="false">IF((ABS(G307/G306-1))&lt;0.0005,0,(G307/G306-1))</f>
        <v>-0.0105217714765686</v>
      </c>
      <c r="U307" s="163" t="n">
        <f aca="false">IF(ABS(F307-F295)&lt;0.05,0,F307-F295)</f>
        <v>-7.36987599999998</v>
      </c>
      <c r="V307" s="164" t="n">
        <f aca="false">IF(ABS(F307/F295-1)&lt;0.0005,0,(F307/F295-1))</f>
        <v>-0.0540446180367552</v>
      </c>
      <c r="W307" s="57" t="n">
        <f aca="false">(F307/1.2)-57.95</f>
        <v>49.5471958333334</v>
      </c>
      <c r="X307" s="163" t="n">
        <f aca="false">IF(ABS(W307-W306)&lt;0.05,0,W307-W306)</f>
        <v>-0.972641666666632</v>
      </c>
      <c r="Y307" s="184" t="n">
        <f aca="false">IF(ABS(W307/W306-1)&lt;0.0005,0,(W307/W306-1))</f>
        <v>-0.0192526681556851</v>
      </c>
      <c r="Z307" s="163" t="n">
        <f aca="false">IF(ABS(W307-W295)&lt;0.05,0,W307-W295)</f>
        <v>-6.14156333333331</v>
      </c>
      <c r="AA307" s="155" t="n">
        <f aca="false">IF(ABS(W307/W295-1)&lt;0.0005,0,(W307/W295-1))</f>
        <v>-0.110283716592655</v>
      </c>
      <c r="AB307" s="185"/>
      <c r="AC307" s="57" t="n">
        <f aca="false">IF(ABS(G307-G306)&lt;0.05,0,G307-G306)</f>
        <v>-1.453127</v>
      </c>
      <c r="AD307" s="164" t="n">
        <f aca="false">IF(ABS(G307/G306-1)&lt;0.0005,0,(G307/G306-1))</f>
        <v>-0.0105217714765686</v>
      </c>
      <c r="AE307" s="163" t="n">
        <f aca="false">IF(ABS(G307-G295)&lt;0.05,0,G307-G295)</f>
        <v>-7.25045506780512</v>
      </c>
      <c r="AF307" s="164" t="n">
        <f aca="false">IF(ABS(G307/G295-1)&lt;0.0005,0,(G307/G295-1))</f>
        <v>-0.0503839664542287</v>
      </c>
      <c r="AG307" s="57" t="n">
        <f aca="false">(G307/1.2)-57.95</f>
        <v>55.9279666666667</v>
      </c>
      <c r="AH307" s="163" t="n">
        <f aca="false">IF(ABS(AG307-AG306)&lt;0.05,0,AG307-AG306)</f>
        <v>-1.21093916666666</v>
      </c>
      <c r="AI307" s="164" t="n">
        <f aca="false">IF(ABS(AG307/AG306-1)&lt;0.0005,0,(AG307/AG306-1))</f>
        <v>-0.0211929008616093</v>
      </c>
      <c r="AJ307" s="163" t="n">
        <f aca="false">IF(ABS(AG307-AG295)&lt;0.05,0,AG307-AG295)</f>
        <v>-6.04204588983761</v>
      </c>
      <c r="AK307" s="155" t="n">
        <f aca="false">IF(ABS(AG307/AG295-1)&lt;0.0005,0,(AG307/AG295-1))</f>
        <v>-0.0974995104983797</v>
      </c>
      <c r="AL307" s="185"/>
      <c r="AM307" s="156" t="n">
        <f aca="false">IF(E307="..","",A307)</f>
        <v>41671</v>
      </c>
      <c r="AN307" s="57" t="n">
        <f aca="false">IF(ABS(E307-E306)&lt;0.05,0,E307-E306)</f>
        <v>-1.43513702740549</v>
      </c>
      <c r="AO307" s="164" t="n">
        <f aca="false">IF(ABS(E307/E306-1)&lt;0.0005,0,(E307/E306-1))</f>
        <v>-0.0104167805553972</v>
      </c>
      <c r="AP307" s="163" t="n">
        <f aca="false">IF(ABS(E307-E295)&lt;0.05,0,E307-E295)</f>
        <v>-7.69666189490499</v>
      </c>
      <c r="AQ307" s="164" t="n">
        <f aca="false">IF(ABS(E307/E295-1)&lt;0.0005,0,(E307/E295-1))</f>
        <v>-0.0534367307479168</v>
      </c>
      <c r="AR307" s="57" t="n">
        <f aca="false">(E307/1.2)-57.95</f>
        <v>55.6637594185504</v>
      </c>
      <c r="AS307" s="163" t="n">
        <f aca="false">IF(ABS(AR307-AR306)&lt;0.05,0,AR307-AR306)</f>
        <v>-1.19594752283791</v>
      </c>
      <c r="AT307" s="164" t="n">
        <f aca="false">IF(ABS(AR307/AR306-1)&lt;0.0005,0,(AR307/AR306-1))</f>
        <v>-0.0210333043761677</v>
      </c>
      <c r="AU307" s="163" t="n">
        <f aca="false">IF(ABS(AR307-AR295)&lt;0.05,0,AR307-AR295)</f>
        <v>-6.41388491242083</v>
      </c>
      <c r="AV307" s="155" t="n">
        <f aca="false">IF(ABS(AR307/AR295-1)&lt;0.0005,0,(AR307/AR295-1))</f>
        <v>-0.103320365673426</v>
      </c>
      <c r="AW307" s="185"/>
      <c r="AX307" s="163" t="n">
        <f aca="false">IF(ABS(H307-H306)&lt;0.05,0,H307-H306)</f>
        <v>-2.80087410558887</v>
      </c>
      <c r="AY307" s="164" t="n">
        <f aca="false">IF(ABS(H307/H306-1)&lt;0.0005,0,(H307/H306-1))</f>
        <v>-0.0503137286780181</v>
      </c>
      <c r="AZ307" s="163" t="n">
        <f aca="false">IF(ABS(H307-H295)&lt;0.05,0,H307-H295)</f>
        <v>-11.725392730116</v>
      </c>
      <c r="BA307" s="164" t="n">
        <f aca="false">IF(ABS(H307/H295-1)&lt;0.0005,0,(H307/H295-1))</f>
        <v>-0.181528122106269</v>
      </c>
      <c r="BB307" s="57" t="n">
        <f aca="false">(H307/1.05)</f>
        <v>50.3498227293238</v>
      </c>
      <c r="BC307" s="163" t="n">
        <f aca="false">IF(ABS(BB307-BB306)&lt;0.05,0,BB307-BB306)</f>
        <v>-2.66749914817987</v>
      </c>
      <c r="BD307" s="164" t="n">
        <f aca="false">IF(ABS(BB307/BB306-1)&lt;0.0005,0,(BB307/BB306-1))</f>
        <v>-0.0503137286780181</v>
      </c>
      <c r="BE307" s="163" t="n">
        <f aca="false">IF(ABS(BB307-BB295)&lt;0.05,0,BB307-BB295)</f>
        <v>-11.1670406953486</v>
      </c>
      <c r="BF307" s="155" t="n">
        <f aca="false">IF(ABS(BB307/BB295-1)&lt;0.0005,0,(BB307/BB295-1))</f>
        <v>-0.181528122106269</v>
      </c>
      <c r="BG307" s="162"/>
      <c r="BH307" s="163" t="n">
        <f aca="false">IF(ABS(I307-I306)&lt;0.05,0,I307-I306)</f>
        <v>-0.863209427396399</v>
      </c>
      <c r="BI307" s="164" t="n">
        <f aca="false">IF(ABS(I307/I306-1)&lt;0.0005,0,(I307/I306-1))</f>
        <v>-0.0129463867270695</v>
      </c>
      <c r="BJ307" s="163" t="n">
        <f aca="false">IF(ABS(I307-I295)&lt;0.05,0,I307-I295)</f>
        <v>-8.73193713243066</v>
      </c>
      <c r="BK307" s="164" t="n">
        <f aca="false">IF(ABS(I307/I295-1)&lt;0.0005,0,(I307/I295-1))</f>
        <v>-0.117137351922073</v>
      </c>
      <c r="BL307" s="57" t="n">
        <f aca="false">(I307/1.05)-11.14</f>
        <v>51.5385646495232</v>
      </c>
      <c r="BM307" s="163" t="n">
        <f aca="false">IF(ABS(BL307-BL306)&lt;0.05,0,BL307-BL306)</f>
        <v>-0.822104216568</v>
      </c>
      <c r="BN307" s="164" t="n">
        <f aca="false">IF(ABS(BL307/BL306-1)&lt;0.0005,0,(BL307/BL306-1))</f>
        <v>-0.0157007966928474</v>
      </c>
      <c r="BO307" s="163" t="n">
        <f aca="false">IF(ABS(BL307-BL295)&lt;0.05,0,BL307-BL295)</f>
        <v>-8.31613060231491</v>
      </c>
      <c r="BP307" s="155" t="n">
        <f aca="false">IF(ABS(BL307/BL295-1)&lt;0.0005,0,(BL307/BL295-1))</f>
        <v>-0.138938650799655</v>
      </c>
      <c r="BQ307" s="162"/>
    </row>
    <row r="308" customFormat="false" ht="12.75" hidden="false" customHeight="true" outlineLevel="0" collapsed="false">
      <c r="A308" s="156" t="n">
        <v>41699</v>
      </c>
      <c r="B308" s="73" t="n">
        <v>2014</v>
      </c>
      <c r="C308" s="157" t="s">
        <v>61</v>
      </c>
      <c r="D308" s="159"/>
      <c r="E308" s="159" t="n">
        <v>136.261550310062</v>
      </c>
      <c r="F308" s="159" t="n">
        <v>128.617024</v>
      </c>
      <c r="G308" s="159" t="n">
        <v>136.030004</v>
      </c>
      <c r="H308" s="159" t="n">
        <v>51.5857300328757</v>
      </c>
      <c r="I308" s="159" t="n">
        <v>65.6022334704208</v>
      </c>
      <c r="J308" s="159"/>
      <c r="K308" s="159" t="n">
        <v>126.267060292361</v>
      </c>
      <c r="L308" s="159"/>
      <c r="M308" s="160" t="n">
        <f aca="false">G308-F308</f>
        <v>7.41298000000001</v>
      </c>
      <c r="N308" s="75"/>
      <c r="O308" s="187"/>
      <c r="P308" s="76"/>
      <c r="Q308" s="183"/>
      <c r="R308" s="162"/>
      <c r="S308" s="57" t="n">
        <f aca="false">IF(ABS(F308-F307)&lt;0.05,0,F308-F307)</f>
        <v>-0.379611000000011</v>
      </c>
      <c r="T308" s="178" t="n">
        <f aca="false">IF((ABS(G308/G307-1))&lt;0.0005,0,(G308/G307-1))</f>
        <v>-0.00456304248495232</v>
      </c>
      <c r="U308" s="163" t="n">
        <f aca="false">IF(ABS(F308-F296)&lt;0.05,0,F308-F296)</f>
        <v>-8.63284099999999</v>
      </c>
      <c r="V308" s="164" t="n">
        <f aca="false">IF(ABS(F308/F296-1)&lt;0.0005,0,(F308/F296-1))</f>
        <v>-0.0628987212482868</v>
      </c>
      <c r="W308" s="57" t="n">
        <f aca="false">(F308/1.2)-57.95</f>
        <v>49.2308533333333</v>
      </c>
      <c r="X308" s="163" t="n">
        <f aca="false">IF(ABS(W308-W307)&lt;0.05,0,W308-W307)</f>
        <v>-0.316342500000019</v>
      </c>
      <c r="Y308" s="184" t="n">
        <f aca="false">IF(ABS(W308/W307-1)&lt;0.0005,0,(W308/W307-1))</f>
        <v>-0.00638467010452282</v>
      </c>
      <c r="Z308" s="163" t="n">
        <f aca="false">IF(ABS(W308-W296)&lt;0.05,0,W308-W296)</f>
        <v>-7.19403416666665</v>
      </c>
      <c r="AA308" s="155" t="n">
        <f aca="false">IF(ABS(W308/W296-1)&lt;0.0005,0,(W308/W296-1))</f>
        <v>-0.127497536732646</v>
      </c>
      <c r="AB308" s="185"/>
      <c r="AC308" s="57" t="n">
        <f aca="false">IF(ABS(G308-G307)&lt;0.05,0,G308-G307)</f>
        <v>-0.623555999999979</v>
      </c>
      <c r="AD308" s="164" t="n">
        <f aca="false">IF(ABS(G308/G307-1)&lt;0.0005,0,(G308/G307-1))</f>
        <v>-0.00456304248495232</v>
      </c>
      <c r="AE308" s="163" t="n">
        <f aca="false">IF(ABS(G308-G296)&lt;0.05,0,G308-G296)</f>
        <v>-8.57950780311401</v>
      </c>
      <c r="AF308" s="164" t="n">
        <f aca="false">IF(ABS(G308/G296-1)&lt;0.0005,0,(G308/G296-1))</f>
        <v>-0.0593287930796351</v>
      </c>
      <c r="AG308" s="57" t="n">
        <f aca="false">(G308/1.2)-57.95</f>
        <v>55.4083366666667</v>
      </c>
      <c r="AH308" s="163" t="n">
        <f aca="false">IF(ABS(AG308-AG307)&lt;0.05,0,AG308-AG307)</f>
        <v>-0.519629999999978</v>
      </c>
      <c r="AI308" s="164" t="n">
        <f aca="false">IF(ABS(AG308/AG307-1)&lt;0.0005,0,(AG308/AG307-1))</f>
        <v>-0.0092910583196596</v>
      </c>
      <c r="AJ308" s="163" t="n">
        <f aca="false">IF(ABS(AG308-AG296)&lt;0.05,0,AG308-AG296)</f>
        <v>-7.14958983592834</v>
      </c>
      <c r="AK308" s="155" t="n">
        <f aca="false">IF(ABS(AG308/AG296-1)&lt;0.0005,0,(AG308/AG296-1))</f>
        <v>-0.114287512960196</v>
      </c>
      <c r="AL308" s="185"/>
      <c r="AM308" s="156" t="n">
        <f aca="false">IF(E308="..","",A308)</f>
        <v>41699</v>
      </c>
      <c r="AN308" s="57" t="n">
        <f aca="false">IF(ABS(E308-E307)&lt;0.05,0,E308-E307)</f>
        <v>-0.0749609921984416</v>
      </c>
      <c r="AO308" s="164" t="n">
        <f aca="false">IF(ABS(E308/E307-1)&lt;0.0005,0,(E308/E307-1))</f>
        <v>-0.000549823312056552</v>
      </c>
      <c r="AP308" s="163" t="n">
        <f aca="false">IF(ABS(E308-E296)&lt;0.05,0,E308-E296)</f>
        <v>-8.72608516305175</v>
      </c>
      <c r="AQ308" s="164" t="n">
        <f aca="false">IF(ABS(E308/E296-1)&lt;0.0005,0,(E308/E296-1))</f>
        <v>-0.0601850298101447</v>
      </c>
      <c r="AR308" s="57" t="n">
        <f aca="false">(E308/1.2)-57.95</f>
        <v>55.6012919250517</v>
      </c>
      <c r="AS308" s="163" t="n">
        <f aca="false">IF(ABS(AR308-AR307)&lt;0.05,0,AR308-AR307)</f>
        <v>-0.0624674934987013</v>
      </c>
      <c r="AT308" s="164" t="n">
        <f aca="false">IF(ABS(AR308/AR307-1)&lt;0.0005,0,(AR308/AR307-1))</f>
        <v>-0.00112222915144833</v>
      </c>
      <c r="AU308" s="163" t="n">
        <f aca="false">IF(ABS(AR308-AR296)&lt;0.05,0,AR308-AR296)</f>
        <v>-7.27173763587646</v>
      </c>
      <c r="AV308" s="155" t="n">
        <f aca="false">IF(ABS(AR308/AR296-1)&lt;0.0005,0,(AR308/AR296-1))</f>
        <v>-0.115657503490104</v>
      </c>
      <c r="AW308" s="185"/>
      <c r="AX308" s="163" t="n">
        <f aca="false">IF(ABS(H308-H307)&lt;0.05,0,H308-H307)</f>
        <v>-1.28158383291432</v>
      </c>
      <c r="AY308" s="164" t="n">
        <f aca="false">IF(ABS(H308/H307-1)&lt;0.0005,0,(H308/H307-1))</f>
        <v>-0.0242415159614081</v>
      </c>
      <c r="AZ308" s="163" t="n">
        <f aca="false">IF(ABS(H308-H296)&lt;0.05,0,H308-H296)</f>
        <v>-11.1397400201949</v>
      </c>
      <c r="BA308" s="164" t="n">
        <f aca="false">IF(ABS(H308/H296-1)&lt;0.0005,0,(H308/H296-1))</f>
        <v>-0.177595162073234</v>
      </c>
      <c r="BB308" s="57" t="n">
        <f aca="false">(H308/1.05)</f>
        <v>49.1292666979768</v>
      </c>
      <c r="BC308" s="163" t="n">
        <f aca="false">IF(ABS(BB308-BB307)&lt;0.05,0,BB308-BB307)</f>
        <v>-1.22055603134697</v>
      </c>
      <c r="BD308" s="164" t="n">
        <f aca="false">IF(ABS(BB308/BB307-1)&lt;0.0005,0,(BB308/BB307-1))</f>
        <v>-0.0242415159614081</v>
      </c>
      <c r="BE308" s="163" t="n">
        <f aca="false">IF(ABS(BB308-BB296)&lt;0.05,0,BB308-BB296)</f>
        <v>-10.6092762097094</v>
      </c>
      <c r="BF308" s="155" t="n">
        <f aca="false">IF(ABS(BB308/BB296-1)&lt;0.0005,0,(BB308/BB296-1))</f>
        <v>-0.177595162073234</v>
      </c>
      <c r="BG308" s="162"/>
      <c r="BH308" s="163" t="n">
        <f aca="false">IF(ABS(I308-I307)&lt;0.05,0,I308-I307)</f>
        <v>-0.210259411578605</v>
      </c>
      <c r="BI308" s="164" t="n">
        <f aca="false">IF(ABS(I308/I307-1)&lt;0.0005,0,(I308/I307-1))</f>
        <v>-0.00319482521282999</v>
      </c>
      <c r="BJ308" s="163" t="n">
        <f aca="false">IF(ABS(I308-I296)&lt;0.05,0,I308-I296)</f>
        <v>-7.07115116963055</v>
      </c>
      <c r="BK308" s="164" t="n">
        <f aca="false">IF(ABS(I308/I296-1)&lt;0.0005,0,(I308/I296-1))</f>
        <v>-0.0973004244215914</v>
      </c>
      <c r="BL308" s="57" t="n">
        <f aca="false">(I308/1.05)-11.14</f>
        <v>51.3383175908769</v>
      </c>
      <c r="BM308" s="163" t="n">
        <f aca="false">IF(ABS(BL308-BL307)&lt;0.05,0,BL308-BL307)</f>
        <v>-0.200247058646291</v>
      </c>
      <c r="BN308" s="164" t="n">
        <f aca="false">IF(ABS(BL308/BL307-1)&lt;0.0005,0,(BL308/BL307-1))</f>
        <v>-0.0038853829168124</v>
      </c>
      <c r="BO308" s="163" t="n">
        <f aca="false">IF(ABS(BL308-BL296)&lt;0.05,0,BL308-BL296)</f>
        <v>-6.73442968536244</v>
      </c>
      <c r="BP308" s="155" t="n">
        <f aca="false">IF(ABS(BL308/BL296-1)&lt;0.0005,0,(BL308/BL296-1))</f>
        <v>-0.115965405482338</v>
      </c>
      <c r="BQ308" s="162"/>
    </row>
    <row r="309" customFormat="false" ht="12.75" hidden="false" customHeight="true" outlineLevel="0" collapsed="false">
      <c r="A309" s="156" t="n">
        <v>41730</v>
      </c>
      <c r="B309" s="73" t="n">
        <v>2014</v>
      </c>
      <c r="C309" s="157" t="s">
        <v>62</v>
      </c>
      <c r="D309" s="159"/>
      <c r="E309" s="159" t="n">
        <v>136.344062812563</v>
      </c>
      <c r="F309" s="159" t="n">
        <v>128.794056</v>
      </c>
      <c r="G309" s="159" t="n">
        <v>135.867737</v>
      </c>
      <c r="H309" s="159" t="n">
        <v>51.3571030748404</v>
      </c>
      <c r="I309" s="159" t="n">
        <v>66.6939354634609</v>
      </c>
      <c r="J309" s="159"/>
      <c r="K309" s="159" t="n">
        <v>125.430280699805</v>
      </c>
      <c r="L309" s="159"/>
      <c r="M309" s="160" t="n">
        <f aca="false">G309-F309</f>
        <v>7.07368099999997</v>
      </c>
      <c r="N309" s="75"/>
      <c r="O309" s="187"/>
      <c r="P309" s="76"/>
      <c r="Q309" s="183"/>
      <c r="R309" s="162"/>
      <c r="S309" s="57" t="n">
        <f aca="false">IF(ABS(F309-F308)&lt;0.05,0,F309-F308)</f>
        <v>0.177031999999997</v>
      </c>
      <c r="T309" s="178" t="n">
        <f aca="false">IF((ABS(G309/G308-1))&lt;0.0005,0,(G309/G308-1))</f>
        <v>-0.00119287653626798</v>
      </c>
      <c r="U309" s="163" t="n">
        <f aca="false">IF(ABS(F309-F297)&lt;0.05,0,F309-F297)</f>
        <v>-8.01200700000001</v>
      </c>
      <c r="V309" s="164" t="n">
        <f aca="false">IF(ABS(F309/F297-1)&lt;0.0005,0,(F309/F297-1))</f>
        <v>-0.0585647070334888</v>
      </c>
      <c r="W309" s="57" t="n">
        <f aca="false">(F309/1.2)-57.95</f>
        <v>49.37838</v>
      </c>
      <c r="X309" s="163" t="n">
        <f aca="false">IF(ABS(W309-W308)&lt;0.05,0,W309-W308)</f>
        <v>0.147526666666664</v>
      </c>
      <c r="Y309" s="184" t="n">
        <f aca="false">IF(ABS(W309/W308-1)&lt;0.0005,0,(W309/W308-1))</f>
        <v>0.00299663029742314</v>
      </c>
      <c r="Z309" s="163" t="n">
        <f aca="false">IF(ABS(W309-W297)&lt;0.05,0,W309-W297)</f>
        <v>-6.67667250000001</v>
      </c>
      <c r="AA309" s="155" t="n">
        <f aca="false">IF(ABS(W309/W297-1)&lt;0.0005,0,(W309/W297-1))</f>
        <v>-0.119109200727267</v>
      </c>
      <c r="AB309" s="185"/>
      <c r="AC309" s="57" t="n">
        <f aca="false">IF(ABS(G309-G308)&lt;0.05,0,G309-G308)</f>
        <v>-0.162267000000043</v>
      </c>
      <c r="AD309" s="164" t="n">
        <f aca="false">IF(ABS(G309/G308-1)&lt;0.0005,0,(G309/G308-1))</f>
        <v>-0.00119287653626798</v>
      </c>
      <c r="AE309" s="163" t="n">
        <f aca="false">IF(ABS(G309-G297)&lt;0.05,0,G309-G297)</f>
        <v>-5.40549956454049</v>
      </c>
      <c r="AF309" s="164" t="n">
        <f aca="false">IF(ABS(G309/G297-1)&lt;0.0005,0,(G309/G297-1))</f>
        <v>-0.0382627289923453</v>
      </c>
      <c r="AG309" s="57" t="n">
        <f aca="false">(G309/1.2)-57.95</f>
        <v>55.2731141666666</v>
      </c>
      <c r="AH309" s="163" t="n">
        <f aca="false">IF(ABS(AG309-AG308)&lt;0.05,0,AG309-AG308)</f>
        <v>-0.13522250000004</v>
      </c>
      <c r="AI309" s="164" t="n">
        <f aca="false">IF(ABS(AG309/AG308-1)&lt;0.0005,0,(AG309/AG308-1))</f>
        <v>-0.0024404721046497</v>
      </c>
      <c r="AJ309" s="163" t="n">
        <f aca="false">IF(ABS(AG309-AG297)&lt;0.05,0,AG309-AG297)</f>
        <v>-4.50458297045041</v>
      </c>
      <c r="AK309" s="155" t="n">
        <f aca="false">IF(ABS(AG309/AG297-1)&lt;0.0005,0,(AG309/AG297-1))</f>
        <v>-0.075355578856072</v>
      </c>
      <c r="AL309" s="185"/>
      <c r="AM309" s="156" t="n">
        <f aca="false">IF(E309="..","",A309)</f>
        <v>41730</v>
      </c>
      <c r="AN309" s="57" t="n">
        <f aca="false">IF(ABS(E309-E308)&lt;0.05,0,E309-E308)</f>
        <v>0.0825125025004638</v>
      </c>
      <c r="AO309" s="164" t="n">
        <f aca="false">IF(ABS(E309/E308-1)&lt;0.0005,0,(E309/E308-1))</f>
        <v>0.000605545014809472</v>
      </c>
      <c r="AP309" s="163" t="n">
        <f aca="false">IF(ABS(E309-E297)&lt;0.05,0,E309-E297)</f>
        <v>-7.89425315242289</v>
      </c>
      <c r="AQ309" s="164" t="n">
        <f aca="false">IF(ABS(E309/E297-1)&lt;0.0005,0,(E309/E297-1))</f>
        <v>-0.0547306247969455</v>
      </c>
      <c r="AR309" s="57" t="n">
        <f aca="false">(E309/1.2)-57.95</f>
        <v>55.6700523438021</v>
      </c>
      <c r="AS309" s="163" t="n">
        <f aca="false">IF(ABS(AR309-AR308)&lt;0.05,0,AR309-AR308)</f>
        <v>0.0687604187503865</v>
      </c>
      <c r="AT309" s="164" t="n">
        <f aca="false">IF(ABS(AR309/AR308-1)&lt;0.0005,0,(AR309/AR308-1))</f>
        <v>0.00123666944363587</v>
      </c>
      <c r="AU309" s="163" t="n">
        <f aca="false">IF(ABS(AR309-AR297)&lt;0.05,0,AR309-AR297)</f>
        <v>-6.57854429368574</v>
      </c>
      <c r="AV309" s="155" t="n">
        <f aca="false">IF(ABS(AR309/AR297-1)&lt;0.0005,0,(AR309/AR297-1))</f>
        <v>-0.105681808892764</v>
      </c>
      <c r="AW309" s="185"/>
      <c r="AX309" s="163" t="n">
        <f aca="false">IF(ABS(H309-H308)&lt;0.05,0,H309-H308)</f>
        <v>-0.228626958035214</v>
      </c>
      <c r="AY309" s="164" t="n">
        <f aca="false">IF(ABS(H309/H308-1)&lt;0.0005,0,(H309/H308-1))</f>
        <v>-0.00443198066382911</v>
      </c>
      <c r="AZ309" s="163" t="n">
        <f aca="false">IF(ABS(H309-H297)&lt;0.05,0,H309-H297)</f>
        <v>-6.40101292212695</v>
      </c>
      <c r="BA309" s="164" t="n">
        <f aca="false">IF(ABS(H309/H297-1)&lt;0.0005,0,(H309/H297-1))</f>
        <v>-0.110824475688629</v>
      </c>
      <c r="BB309" s="57" t="n">
        <f aca="false">(H309/1.05)</f>
        <v>48.9115267379433</v>
      </c>
      <c r="BC309" s="163" t="n">
        <f aca="false">IF(ABS(BB309-BB308)&lt;0.05,0,BB309-BB308)</f>
        <v>-0.217739960033541</v>
      </c>
      <c r="BD309" s="164" t="n">
        <f aca="false">IF(ABS(BB309/BB308-1)&lt;0.0005,0,(BB309/BB308-1))</f>
        <v>-0.00443198066382922</v>
      </c>
      <c r="BE309" s="163" t="n">
        <f aca="false">IF(ABS(BB309-BB297)&lt;0.05,0,BB309-BB297)</f>
        <v>-6.09620278297805</v>
      </c>
      <c r="BF309" s="155" t="n">
        <f aca="false">IF(ABS(BB309/BB297-1)&lt;0.0005,0,(BB309/BB297-1))</f>
        <v>-0.110824475688629</v>
      </c>
      <c r="BG309" s="162"/>
      <c r="BH309" s="163" t="n">
        <f aca="false">IF(ABS(I309-I308)&lt;0.05,0,I309-I308)</f>
        <v>1.09170199304018</v>
      </c>
      <c r="BI309" s="164" t="n">
        <f aca="false">IF(ABS(I309/I308-1)&lt;0.0005,0,(I309/I308-1))</f>
        <v>0.0166412320936056</v>
      </c>
      <c r="BJ309" s="163" t="n">
        <f aca="false">IF(ABS(I309-I297)&lt;0.05,0,I309-I297)</f>
        <v>-3.10064526445314</v>
      </c>
      <c r="BK309" s="164" t="n">
        <f aca="false">IF(ABS(I309/I297-1)&lt;0.0005,0,(I309/I297-1))</f>
        <v>-0.0444253011066953</v>
      </c>
      <c r="BL309" s="57" t="n">
        <f aca="false">(I309/1.05)-11.14</f>
        <v>52.3780337747247</v>
      </c>
      <c r="BM309" s="163" t="n">
        <f aca="false">IF(ABS(BL309-BL308)&lt;0.05,0,BL309-BL308)</f>
        <v>1.03971618384779</v>
      </c>
      <c r="BN309" s="164" t="n">
        <f aca="false">IF(ABS(BL309/BL308-1)&lt;0.0005,0,(BL309/BL308-1))</f>
        <v>0.0202522449631763</v>
      </c>
      <c r="BO309" s="163" t="n">
        <f aca="false">IF(ABS(BL309-BL297)&lt;0.05,0,BL309-BL297)</f>
        <v>-2.95299548995536</v>
      </c>
      <c r="BP309" s="155" t="n">
        <f aca="false">IF(ABS(BL309/BL297-1)&lt;0.0005,0,(BL309/BL297-1))</f>
        <v>-0.0533696106723316</v>
      </c>
      <c r="BQ309" s="162"/>
    </row>
    <row r="310" customFormat="false" ht="12.75" hidden="false" customHeight="true" outlineLevel="0" collapsed="false">
      <c r="A310" s="156" t="n">
        <v>41760</v>
      </c>
      <c r="B310" s="73" t="n">
        <v>2014</v>
      </c>
      <c r="C310" s="157" t="s">
        <v>63</v>
      </c>
      <c r="D310" s="159"/>
      <c r="E310" s="159" t="n">
        <v>137.147823564713</v>
      </c>
      <c r="F310" s="159" t="n">
        <v>129.319133</v>
      </c>
      <c r="G310" s="159" t="n">
        <v>136.103889</v>
      </c>
      <c r="H310" s="159" t="n">
        <v>50.2687507251982</v>
      </c>
      <c r="I310" s="159" t="n">
        <v>63.7444463777286</v>
      </c>
      <c r="J310" s="159"/>
      <c r="K310" s="159" t="n">
        <v>126.616968799007</v>
      </c>
      <c r="L310" s="159"/>
      <c r="M310" s="160" t="n">
        <f aca="false">G310-F310</f>
        <v>6.78475600000004</v>
      </c>
      <c r="N310" s="75"/>
      <c r="O310" s="187"/>
      <c r="P310" s="76"/>
      <c r="Q310" s="183"/>
      <c r="R310" s="162"/>
      <c r="S310" s="57" t="n">
        <f aca="false">IF(ABS(F310-F309)&lt;0.05,0,F310-F309)</f>
        <v>0.525076999999953</v>
      </c>
      <c r="T310" s="178" t="n">
        <f aca="false">IF((ABS(G310/G309-1))&lt;0.0005,0,(G310/G309-1))</f>
        <v>0.00173810210734593</v>
      </c>
      <c r="U310" s="163" t="n">
        <f aca="false">IF(ABS(F310-F298)&lt;0.05,0,F310-F298)</f>
        <v>-3.42814600000006</v>
      </c>
      <c r="V310" s="164" t="n">
        <f aca="false">IF(ABS(F310/F298-1)&lt;0.0005,0,(F310/F298-1))</f>
        <v>-0.025824604661012</v>
      </c>
      <c r="W310" s="57" t="n">
        <f aca="false">(F310/1.2)-57.95</f>
        <v>49.8159441666666</v>
      </c>
      <c r="X310" s="163" t="n">
        <f aca="false">IF(ABS(W310-W309)&lt;0.05,0,W310-W309)</f>
        <v>0.437564166666633</v>
      </c>
      <c r="Y310" s="184" t="n">
        <f aca="false">IF(ABS(W310/W309-1)&lt;0.0005,0,(W310/W309-1))</f>
        <v>0.00886145245483205</v>
      </c>
      <c r="Z310" s="163" t="n">
        <f aca="false">IF(ABS(W310-W298)&lt;0.05,0,W310-W298)</f>
        <v>-2.85678833333338</v>
      </c>
      <c r="AA310" s="155" t="n">
        <f aca="false">IF(ABS(W310/W298-1)&lt;0.0005,0,(W310/W298-1))</f>
        <v>-0.0542365698102597</v>
      </c>
      <c r="AB310" s="185"/>
      <c r="AC310" s="57" t="n">
        <f aca="false">IF(ABS(G310-G309)&lt;0.05,0,G310-G309)</f>
        <v>0.236152000000033</v>
      </c>
      <c r="AD310" s="164" t="n">
        <f aca="false">IF(ABS(G310/G309-1)&lt;0.0005,0,(G310/G309-1))</f>
        <v>0.00173810210734593</v>
      </c>
      <c r="AE310" s="163" t="n">
        <f aca="false">IF(ABS(G310-G298)&lt;0.05,0,G310-G298)</f>
        <v>-1.84723606278251</v>
      </c>
      <c r="AF310" s="164" t="n">
        <f aca="false">IF(ABS(G310/G298-1)&lt;0.0005,0,(G310/G298-1))</f>
        <v>-0.0133905110374549</v>
      </c>
      <c r="AG310" s="57" t="n">
        <f aca="false">(G310/1.2)-57.95</f>
        <v>55.4699075</v>
      </c>
      <c r="AH310" s="163" t="n">
        <f aca="false">IF(ABS(AG310-AG309)&lt;0.05,0,AG310-AG309)</f>
        <v>0.19679333333336</v>
      </c>
      <c r="AI310" s="164" t="n">
        <f aca="false">IF(ABS(AG310/AG309-1)&lt;0.0005,0,(AG310/AG309-1))</f>
        <v>0.00356038078006549</v>
      </c>
      <c r="AJ310" s="163" t="n">
        <f aca="false">IF(ABS(AG310-AG298)&lt;0.05,0,AG310-AG298)</f>
        <v>-1.5393633856521</v>
      </c>
      <c r="AK310" s="155" t="n">
        <f aca="false">IF(ABS(AG310/AG298-1)&lt;0.0005,0,(AG310/AG298-1))</f>
        <v>-0.0270019833921349</v>
      </c>
      <c r="AL310" s="185"/>
      <c r="AM310" s="156" t="n">
        <f aca="false">IF(E310="..","",A310)</f>
        <v>41760</v>
      </c>
      <c r="AN310" s="57" t="n">
        <f aca="false">IF(ABS(E310-E309)&lt;0.05,0,E310-E309)</f>
        <v>0.803760752150453</v>
      </c>
      <c r="AO310" s="164" t="n">
        <f aca="false">IF(ABS(E310/E309-1)&lt;0.0005,0,(E310/E309-1))</f>
        <v>0.00589509169354452</v>
      </c>
      <c r="AP310" s="163" t="n">
        <f aca="false">IF(ABS(E310-E298)&lt;0.05,0,E310-E298)</f>
        <v>-3.39356138735039</v>
      </c>
      <c r="AQ310" s="164" t="n">
        <f aca="false">IF(ABS(E310/E298-1)&lt;0.0005,0,(E310/E298-1))</f>
        <v>-0.024146349408097</v>
      </c>
      <c r="AR310" s="57" t="n">
        <f aca="false">(E310/1.2)-57.95</f>
        <v>56.3398529705941</v>
      </c>
      <c r="AS310" s="163" t="n">
        <f aca="false">IF(ABS(AR310-AR309)&lt;0.05,0,AR310-AR309)</f>
        <v>0.669800626792039</v>
      </c>
      <c r="AT310" s="164" t="n">
        <f aca="false">IF(ABS(AR310/AR309-1)&lt;0.0005,0,(AR310/AR309-1))</f>
        <v>0.0120316148196797</v>
      </c>
      <c r="AU310" s="163" t="n">
        <f aca="false">IF(ABS(AR310-AR298)&lt;0.05,0,AR310-AR298)</f>
        <v>-2.82796782279199</v>
      </c>
      <c r="AV310" s="155" t="n">
        <f aca="false">IF(ABS(AR310/AR298-1)&lt;0.0005,0,(AR310/AR298-1))</f>
        <v>-0.0477957069378514</v>
      </c>
      <c r="AW310" s="185"/>
      <c r="AX310" s="163" t="n">
        <f aca="false">IF(ABS(H310-H309)&lt;0.05,0,H310-H309)</f>
        <v>-1.08835234964222</v>
      </c>
      <c r="AY310" s="164" t="n">
        <f aca="false">IF(ABS(H310/H309-1)&lt;0.0005,0,(H310/H309-1))</f>
        <v>-0.0211918563252334</v>
      </c>
      <c r="AZ310" s="163" t="n">
        <f aca="false">IF(ABS(H310-H298)&lt;0.05,0,H310-H298)</f>
        <v>-5.12336261824378</v>
      </c>
      <c r="BA310" s="164" t="n">
        <f aca="false">IF(ABS(H310/H298-1)&lt;0.0005,0,(H310/H298-1))</f>
        <v>-0.092492636749169</v>
      </c>
      <c r="BB310" s="57" t="n">
        <f aca="false">(H310/1.05)</f>
        <v>47.875000690665</v>
      </c>
      <c r="BC310" s="163" t="n">
        <f aca="false">IF(ABS(BB310-BB309)&lt;0.05,0,BB310-BB309)</f>
        <v>-1.0365260472783</v>
      </c>
      <c r="BD310" s="164" t="n">
        <f aca="false">IF(ABS(BB310/BB309-1)&lt;0.0005,0,(BB310/BB309-1))</f>
        <v>-0.0211918563252334</v>
      </c>
      <c r="BE310" s="163" t="n">
        <f aca="false">IF(ABS(BB310-BB298)&lt;0.05,0,BB310-BB298)</f>
        <v>-4.87939296975598</v>
      </c>
      <c r="BF310" s="155" t="n">
        <f aca="false">IF(ABS(BB310/BB298-1)&lt;0.0005,0,(BB310/BB298-1))</f>
        <v>-0.092492636749169</v>
      </c>
      <c r="BG310" s="162"/>
      <c r="BH310" s="163" t="n">
        <f aca="false">IF(ABS(I310-I309)&lt;0.05,0,I310-I309)</f>
        <v>-2.94948908573237</v>
      </c>
      <c r="BI310" s="164" t="n">
        <f aca="false">IF(ABS(I310/I309-1)&lt;0.0005,0,(I310/I309-1))</f>
        <v>-0.0442242471558494</v>
      </c>
      <c r="BJ310" s="163" t="n">
        <f aca="false">IF(ABS(I310-I298)&lt;0.05,0,I310-I298)</f>
        <v>-4.2125650059495</v>
      </c>
      <c r="BK310" s="164" t="n">
        <f aca="false">IF(ABS(I310/I298-1)&lt;0.0005,0,(I310/I298-1))</f>
        <v>-0.0619886737244197</v>
      </c>
      <c r="BL310" s="57" t="n">
        <f aca="false">(I310/1.05)-11.14</f>
        <v>49.5689965502177</v>
      </c>
      <c r="BM310" s="163" t="n">
        <f aca="false">IF(ABS(BL310-BL309)&lt;0.05,0,BL310-BL309)</f>
        <v>-2.80903722450702</v>
      </c>
      <c r="BN310" s="164" t="n">
        <f aca="false">IF(ABS(BL310/BL309-1)&lt;0.0005,0,(BL310/BL309-1))</f>
        <v>-0.0536300624912448</v>
      </c>
      <c r="BO310" s="163" t="n">
        <f aca="false">IF(ABS(BL310-BL298)&lt;0.05,0,BL310-BL298)</f>
        <v>-4.01196667233286</v>
      </c>
      <c r="BP310" s="155" t="n">
        <f aca="false">IF(ABS(BL310/BL298-1)&lt;0.0005,0,(BL310/BL298-1))</f>
        <v>-0.0748767179803955</v>
      </c>
      <c r="BQ310" s="162"/>
    </row>
    <row r="311" customFormat="false" ht="12.75" hidden="false" customHeight="true" outlineLevel="0" collapsed="false">
      <c r="A311" s="156" t="n">
        <v>41791</v>
      </c>
      <c r="B311" s="73" t="n">
        <v>2014</v>
      </c>
      <c r="C311" s="157" t="s">
        <v>64</v>
      </c>
      <c r="D311" s="159"/>
      <c r="E311" s="159" t="n">
        <v>137.35050810162</v>
      </c>
      <c r="F311" s="159" t="n">
        <v>129.69879</v>
      </c>
      <c r="G311" s="159" t="n">
        <v>135.413598</v>
      </c>
      <c r="H311" s="159" t="n">
        <v>51.6913092245214</v>
      </c>
      <c r="I311" s="159" t="n">
        <v>63.9336396709902</v>
      </c>
      <c r="J311" s="159"/>
      <c r="K311" s="159" t="n">
        <v>128.207125315508</v>
      </c>
      <c r="L311" s="159"/>
      <c r="M311" s="160" t="n">
        <f aca="false">G311-F311</f>
        <v>5.71480800000001</v>
      </c>
      <c r="N311" s="75"/>
      <c r="O311" s="187"/>
      <c r="P311" s="76"/>
      <c r="Q311" s="183"/>
      <c r="R311" s="162"/>
      <c r="S311" s="57" t="n">
        <f aca="false">IF(ABS(F311-F310)&lt;0.05,0,F311-F310)</f>
        <v>0.379657000000037</v>
      </c>
      <c r="T311" s="178" t="n">
        <f aca="false">IF((ABS(G311/G310-1))&lt;0.0005,0,(G311/G310-1))</f>
        <v>-0.00507179482578934</v>
      </c>
      <c r="U311" s="163" t="n">
        <f aca="false">IF(ABS(F311-F299)&lt;0.05,0,F311-F299)</f>
        <v>-4.36260199999998</v>
      </c>
      <c r="V311" s="164" t="n">
        <f aca="false">IF(ABS(F311/F299-1)&lt;0.0005,0,(F311/F299-1))</f>
        <v>-0.0325418223316671</v>
      </c>
      <c r="W311" s="57" t="n">
        <f aca="false">(F311/1.2)-57.95</f>
        <v>50.132325</v>
      </c>
      <c r="X311" s="163" t="n">
        <f aca="false">IF(ABS(W311-W310)&lt;0.05,0,W311-W310)</f>
        <v>0.316380833333369</v>
      </c>
      <c r="Y311" s="184" t="n">
        <f aca="false">IF(ABS(W311/W310-1)&lt;0.0005,0,(W311/W310-1))</f>
        <v>0.00635099542176443</v>
      </c>
      <c r="Z311" s="163" t="n">
        <f aca="false">IF(ABS(W311-W299)&lt;0.05,0,W311-W299)</f>
        <v>-3.63550166666664</v>
      </c>
      <c r="AA311" s="155" t="n">
        <f aca="false">IF(ABS(W311/W299-1)&lt;0.0005,0,(W311/W299-1))</f>
        <v>-0.0676148152538304</v>
      </c>
      <c r="AB311" s="185"/>
      <c r="AC311" s="57" t="n">
        <f aca="false">IF(ABS(G311-G310)&lt;0.05,0,G311-G310)</f>
        <v>-0.690291000000002</v>
      </c>
      <c r="AD311" s="164" t="n">
        <f aca="false">IF(ABS(G311/G310-1)&lt;0.0005,0,(G311/G310-1))</f>
        <v>-0.00507179482578934</v>
      </c>
      <c r="AE311" s="163" t="n">
        <f aca="false">IF(ABS(G311-G299)&lt;0.05,0,G311-G299)</f>
        <v>-3.84633871521848</v>
      </c>
      <c r="AF311" s="164" t="n">
        <f aca="false">IF(ABS(G311/G299-1)&lt;0.0005,0,(G311/G299-1))</f>
        <v>-0.0276198510924509</v>
      </c>
      <c r="AG311" s="57" t="n">
        <f aca="false">(G311/1.2)-57.95</f>
        <v>54.894665</v>
      </c>
      <c r="AH311" s="163" t="n">
        <f aca="false">IF(ABS(AG311-AG310)&lt;0.05,0,AG311-AG310)</f>
        <v>-0.575242500000002</v>
      </c>
      <c r="AI311" s="164" t="n">
        <f aca="false">IF(ABS(AG311/AG310-1)&lt;0.0005,0,(AG311/AG310-1))</f>
        <v>-0.010370352609656</v>
      </c>
      <c r="AJ311" s="163" t="n">
        <f aca="false">IF(ABS(AG311-AG299)&lt;0.05,0,AG311-AG299)</f>
        <v>-3.20528226268208</v>
      </c>
      <c r="AK311" s="155" t="n">
        <f aca="false">IF(ABS(AG311/AG299-1)&lt;0.0005,0,(AG311/AG299-1))</f>
        <v>-0.055168419485655</v>
      </c>
      <c r="AL311" s="185"/>
      <c r="AM311" s="156" t="n">
        <f aca="false">IF(E311="..","",A311)</f>
        <v>41791</v>
      </c>
      <c r="AN311" s="57" t="n">
        <f aca="false">IF(ABS(E311-E310)&lt;0.05,0,E311-E310)</f>
        <v>0.202684536907384</v>
      </c>
      <c r="AO311" s="164" t="n">
        <f aca="false">IF(ABS(E311/E310-1)&lt;0.0005,0,(E311/E310-1))</f>
        <v>0.00147785456334093</v>
      </c>
      <c r="AP311" s="163" t="n">
        <f aca="false">IF(ABS(E311-E299)&lt;0.05,0,E311-E299)</f>
        <v>-4.52626138566603</v>
      </c>
      <c r="AQ311" s="164" t="n">
        <f aca="false">IF(ABS(E311/E299-1)&lt;0.0005,0,(E311/E299-1))</f>
        <v>-0.0319027660555213</v>
      </c>
      <c r="AR311" s="57" t="n">
        <f aca="false">(E311/1.2)-57.95</f>
        <v>56.5087567513503</v>
      </c>
      <c r="AS311" s="163" t="n">
        <f aca="false">IF(ABS(AR311-AR310)&lt;0.05,0,AR311-AR310)</f>
        <v>0.168903780756153</v>
      </c>
      <c r="AT311" s="164" t="n">
        <f aca="false">IF(ABS(AR311/AR310-1)&lt;0.0005,0,(AR311/AR310-1))</f>
        <v>0.0029979450042994</v>
      </c>
      <c r="AU311" s="163" t="n">
        <f aca="false">IF(ABS(AR311-AR299)&lt;0.05,0,AR311-AR299)</f>
        <v>-3.77188448805504</v>
      </c>
      <c r="AV311" s="155" t="n">
        <f aca="false">IF(ABS(AR311/AR299-1)&lt;0.0005,0,(AR311/AR299-1))</f>
        <v>-0.0625720697474824</v>
      </c>
      <c r="AW311" s="185"/>
      <c r="AX311" s="163" t="n">
        <f aca="false">IF(ABS(H311-H310)&lt;0.05,0,H311-H310)</f>
        <v>1.42255849932315</v>
      </c>
      <c r="AY311" s="164" t="n">
        <f aca="false">IF(ABS(H311/H310-1)&lt;0.0005,0,(H311/H310-1))</f>
        <v>0.0282990621171346</v>
      </c>
      <c r="AZ311" s="163" t="n">
        <f aca="false">IF(ABS(H311-H299)&lt;0.05,0,H311-H299)</f>
        <v>-3.29776772771517</v>
      </c>
      <c r="BA311" s="164" t="n">
        <f aca="false">IF(ABS(H311/H299-1)&lt;0.0005,0,(H311/H299-1))</f>
        <v>-0.0599713235881302</v>
      </c>
      <c r="BB311" s="57" t="n">
        <f aca="false">(H311/1.05)</f>
        <v>49.229818309068</v>
      </c>
      <c r="BC311" s="163" t="n">
        <f aca="false">IF(ABS(BB311-BB310)&lt;0.05,0,BB311-BB310)</f>
        <v>1.35481761840299</v>
      </c>
      <c r="BD311" s="164" t="n">
        <f aca="false">IF(ABS(BB311/BB310-1)&lt;0.0005,0,(BB311/BB310-1))</f>
        <v>0.0282990621171346</v>
      </c>
      <c r="BE311" s="163" t="n">
        <f aca="false">IF(ABS(BB311-BB299)&lt;0.05,0,BB311-BB299)</f>
        <v>-3.14073116925255</v>
      </c>
      <c r="BF311" s="155" t="n">
        <f aca="false">IF(ABS(BB311/BB299-1)&lt;0.0005,0,(BB311/BB299-1))</f>
        <v>-0.0599713235881303</v>
      </c>
      <c r="BG311" s="162"/>
      <c r="BH311" s="163" t="n">
        <f aca="false">IF(ABS(I311-I310)&lt;0.05,0,I311-I310)</f>
        <v>0.189193293261631</v>
      </c>
      <c r="BI311" s="164" t="n">
        <f aca="false">IF(ABS(I311/I310-1)&lt;0.0005,0,(I311/I310-1))</f>
        <v>0.00296799649244006</v>
      </c>
      <c r="BJ311" s="163" t="n">
        <f aca="false">IF(ABS(I311-I299)&lt;0.05,0,I311-I299)</f>
        <v>-4.29553781818731</v>
      </c>
      <c r="BK311" s="164" t="n">
        <f aca="false">IF(ABS(I311/I299-1)&lt;0.0005,0,(I311/I299-1))</f>
        <v>-0.0629574908603972</v>
      </c>
      <c r="BL311" s="57" t="n">
        <f aca="false">(I311/1.05)-11.14</f>
        <v>49.7491806390383</v>
      </c>
      <c r="BM311" s="163" t="n">
        <f aca="false">IF(ABS(BL311-BL310)&lt;0.05,0,BL311-BL310)</f>
        <v>0.180184088820603</v>
      </c>
      <c r="BN311" s="164" t="n">
        <f aca="false">IF(ABS(BL311/BL310-1)&lt;0.0005,0,(BL311/BL310-1))</f>
        <v>0.00363501586395976</v>
      </c>
      <c r="BO311" s="163" t="n">
        <f aca="false">IF(ABS(BL311-BL299)&lt;0.05,0,BL311-BL299)</f>
        <v>-4.09098839827363</v>
      </c>
      <c r="BP311" s="155" t="n">
        <f aca="false">IF(ABS(BL311/BL299-1)&lt;0.0005,0,(BL311/BL299-1))</f>
        <v>-0.0759839441707273</v>
      </c>
      <c r="BQ311" s="162"/>
    </row>
    <row r="312" customFormat="false" ht="12.75" hidden="false" customHeight="true" outlineLevel="0" collapsed="false">
      <c r="A312" s="156" t="n">
        <v>41821</v>
      </c>
      <c r="B312" s="73" t="n">
        <v>2014</v>
      </c>
      <c r="C312" s="157" t="s">
        <v>65</v>
      </c>
      <c r="D312" s="188"/>
      <c r="E312" s="159" t="n">
        <v>138.668650228503</v>
      </c>
      <c r="F312" s="159" t="n">
        <v>131.120313322521</v>
      </c>
      <c r="G312" s="159" t="n">
        <v>136.007702515855</v>
      </c>
      <c r="H312" s="159" t="n">
        <v>51.334171</v>
      </c>
      <c r="I312" s="159" t="n">
        <v>62.551987</v>
      </c>
      <c r="J312" s="159"/>
      <c r="K312" s="159" t="n">
        <v>123.034999525758</v>
      </c>
      <c r="L312" s="159"/>
      <c r="M312" s="160" t="n">
        <f aca="false">G312-F312</f>
        <v>4.88738919333366</v>
      </c>
      <c r="N312" s="75"/>
      <c r="O312" s="187"/>
      <c r="P312" s="74"/>
      <c r="Q312" s="74"/>
      <c r="R312" s="162"/>
      <c r="S312" s="57" t="n">
        <f aca="false">IF(ABS(F312-F311)&lt;0.05,0,F312-F311)</f>
        <v>1.42152332252138</v>
      </c>
      <c r="T312" s="178" t="n">
        <f aca="false">IF((ABS(G312/G311-1))&lt;0.0005,0,(G312/G311-1))</f>
        <v>0.00438733276886305</v>
      </c>
      <c r="U312" s="163" t="n">
        <f aca="false">IF(ABS(F312-F300)&lt;0.05,0,F312-F300)</f>
        <v>-3.62139767747863</v>
      </c>
      <c r="V312" s="164" t="n">
        <f aca="false">IF(ABS(F312/F300-1)&lt;0.0005,0,(F312/F300-1))</f>
        <v>-0.0268765896662736</v>
      </c>
      <c r="W312" s="57" t="n">
        <f aca="false">(F312/1.2)-57.95</f>
        <v>51.3169277687678</v>
      </c>
      <c r="X312" s="163" t="n">
        <f aca="false">IF(ABS(W312-W311)&lt;0.05,0,W312-W311)</f>
        <v>1.18460276876782</v>
      </c>
      <c r="Y312" s="184" t="n">
        <f aca="false">IF(ABS(W312/W311-1)&lt;0.0005,0,(W312/W311-1))</f>
        <v>0.0236295198510705</v>
      </c>
      <c r="Z312" s="163" t="n">
        <f aca="false">IF(ABS(W312-W300)&lt;0.05,0,W312-W300)</f>
        <v>-3.01783139789885</v>
      </c>
      <c r="AA312" s="155" t="n">
        <f aca="false">IF(ABS(W312/W300-1)&lt;0.0005,0,(W312/W300-1))</f>
        <v>-0.0555414516266086</v>
      </c>
      <c r="AB312" s="185"/>
      <c r="AC312" s="57" t="n">
        <f aca="false">IF(ABS(G312-G311)&lt;0.05,0,G312-G311)</f>
        <v>0.594104515855037</v>
      </c>
      <c r="AD312" s="164" t="n">
        <f aca="false">IF(ABS(G312/G311-1)&lt;0.0005,0,(G312/G311-1))</f>
        <v>0.00438733276886305</v>
      </c>
      <c r="AE312" s="163" t="n">
        <f aca="false">IF(ABS(G312-G300)&lt;0.05,0,G312-G300)</f>
        <v>-3.61483248414496</v>
      </c>
      <c r="AF312" s="164" t="n">
        <f aca="false">IF(ABS(G312/G300-1)&lt;0.0005,0,(G312/G300-1))</f>
        <v>-0.0258900361903969</v>
      </c>
      <c r="AG312" s="57" t="n">
        <f aca="false">(G312/1.2)-57.95</f>
        <v>55.3897520965459</v>
      </c>
      <c r="AH312" s="163" t="n">
        <f aca="false">IF(ABS(AG312-AG311)&lt;0.05,0,AG312-AG311)</f>
        <v>0.495087096545873</v>
      </c>
      <c r="AI312" s="164" t="n">
        <f aca="false">IF(ABS(AG312/AG311-1)&lt;0.0005,0,(AG312/AG311-1))</f>
        <v>0.00901885632321231</v>
      </c>
      <c r="AJ312" s="163" t="n">
        <f aca="false">IF(ABS(AG312-AG300)&lt;0.05,0,AG312-AG300)</f>
        <v>-3.01236040345412</v>
      </c>
      <c r="AK312" s="155" t="n">
        <f aca="false">IF(ABS(AG312/AG300-1)&lt;0.0005,0,(AG312/AG300-1))</f>
        <v>-0.0515796479699964</v>
      </c>
      <c r="AL312" s="185"/>
      <c r="AM312" s="156" t="n">
        <f aca="false">IF(E312="..","",A312)</f>
        <v>41821</v>
      </c>
      <c r="AN312" s="57" t="n">
        <f aca="false">IF(ABS(E312-E311)&lt;0.05,0,E312-E311)</f>
        <v>1.31814212688235</v>
      </c>
      <c r="AO312" s="164" t="n">
        <f aca="false">IF(ABS(E312/E311-1)&lt;0.0005,0,(E312/E311-1))</f>
        <v>0.00959692210171581</v>
      </c>
      <c r="AP312" s="163" t="n">
        <f aca="false">IF(ABS(E312-E300)&lt;0.05,0,E312-E300)</f>
        <v>-3.59244799114128</v>
      </c>
      <c r="AQ312" s="164" t="n">
        <f aca="false">IF(ABS(E312/E300-1)&lt;0.0005,0,(E312/E300-1))</f>
        <v>-0.0252524972469615</v>
      </c>
      <c r="AR312" s="57" t="n">
        <f aca="false">(E312/1.2)-57.95</f>
        <v>57.6072085237522</v>
      </c>
      <c r="AS312" s="163" t="n">
        <f aca="false">IF(ABS(AR312-AR311)&lt;0.05,0,AR312-AR311)</f>
        <v>1.09845177240196</v>
      </c>
      <c r="AT312" s="164" t="n">
        <f aca="false">IF(ABS(AR312/AR311-1)&lt;0.0005,0,(AR312/AR311-1))</f>
        <v>0.019438611563078</v>
      </c>
      <c r="AU312" s="163" t="n">
        <f aca="false">IF(ABS(AR312-AR300)&lt;0.05,0,AR312-AR300)</f>
        <v>-2.99370665928441</v>
      </c>
      <c r="AV312" s="155" t="n">
        <f aca="false">IF(ABS(AR312/AR300-1)&lt;0.0005,0,(AR312/AR300-1))</f>
        <v>-0.0494003539425492</v>
      </c>
      <c r="AW312" s="185"/>
      <c r="AX312" s="163" t="n">
        <f aca="false">IF(ABS(H312-H311)&lt;0.05,0,H312-H311)</f>
        <v>-0.357138224521371</v>
      </c>
      <c r="AY312" s="164" t="n">
        <f aca="false">IF(ABS(H312/H311-1)&lt;0.0005,0,(H312/H311-1))</f>
        <v>-0.00690905743884607</v>
      </c>
      <c r="AZ312" s="163" t="n">
        <f aca="false">IF(ABS(H312-H300)&lt;0.05,0,H312-H300)</f>
        <v>-5.60375783388126</v>
      </c>
      <c r="BA312" s="164" t="n">
        <f aca="false">IF(ABS(H312/H300-1)&lt;0.0005,0,(H312/H300-1))</f>
        <v>-0.0984187157602879</v>
      </c>
      <c r="BB312" s="57" t="n">
        <f aca="false">(H312/1.05)</f>
        <v>48.8896866666667</v>
      </c>
      <c r="BC312" s="163" t="n">
        <f aca="false">IF(ABS(BB312-BB311)&lt;0.05,0,BB312-BB311)</f>
        <v>-0.340131642401303</v>
      </c>
      <c r="BD312" s="164" t="n">
        <f aca="false">IF(ABS(BB312/BB311-1)&lt;0.0005,0,(BB312/BB311-1))</f>
        <v>-0.00690905743884596</v>
      </c>
      <c r="BE312" s="163" t="n">
        <f aca="false">IF(ABS(BB312-BB300)&lt;0.05,0,BB312-BB300)</f>
        <v>-5.33691222274405</v>
      </c>
      <c r="BF312" s="155" t="n">
        <f aca="false">IF(ABS(BB312/BB300-1)&lt;0.0005,0,(BB312/BB300-1))</f>
        <v>-0.0984187157602878</v>
      </c>
      <c r="BG312" s="162"/>
      <c r="BH312" s="163" t="n">
        <f aca="false">IF(ABS(I312-I311)&lt;0.05,0,I312-I311)</f>
        <v>-1.3816526709902</v>
      </c>
      <c r="BI312" s="164" t="n">
        <f aca="false">IF(ABS(I312/I311-1)&lt;0.0005,0,(I312/I311-1))</f>
        <v>-0.0216107307217349</v>
      </c>
      <c r="BJ312" s="163" t="n">
        <f aca="false">IF(ABS(I312-I300)&lt;0.05,0,I312-I300)</f>
        <v>-8.41145240102949</v>
      </c>
      <c r="BK312" s="164" t="n">
        <f aca="false">IF(ABS(I312/I300-1)&lt;0.0005,0,(I312/I300-1))</f>
        <v>-0.11853219731212</v>
      </c>
      <c r="BL312" s="57" t="n">
        <f aca="false">(I312/1.05)-11.14</f>
        <v>48.4333209523809</v>
      </c>
      <c r="BM312" s="163" t="n">
        <f aca="false">IF(ABS(BL312-BL311)&lt;0.05,0,BL312-BL311)</f>
        <v>-1.31585968665733</v>
      </c>
      <c r="BN312" s="164" t="n">
        <f aca="false">IF(ABS(BL312/BL311-1)&lt;0.0005,0,(BL312/BL311-1))</f>
        <v>-0.0264498765558517</v>
      </c>
      <c r="BO312" s="163" t="n">
        <f aca="false">IF(ABS(BL312-BL300)&lt;0.05,0,BL312-BL300)</f>
        <v>-8.01090704859951</v>
      </c>
      <c r="BP312" s="155" t="n">
        <f aca="false">IF(ABS(BL312/BL300-1)&lt;0.0005,0,(BL312/BL300-1))</f>
        <v>-0.141926062811247</v>
      </c>
      <c r="BQ312" s="162"/>
    </row>
    <row r="313" customFormat="false" ht="12.75" hidden="false" customHeight="true" outlineLevel="0" collapsed="false">
      <c r="A313" s="156" t="n">
        <v>41852</v>
      </c>
      <c r="B313" s="73" t="n">
        <v>2014</v>
      </c>
      <c r="C313" s="157" t="s">
        <v>66</v>
      </c>
      <c r="D313" s="188"/>
      <c r="E313" s="159" t="n">
        <v>136.847267088093</v>
      </c>
      <c r="F313" s="159" t="n">
        <v>129.26998619398</v>
      </c>
      <c r="G313" s="159" t="n">
        <v>133.61397856642</v>
      </c>
      <c r="H313" s="159" t="n">
        <v>51.147077</v>
      </c>
      <c r="I313" s="159" t="n">
        <v>62.609354</v>
      </c>
      <c r="J313" s="159"/>
      <c r="K313" s="159" t="n">
        <v>119.454074171607</v>
      </c>
      <c r="L313" s="159"/>
      <c r="M313" s="160" t="n">
        <f aca="false">G313-F313</f>
        <v>4.34399237244011</v>
      </c>
      <c r="N313" s="75"/>
      <c r="O313" s="187"/>
      <c r="P313" s="74"/>
      <c r="Q313" s="74"/>
      <c r="R313" s="162"/>
      <c r="S313" s="57" t="n">
        <f aca="false">IF(ABS(F313-F312)&lt;0.05,0,F313-F312)</f>
        <v>-1.85032712854135</v>
      </c>
      <c r="T313" s="178" t="n">
        <f aca="false">IF((ABS(G313/G312-1))&lt;0.0005,0,(G313/G312-1))</f>
        <v>-0.0175999146015708</v>
      </c>
      <c r="U313" s="163" t="n">
        <f aca="false">IF(ABS(F313-F301)&lt;0.05,0,F313-F301)</f>
        <v>-7.59837480601996</v>
      </c>
      <c r="V313" s="164" t="n">
        <f aca="false">IF(ABS(F313/F301-1)&lt;0.0005,0,(F313/F301-1))</f>
        <v>-0.0555159333428414</v>
      </c>
      <c r="W313" s="57" t="n">
        <f aca="false">(F313/1.2)-57.95</f>
        <v>49.7749884949834</v>
      </c>
      <c r="X313" s="163" t="n">
        <f aca="false">IF(ABS(W313-W312)&lt;0.05,0,W313-W312)</f>
        <v>-1.54193927378446</v>
      </c>
      <c r="Y313" s="184" t="n">
        <f aca="false">IF(ABS(W313/W312-1)&lt;0.0005,0,(W313/W312-1))</f>
        <v>-0.0300473808707409</v>
      </c>
      <c r="Z313" s="163" t="n">
        <f aca="false">IF(ABS(W313-W301)&lt;0.05,0,W313-W301)</f>
        <v>-6.33197900501664</v>
      </c>
      <c r="AA313" s="155" t="n">
        <f aca="false">IF(ABS(W313/W301-1)&lt;0.0005,0,(W313/W301-1))</f>
        <v>-0.112855484570907</v>
      </c>
      <c r="AB313" s="185"/>
      <c r="AC313" s="57" t="n">
        <f aca="false">IF(ABS(G313-G312)&lt;0.05,0,G313-G312)</f>
        <v>-2.3937239494349</v>
      </c>
      <c r="AD313" s="164" t="n">
        <f aca="false">IF(ABS(G313/G312-1)&lt;0.0005,0,(G313/G312-1))</f>
        <v>-0.0175999146015708</v>
      </c>
      <c r="AE313" s="163" t="n">
        <f aca="false">IF(ABS(G313-G301)&lt;0.05,0,G313-G301)</f>
        <v>-8.01154343357987</v>
      </c>
      <c r="AF313" s="164" t="n">
        <f aca="false">IF(ABS(G313/G301-1)&lt;0.0005,0,(G313/G301-1))</f>
        <v>-0.0565685006518802</v>
      </c>
      <c r="AG313" s="57" t="n">
        <f aca="false">(G313/1.2)-57.95</f>
        <v>53.3949821386835</v>
      </c>
      <c r="AH313" s="163" t="n">
        <f aca="false">IF(ABS(AG313-AG312)&lt;0.05,0,AG313-AG312)</f>
        <v>-1.99476995786242</v>
      </c>
      <c r="AI313" s="164" t="n">
        <f aca="false">IF(ABS(AG313/AG312-1)&lt;0.0005,0,(AG313/AG312-1))</f>
        <v>-0.0360133396947774</v>
      </c>
      <c r="AJ313" s="163" t="n">
        <f aca="false">IF(ABS(AG313-AG301)&lt;0.05,0,AG313-AG301)</f>
        <v>-6.67628619464989</v>
      </c>
      <c r="AK313" s="155" t="n">
        <f aca="false">IF(ABS(AG313/AG301-1)&lt;0.0005,0,(AG313/AG301-1))</f>
        <v>-0.111139424551575</v>
      </c>
      <c r="AL313" s="185"/>
      <c r="AM313" s="156" t="n">
        <f aca="false">IF(E313="..","",A313)</f>
        <v>41852</v>
      </c>
      <c r="AN313" s="57" t="n">
        <f aca="false">IF(ABS(E313-E312)&lt;0.05,0,E313-E312)</f>
        <v>-1.82138314040969</v>
      </c>
      <c r="AO313" s="164" t="n">
        <f aca="false">IF(ABS(E313/E312-1)&lt;0.0005,0,(E313/E312-1))</f>
        <v>-0.0131347866832796</v>
      </c>
      <c r="AP313" s="163" t="n">
        <f aca="false">IF(ABS(E313-E301)&lt;0.05,0,E313-E301)</f>
        <v>-7.57628762284921</v>
      </c>
      <c r="AQ313" s="164" t="n">
        <f aca="false">IF(ABS(E313/E301-1)&lt;0.0005,0,(E313/E301-1))</f>
        <v>-0.0524588086618754</v>
      </c>
      <c r="AR313" s="57" t="n">
        <f aca="false">(E313/1.2)-57.95</f>
        <v>56.0893892400775</v>
      </c>
      <c r="AS313" s="163" t="n">
        <f aca="false">IF(ABS(AR313-AR312)&lt;0.05,0,AR313-AR312)</f>
        <v>-1.51781928367474</v>
      </c>
      <c r="AT313" s="164" t="n">
        <f aca="false">IF(ABS(AR313/AR312-1)&lt;0.0005,0,(AR313/AR312-1))</f>
        <v>-0.0263477318649961</v>
      </c>
      <c r="AU313" s="163" t="n">
        <f aca="false">IF(ABS(AR313-AR301)&lt;0.05,0,AR313-AR301)</f>
        <v>-6.313573019041</v>
      </c>
      <c r="AV313" s="155" t="n">
        <f aca="false">IF(ABS(AR313/AR301-1)&lt;0.0005,0,(AR313/AR301-1))</f>
        <v>-0.101174251837996</v>
      </c>
      <c r="AW313" s="185"/>
      <c r="AX313" s="163" t="n">
        <f aca="false">IF(ABS(H313-H312)&lt;0.05,0,H313-H312)</f>
        <v>-0.187094000000002</v>
      </c>
      <c r="AY313" s="164" t="n">
        <f aca="false">IF(ABS(H313/H312-1)&lt;0.0005,0,(H313/H312-1))</f>
        <v>-0.00364462883797234</v>
      </c>
      <c r="AZ313" s="163" t="n">
        <f aca="false">IF(ABS(H313-H301)&lt;0.05,0,H313-H301)</f>
        <v>-4.17617962347708</v>
      </c>
      <c r="BA313" s="164" t="n">
        <f aca="false">IF(ABS(H313/H301-1)&lt;0.0005,0,(H313/H301-1))</f>
        <v>-0.0754868725805428</v>
      </c>
      <c r="BB313" s="57" t="n">
        <f aca="false">(H313/1.05)</f>
        <v>48.7115019047619</v>
      </c>
      <c r="BC313" s="163" t="n">
        <f aca="false">IF(ABS(BB313-BB312)&lt;0.05,0,BB313-BB312)</f>
        <v>-0.178184761904767</v>
      </c>
      <c r="BD313" s="164" t="n">
        <f aca="false">IF(ABS(BB313/BB312-1)&lt;0.0005,0,(BB313/BB312-1))</f>
        <v>-0.00364462883797234</v>
      </c>
      <c r="BE313" s="163" t="n">
        <f aca="false">IF(ABS(BB313-BB301)&lt;0.05,0,BB313-BB301)</f>
        <v>-3.97731392712103</v>
      </c>
      <c r="BF313" s="155" t="n">
        <f aca="false">IF(ABS(BB313/BB301-1)&lt;0.0005,0,(BB313/BB301-1))</f>
        <v>-0.0754868725805428</v>
      </c>
      <c r="BG313" s="162"/>
      <c r="BH313" s="163" t="n">
        <f aca="false">IF(ABS(I313-I312)&lt;0.05,0,I313-I312)</f>
        <v>0.0573670000000064</v>
      </c>
      <c r="BI313" s="164" t="n">
        <f aca="false">IF(ABS(I313/I312-1)&lt;0.0005,0,(I313/I312-1))</f>
        <v>0.000917109155941009</v>
      </c>
      <c r="BJ313" s="163" t="n">
        <f aca="false">IF(ABS(I313-I301)&lt;0.05,0,I313-I301)</f>
        <v>-7.46932483325535</v>
      </c>
      <c r="BK313" s="164" t="n">
        <f aca="false">IF(ABS(I313/I301-1)&lt;0.0005,0,(I313/I301-1))</f>
        <v>-0.106584840890448</v>
      </c>
      <c r="BL313" s="57" t="n">
        <f aca="false">(I313/1.05)-11.14</f>
        <v>48.4879561904762</v>
      </c>
      <c r="BM313" s="163" t="n">
        <f aca="false">IF(ABS(BL313-BL312)&lt;0.05,0,BL313-BL312)</f>
        <v>0.0546352380952442</v>
      </c>
      <c r="BN313" s="164" t="n">
        <f aca="false">IF(ABS(BL313/BL312-1)&lt;0.0005,0,(BL313/BL312-1))</f>
        <v>0.00112805062756194</v>
      </c>
      <c r="BO313" s="163" t="n">
        <f aca="false">IF(ABS(BL313-BL301)&lt;0.05,0,BL313-BL301)</f>
        <v>-7.11364269833843</v>
      </c>
      <c r="BP313" s="155" t="n">
        <f aca="false">IF(ABS(BL313/BL301-1)&lt;0.0005,0,(BL313/BL301-1))</f>
        <v>-0.127939534842576</v>
      </c>
      <c r="BQ313" s="162"/>
    </row>
    <row r="314" customFormat="false" ht="12.75" hidden="false" customHeight="true" outlineLevel="0" collapsed="false">
      <c r="A314" s="156" t="n">
        <v>41883</v>
      </c>
      <c r="B314" s="73" t="n">
        <v>2014</v>
      </c>
      <c r="C314" s="157" t="s">
        <v>67</v>
      </c>
      <c r="D314" s="188"/>
      <c r="E314" s="159" t="n">
        <v>136.128275460663</v>
      </c>
      <c r="F314" s="159" t="n">
        <v>128.513639514473</v>
      </c>
      <c r="G314" s="159" t="n">
        <v>133.07131880571</v>
      </c>
      <c r="H314" s="159" t="n">
        <v>51.023101</v>
      </c>
      <c r="I314" s="159" t="n">
        <v>61.901025</v>
      </c>
      <c r="J314" s="159"/>
      <c r="K314" s="159" t="n">
        <v>116.311662965294</v>
      </c>
      <c r="L314" s="159"/>
      <c r="M314" s="160" t="n">
        <f aca="false">G314-F314</f>
        <v>4.55767929123707</v>
      </c>
      <c r="N314" s="75"/>
      <c r="O314" s="187"/>
      <c r="P314" s="74"/>
      <c r="Q314" s="74"/>
      <c r="R314" s="162"/>
      <c r="S314" s="57" t="n">
        <f aca="false">IF(ABS(F314-F313)&lt;0.05,0,F314-F313)</f>
        <v>-0.756346679506748</v>
      </c>
      <c r="T314" s="178" t="n">
        <f aca="false">IF((ABS(G314/G313-1))&lt;0.0005,0,(G314/G313-1))</f>
        <v>-0.00406139961201768</v>
      </c>
      <c r="U314" s="163" t="n">
        <f aca="false">IF(ABS(F314-F302)&lt;0.05,0,F314-F302)</f>
        <v>-8.67748348552672</v>
      </c>
      <c r="V314" s="164" t="n">
        <f aca="false">IF(ABS(F314/F302-1)&lt;0.0005,0,(F314/F302-1))</f>
        <v>-0.063251056597348</v>
      </c>
      <c r="W314" s="57" t="n">
        <f aca="false">(F314/1.2)-57.95</f>
        <v>49.1446995953944</v>
      </c>
      <c r="X314" s="163" t="n">
        <f aca="false">IF(ABS(W314-W313)&lt;0.05,0,W314-W313)</f>
        <v>-0.630288899588962</v>
      </c>
      <c r="Y314" s="184" t="n">
        <f aca="false">IF(ABS(W314/W313-1)&lt;0.0005,0,(W314/W313-1))</f>
        <v>-0.0126627633405176</v>
      </c>
      <c r="Z314" s="163" t="n">
        <f aca="false">IF(ABS(W314-W302)&lt;0.05,0,W314-W302)</f>
        <v>-7.23123623793894</v>
      </c>
      <c r="AA314" s="155" t="n">
        <f aca="false">IF(ABS(W314/W302-1)&lt;0.0005,0,(W314/W302-1))</f>
        <v>-0.128268136591417</v>
      </c>
      <c r="AB314" s="185"/>
      <c r="AC314" s="57" t="n">
        <f aca="false">IF(ABS(G314-G313)&lt;0.05,0,G314-G313)</f>
        <v>-0.542659760709796</v>
      </c>
      <c r="AD314" s="164" t="n">
        <f aca="false">IF(ABS(G314/G313-1)&lt;0.0005,0,(G314/G313-1))</f>
        <v>-0.00406139961201768</v>
      </c>
      <c r="AE314" s="163" t="n">
        <f aca="false">IF(ABS(G314-G302)&lt;0.05,0,G314-G302)</f>
        <v>-9.26070919428966</v>
      </c>
      <c r="AF314" s="164" t="n">
        <f aca="false">IF(ABS(G314/G302-1)&lt;0.0005,0,(G314/G302-1))</f>
        <v>-0.0650641273395589</v>
      </c>
      <c r="AG314" s="57" t="n">
        <f aca="false">(G314/1.2)-57.95</f>
        <v>52.9427656714253</v>
      </c>
      <c r="AH314" s="163" t="n">
        <f aca="false">IF(ABS(AG314-AG313)&lt;0.05,0,AG314-AG313)</f>
        <v>-0.452216467258168</v>
      </c>
      <c r="AI314" s="164" t="n">
        <f aca="false">IF(ABS(AG314/AG313-1)&lt;0.0005,0,(AG314/AG313-1))</f>
        <v>-0.00846926900515899</v>
      </c>
      <c r="AJ314" s="163" t="n">
        <f aca="false">IF(ABS(AG314-AG302)&lt;0.05,0,AG314-AG302)</f>
        <v>-7.71725766190805</v>
      </c>
      <c r="AK314" s="155" t="n">
        <f aca="false">IF(ABS(AG314/AG302-1)&lt;0.0005,0,(AG314/AG302-1))</f>
        <v>-0.127221475328173</v>
      </c>
      <c r="AL314" s="185"/>
      <c r="AM314" s="156" t="n">
        <f aca="false">IF(E314="..","",A314)</f>
        <v>41883</v>
      </c>
      <c r="AN314" s="57" t="n">
        <f aca="false">IF(ABS(E314-E313)&lt;0.05,0,E314-E313)</f>
        <v>-0.718991627430285</v>
      </c>
      <c r="AO314" s="164" t="n">
        <f aca="false">IF(ABS(E314/E313-1)&lt;0.0005,0,(E314/E313-1))</f>
        <v>-0.00525397139986328</v>
      </c>
      <c r="AP314" s="163" t="n">
        <f aca="false">IF(ABS(E314-E302)&lt;0.05,0,E314-E302)</f>
        <v>-8.9061714287152</v>
      </c>
      <c r="AQ314" s="164" t="n">
        <f aca="false">IF(ABS(E314/E302-1)&lt;0.0005,0,(E314/E302-1))</f>
        <v>-0.0614072837159038</v>
      </c>
      <c r="AR314" s="57" t="n">
        <f aca="false">(E314/1.2)-57.95</f>
        <v>55.4902295505523</v>
      </c>
      <c r="AS314" s="163" t="n">
        <f aca="false">IF(ABS(AR314-AR313)&lt;0.05,0,AR314-AR313)</f>
        <v>-0.599159689525237</v>
      </c>
      <c r="AT314" s="164" t="n">
        <f aca="false">IF(ABS(AR314/AR313-1)&lt;0.0005,0,(AR314/AR313-1))</f>
        <v>-0.0106822288073182</v>
      </c>
      <c r="AU314" s="163" t="n">
        <f aca="false">IF(ABS(AR314-AR302)&lt;0.05,0,AR314-AR302)</f>
        <v>-7.42180952392933</v>
      </c>
      <c r="AV314" s="155" t="n">
        <f aca="false">IF(ABS(AR314/AR302-1)&lt;0.0005,0,(AR314/AR302-1))</f>
        <v>-0.117971212396131</v>
      </c>
      <c r="AW314" s="185"/>
      <c r="AX314" s="163" t="n">
        <f aca="false">IF(ABS(H314-H313)&lt;0.05,0,H314-H313)</f>
        <v>-0.123975999999992</v>
      </c>
      <c r="AY314" s="164" t="n">
        <f aca="false">IF(ABS(H314/H313-1)&lt;0.0005,0,(H314/H313-1))</f>
        <v>-0.00242391173204271</v>
      </c>
      <c r="AZ314" s="163" t="n">
        <f aca="false">IF(ABS(H314-H302)&lt;0.05,0,H314-H302)</f>
        <v>-5.61328654592921</v>
      </c>
      <c r="BA314" s="164" t="n">
        <f aca="false">IF(ABS(H314/H302-1)&lt;0.0005,0,(H314/H302-1))</f>
        <v>-0.099110956562636</v>
      </c>
      <c r="BB314" s="57" t="n">
        <f aca="false">(H314/1.05)</f>
        <v>48.5934295238095</v>
      </c>
      <c r="BC314" s="163" t="n">
        <f aca="false">IF(ABS(BB314-BB313)&lt;0.05,0,BB314-BB313)</f>
        <v>-0.11807238095237</v>
      </c>
      <c r="BD314" s="164" t="n">
        <f aca="false">IF(ABS(BB314/BB313-1)&lt;0.0005,0,(BB314/BB313-1))</f>
        <v>-0.00242391173204259</v>
      </c>
      <c r="BE314" s="163" t="n">
        <f aca="false">IF(ABS(BB314-BB302)&lt;0.05,0,BB314-BB302)</f>
        <v>-5.34598718659925</v>
      </c>
      <c r="BF314" s="155" t="n">
        <f aca="false">IF(ABS(BB314/BB302-1)&lt;0.0005,0,(BB314/BB302-1))</f>
        <v>-0.0991109565626361</v>
      </c>
      <c r="BG314" s="162"/>
      <c r="BH314" s="163" t="n">
        <f aca="false">IF(ABS(I314-I313)&lt;0.05,0,I314-I313)</f>
        <v>-0.708329000000013</v>
      </c>
      <c r="BI314" s="164" t="n">
        <f aca="false">IF(ABS(I314/I313-1)&lt;0.0005,0,(I314/I313-1))</f>
        <v>-0.0113134692301731</v>
      </c>
      <c r="BJ314" s="163" t="n">
        <f aca="false">IF(ABS(I314-I302)&lt;0.05,0,I314-I302)</f>
        <v>-9.3486981888643</v>
      </c>
      <c r="BK314" s="164" t="n">
        <f aca="false">IF(ABS(I314/I302-1)&lt;0.0005,0,(I314/I302-1))</f>
        <v>-0.131210308903002</v>
      </c>
      <c r="BL314" s="57" t="n">
        <f aca="false">(I314/1.05)-11.14</f>
        <v>47.8133571428571</v>
      </c>
      <c r="BM314" s="163" t="n">
        <f aca="false">IF(ABS(BL314-BL313)&lt;0.05,0,BL314-BL313)</f>
        <v>-0.674599047619061</v>
      </c>
      <c r="BN314" s="164" t="n">
        <f aca="false">IF(ABS(BL314/BL313-1)&lt;0.0005,0,(BL314/BL313-1))</f>
        <v>-0.0139127136018895</v>
      </c>
      <c r="BO314" s="163" t="n">
        <f aca="false">IF(ABS(BL314-BL302)&lt;0.05,0,BL314-BL302)</f>
        <v>-8.90352208463267</v>
      </c>
      <c r="BP314" s="155" t="n">
        <f aca="false">IF(ABS(BL314/BL302-1)&lt;0.0005,0,(BL314/BL302-1))</f>
        <v>-0.156981875693846</v>
      </c>
      <c r="BQ314" s="162"/>
    </row>
    <row r="315" customFormat="false" ht="12.75" hidden="false" customHeight="true" outlineLevel="0" collapsed="false">
      <c r="A315" s="156" t="n">
        <v>41913</v>
      </c>
      <c r="B315" s="73" t="n">
        <v>2014</v>
      </c>
      <c r="C315" s="157" t="s">
        <v>68</v>
      </c>
      <c r="D315" s="188"/>
      <c r="E315" s="159" t="n">
        <v>134.236153673205</v>
      </c>
      <c r="F315" s="159" t="n">
        <v>126.757746635371</v>
      </c>
      <c r="G315" s="159" t="n">
        <v>131.081976545159</v>
      </c>
      <c r="H315" s="159" t="n">
        <v>46.725181</v>
      </c>
      <c r="I315" s="159" t="n">
        <v>58.658971</v>
      </c>
      <c r="J315" s="159"/>
      <c r="K315" s="159" t="n">
        <v>106.446217762616</v>
      </c>
      <c r="L315" s="159"/>
      <c r="M315" s="160" t="n">
        <f aca="false">G315-F315</f>
        <v>4.32422990978741</v>
      </c>
      <c r="N315" s="75"/>
      <c r="O315" s="187"/>
      <c r="P315" s="74"/>
      <c r="Q315" s="74"/>
      <c r="R315" s="162"/>
      <c r="S315" s="57" t="n">
        <f aca="false">IF(ABS(F315-F314)&lt;0.05,0,F315-F314)</f>
        <v>-1.75589287910209</v>
      </c>
      <c r="T315" s="178" t="n">
        <f aca="false">IF((ABS(G315/G314-1))&lt;0.0005,0,(G315/G314-1))</f>
        <v>-0.0149494442409207</v>
      </c>
      <c r="U315" s="163" t="n">
        <f aca="false">IF(ABS(F315-F303)&lt;0.05,0,F315-F303)</f>
        <v>-4.72283936462883</v>
      </c>
      <c r="V315" s="164" t="n">
        <f aca="false">IF(ABS(F315/F303-1)&lt;0.0005,0,(F315/F303-1))</f>
        <v>-0.035920431360329</v>
      </c>
      <c r="W315" s="57" t="n">
        <f aca="false">(F315/1.2)-57.95</f>
        <v>47.681455529476</v>
      </c>
      <c r="X315" s="163" t="n">
        <f aca="false">IF(ABS(W315-W314)&lt;0.05,0,W315-W314)</f>
        <v>-1.4632440659184</v>
      </c>
      <c r="Y315" s="184" t="n">
        <f aca="false">IF(ABS(W315/W314-1)&lt;0.0005,0,(W315/W314-1))</f>
        <v>-0.029774199007527</v>
      </c>
      <c r="Z315" s="163" t="n">
        <f aca="false">IF(ABS(W315-W303)&lt;0.05,0,W315-W303)</f>
        <v>-3.93569947052401</v>
      </c>
      <c r="AA315" s="155" t="n">
        <f aca="false">IF(ABS(W315/W303-1)&lt;0.0005,0,(W315/W303-1))</f>
        <v>-0.0762478960826882</v>
      </c>
      <c r="AB315" s="185"/>
      <c r="AC315" s="57" t="n">
        <f aca="false">IF(ABS(G315-G314)&lt;0.05,0,G315-G314)</f>
        <v>-1.98934226055175</v>
      </c>
      <c r="AD315" s="164" t="n">
        <f aca="false">IF(ABS(G315/G314-1)&lt;0.0005,0,(G315/G314-1))</f>
        <v>-0.0149494442409207</v>
      </c>
      <c r="AE315" s="163" t="n">
        <f aca="false">IF(ABS(G315-G303)&lt;0.05,0,G315-G303)</f>
        <v>-7.68196845484141</v>
      </c>
      <c r="AF315" s="164" t="n">
        <f aca="false">IF(ABS(G315/G303-1)&lt;0.0005,0,(G315/G303-1))</f>
        <v>-0.0553599744864662</v>
      </c>
      <c r="AG315" s="57" t="n">
        <f aca="false">(G315/1.2)-57.95</f>
        <v>51.2849804542988</v>
      </c>
      <c r="AH315" s="163" t="n">
        <f aca="false">IF(ABS(AG315-AG314)&lt;0.05,0,AG315-AG314)</f>
        <v>-1.65778521712646</v>
      </c>
      <c r="AI315" s="164" t="n">
        <f aca="false">IF(ABS(AG315/AG314-1)&lt;0.0005,0,(AG315/AG314-1))</f>
        <v>-0.0313127808134363</v>
      </c>
      <c r="AJ315" s="163" t="n">
        <f aca="false">IF(ABS(AG315-AG303)&lt;0.05,0,AG315-AG303)</f>
        <v>-6.4016403790345</v>
      </c>
      <c r="AK315" s="155" t="n">
        <f aca="false">IF(ABS(AG315/AG303-1)&lt;0.0005,0,(AG315/AG303-1))</f>
        <v>-0.110972705396108</v>
      </c>
      <c r="AL315" s="185"/>
      <c r="AM315" s="156" t="n">
        <f aca="false">IF(E315="..","",A315)</f>
        <v>41913</v>
      </c>
      <c r="AN315" s="57" t="n">
        <f aca="false">IF(ABS(E315-E314)&lt;0.05,0,E315-E314)</f>
        <v>-1.89212178745768</v>
      </c>
      <c r="AO315" s="164" t="n">
        <f aca="false">IF(ABS(E315/E314-1)&lt;0.0005,0,(E315/E314-1))</f>
        <v>-0.0138995501195816</v>
      </c>
      <c r="AP315" s="163" t="n">
        <f aca="false">IF(ABS(E315-E303)&lt;0.05,0,E315-E303)</f>
        <v>-5.25692094171799</v>
      </c>
      <c r="AQ315" s="164" t="n">
        <f aca="false">IF(ABS(E315/E303-1)&lt;0.0005,0,(E315/E303-1))</f>
        <v>-0.0376858919787234</v>
      </c>
      <c r="AR315" s="57" t="n">
        <f aca="false">(E315/1.2)-57.95</f>
        <v>53.9134613943375</v>
      </c>
      <c r="AS315" s="163" t="n">
        <f aca="false">IF(ABS(AR315-AR314)&lt;0.05,0,AR315-AR314)</f>
        <v>-1.57676815621474</v>
      </c>
      <c r="AT315" s="164" t="n">
        <f aca="false">IF(ABS(AR315/AR314-1)&lt;0.0005,0,(AR315/AR314-1))</f>
        <v>-0.0284152393851297</v>
      </c>
      <c r="AU315" s="163" t="n">
        <f aca="false">IF(ABS(AR315-AR303)&lt;0.05,0,AR315-AR303)</f>
        <v>-4.38076745143167</v>
      </c>
      <c r="AV315" s="155" t="n">
        <f aca="false">IF(ABS(AR315/AR303-1)&lt;0.0005,0,(AR315/AR303-1))</f>
        <v>-0.0751492478444478</v>
      </c>
      <c r="AW315" s="185"/>
      <c r="AX315" s="163" t="n">
        <f aca="false">IF(ABS(H315-H314)&lt;0.05,0,H315-H314)</f>
        <v>-4.29792000000001</v>
      </c>
      <c r="AY315" s="164" t="n">
        <f aca="false">IF(ABS(H315/H314-1)&lt;0.0005,0,(H315/H314-1))</f>
        <v>-0.0842347861216827</v>
      </c>
      <c r="AZ315" s="163" t="n">
        <f aca="false">IF(ABS(H315-H303)&lt;0.05,0,H315-H303)</f>
        <v>-7.71273042912397</v>
      </c>
      <c r="BA315" s="164" t="n">
        <f aca="false">IF(ABS(H315/H303-1)&lt;0.0005,0,(H315/H303-1))</f>
        <v>-0.141679396336974</v>
      </c>
      <c r="BB315" s="57" t="n">
        <f aca="false">(H315/1.05)</f>
        <v>44.5001723809524</v>
      </c>
      <c r="BC315" s="163" t="n">
        <f aca="false">IF(ABS(BB315-BB314)&lt;0.05,0,BB315-BB314)</f>
        <v>-4.09325714285716</v>
      </c>
      <c r="BD315" s="164" t="n">
        <f aca="false">IF(ABS(BB315/BB314-1)&lt;0.0005,0,(BB315/BB314-1))</f>
        <v>-0.0842347861216827</v>
      </c>
      <c r="BE315" s="163" t="n">
        <f aca="false">IF(ABS(BB315-BB303)&lt;0.05,0,BB315-BB303)</f>
        <v>-7.34545755154664</v>
      </c>
      <c r="BF315" s="155" t="n">
        <f aca="false">IF(ABS(BB315/BB303-1)&lt;0.0005,0,(BB315/BB303-1))</f>
        <v>-0.141679396336975</v>
      </c>
      <c r="BG315" s="162"/>
      <c r="BH315" s="163" t="n">
        <f aca="false">IF(ABS(I315-I314)&lt;0.05,0,I315-I314)</f>
        <v>-3.24205399999999</v>
      </c>
      <c r="BI315" s="164" t="n">
        <f aca="false">IF(ABS(I315/I314-1)&lt;0.0005,0,(I315/I314-1))</f>
        <v>-0.0523748031635984</v>
      </c>
      <c r="BJ315" s="163" t="n">
        <f aca="false">IF(ABS(I315-I303)&lt;0.05,0,I315-I303)</f>
        <v>-9.23461330876305</v>
      </c>
      <c r="BK315" s="164" t="n">
        <f aca="false">IF(ABS(I315/I303-1)&lt;0.0005,0,(I315/I303-1))</f>
        <v>-0.136015993304556</v>
      </c>
      <c r="BL315" s="57" t="n">
        <f aca="false">(I315/1.05)-11.14</f>
        <v>44.7256866666667</v>
      </c>
      <c r="BM315" s="163" t="n">
        <f aca="false">IF(ABS(BL315-BL314)&lt;0.05,0,BL315-BL314)</f>
        <v>-3.08767047619046</v>
      </c>
      <c r="BN315" s="164" t="n">
        <f aca="false">IF(ABS(BL315/BL314-1)&lt;0.0005,0,(BL315/BL314-1))</f>
        <v>-0.0645775712206339</v>
      </c>
      <c r="BO315" s="163" t="n">
        <f aca="false">IF(ABS(BL315-BL303)&lt;0.05,0,BL315-BL303)</f>
        <v>-8.79486981786958</v>
      </c>
      <c r="BP315" s="155" t="n">
        <f aca="false">IF(ABS(BL315/BL303-1)&lt;0.0005,0,(BL315/BL303-1))</f>
        <v>-0.164326950158126</v>
      </c>
      <c r="BQ315" s="162"/>
    </row>
    <row r="316" customFormat="false" ht="12.75" hidden="false" customHeight="true" outlineLevel="0" collapsed="false">
      <c r="A316" s="156" t="n">
        <v>41944</v>
      </c>
      <c r="B316" s="73" t="n">
        <v>2014</v>
      </c>
      <c r="C316" s="157" t="s">
        <v>69</v>
      </c>
      <c r="D316" s="188"/>
      <c r="E316" s="159" t="n">
        <v>130.024747223001</v>
      </c>
      <c r="F316" s="159" t="n">
        <v>122.477068513417</v>
      </c>
      <c r="G316" s="159" t="n">
        <v>127.179976248011</v>
      </c>
      <c r="H316" s="159" t="n">
        <v>46.322657</v>
      </c>
      <c r="I316" s="159" t="n">
        <v>57.794693</v>
      </c>
      <c r="J316" s="159"/>
      <c r="K316" s="159" t="n">
        <v>98.687995476032</v>
      </c>
      <c r="L316" s="159"/>
      <c r="M316" s="160" t="n">
        <f aca="false">G316-F316</f>
        <v>4.70290773459406</v>
      </c>
      <c r="N316" s="75"/>
      <c r="O316" s="187"/>
      <c r="P316" s="74"/>
      <c r="Q316" s="74"/>
      <c r="R316" s="162"/>
      <c r="S316" s="57" t="n">
        <f aca="false">IF(ABS(F316-F315)&lt;0.05,0,F316-F315)</f>
        <v>-4.2806781219541</v>
      </c>
      <c r="T316" s="178" t="n">
        <f aca="false">IF((ABS(G316/G315-1))&lt;0.0005,0,(G316/G315-1))</f>
        <v>-0.0297676339645609</v>
      </c>
      <c r="U316" s="163" t="n">
        <f aca="false">IF(ABS(F316-F304)&lt;0.05,0,F316-F304)</f>
        <v>-7.25310048658292</v>
      </c>
      <c r="V316" s="164" t="n">
        <f aca="false">IF(ABS(F316/F304-1)&lt;0.0005,0,(F316/F304-1))</f>
        <v>-0.05590912694011</v>
      </c>
      <c r="W316" s="57" t="n">
        <f aca="false">(F316/1.2)-57.95</f>
        <v>44.1142237611809</v>
      </c>
      <c r="X316" s="163" t="n">
        <f aca="false">IF(ABS(W316-W315)&lt;0.05,0,W316-W315)</f>
        <v>-3.56723176829509</v>
      </c>
      <c r="Y316" s="184" t="n">
        <f aca="false">IF(ABS(W316/W315-1)&lt;0.0005,0,(W316/W315-1))</f>
        <v>-0.0748138186782045</v>
      </c>
      <c r="Z316" s="163" t="n">
        <f aca="false">IF(ABS(W316-W304)&lt;0.05,0,W316-W304)</f>
        <v>-6.04425040548577</v>
      </c>
      <c r="AA316" s="155" t="n">
        <f aca="false">IF(ABS(W316/W304-1)&lt;0.0005,0,(W316/W304-1))</f>
        <v>-0.120503075619923</v>
      </c>
      <c r="AB316" s="185"/>
      <c r="AC316" s="57" t="n">
        <f aca="false">IF(ABS(G316-G315)&lt;0.05,0,G316-G315)</f>
        <v>-3.90200029714744</v>
      </c>
      <c r="AD316" s="164" t="n">
        <f aca="false">IF(ABS(G316/G315-1)&lt;0.0005,0,(G316/G315-1))</f>
        <v>-0.0297676339645609</v>
      </c>
      <c r="AE316" s="163" t="n">
        <f aca="false">IF(ABS(G316-G304)&lt;0.05,0,G316-G304)</f>
        <v>-10.1160847519889</v>
      </c>
      <c r="AF316" s="164" t="n">
        <f aca="false">IF(ABS(G316/G304-1)&lt;0.0005,0,(G316/G304-1))</f>
        <v>-0.0736808083080319</v>
      </c>
      <c r="AG316" s="57" t="n">
        <f aca="false">(G316/1.2)-57.95</f>
        <v>48.0333135400093</v>
      </c>
      <c r="AH316" s="163" t="n">
        <f aca="false">IF(ABS(AG316-AG315)&lt;0.05,0,AG316-AG315)</f>
        <v>-3.25166691428953</v>
      </c>
      <c r="AI316" s="164" t="n">
        <f aca="false">IF(ABS(AG316/AG315-1)&lt;0.0005,0,(AG316/AG315-1))</f>
        <v>-0.0634038832711882</v>
      </c>
      <c r="AJ316" s="163" t="n">
        <f aca="false">IF(ABS(AG316-AG304)&lt;0.05,0,AG316-AG304)</f>
        <v>-8.43007062665737</v>
      </c>
      <c r="AK316" s="155" t="n">
        <f aca="false">IF(ABS(AG316/AG304-1)&lt;0.0005,0,(AG316/AG304-1))</f>
        <v>-0.149301547384652</v>
      </c>
      <c r="AL316" s="185"/>
      <c r="AM316" s="156" t="n">
        <f aca="false">IF(E316="..","",A316)</f>
        <v>41944</v>
      </c>
      <c r="AN316" s="57" t="n">
        <f aca="false">IF(ABS(E316-E315)&lt;0.05,0,E316-E315)</f>
        <v>-4.21140645020421</v>
      </c>
      <c r="AO316" s="164" t="n">
        <f aca="false">IF(ABS(E316/E315-1)&lt;0.0005,0,(E316/E315-1))</f>
        <v>-0.0313731162206627</v>
      </c>
      <c r="AP316" s="163" t="n">
        <f aca="false">IF(ABS(E316-E304)&lt;0.05,0,E316-E304)</f>
        <v>-6.17461464937367</v>
      </c>
      <c r="AQ316" s="164" t="n">
        <f aca="false">IF(ABS(E316/E304-1)&lt;0.0005,0,(E316/E304-1))</f>
        <v>-0.0453351217251633</v>
      </c>
      <c r="AR316" s="57" t="n">
        <f aca="false">(E316/1.2)-57.95</f>
        <v>50.4039560191674</v>
      </c>
      <c r="AS316" s="163" t="n">
        <f aca="false">IF(ABS(AR316-AR315)&lt;0.05,0,AR316-AR315)</f>
        <v>-3.50950537517016</v>
      </c>
      <c r="AT316" s="164" t="n">
        <f aca="false">IF(ABS(AR316/AR315-1)&lt;0.0005,0,(AR316/AR315-1))</f>
        <v>-0.0650951596207244</v>
      </c>
      <c r="AU316" s="163" t="n">
        <f aca="false">IF(ABS(AR316-AR304)&lt;0.05,0,AR316-AR304)</f>
        <v>-5.14551220781138</v>
      </c>
      <c r="AV316" s="155" t="n">
        <f aca="false">IF(ABS(AR316/AR304-1)&lt;0.0005,0,(AR316/AR304-1))</f>
        <v>-0.0926293693179291</v>
      </c>
      <c r="AW316" s="185"/>
      <c r="AX316" s="163" t="n">
        <f aca="false">IF(ABS(H316-H315)&lt;0.05,0,H316-H315)</f>
        <v>-0.402523999999993</v>
      </c>
      <c r="AY316" s="164" t="n">
        <f aca="false">IF(ABS(H316/H315-1)&lt;0.0005,0,(H316/H315-1))</f>
        <v>-0.00861471248233348</v>
      </c>
      <c r="AZ316" s="163" t="n">
        <f aca="false">IF(ABS(H316-H304)&lt;0.05,0,H316-H304)</f>
        <v>-8.03834280661381</v>
      </c>
      <c r="BA316" s="164" t="n">
        <f aca="false">IF(ABS(H316/H304-1)&lt;0.0005,0,(H316/H304-1))</f>
        <v>-0.14786966456117</v>
      </c>
      <c r="BB316" s="57" t="n">
        <f aca="false">(H316/1.05)</f>
        <v>44.1168161904762</v>
      </c>
      <c r="BC316" s="163" t="n">
        <f aca="false">IF(ABS(BB316-BB315)&lt;0.05,0,BB316-BB315)</f>
        <v>-0.383356190476185</v>
      </c>
      <c r="BD316" s="164" t="n">
        <f aca="false">IF(ABS(BB316/BB315-1)&lt;0.0005,0,(BB316/BB315-1))</f>
        <v>-0.00861471248233359</v>
      </c>
      <c r="BE316" s="163" t="n">
        <f aca="false">IF(ABS(BB316-BB304)&lt;0.05,0,BB316-BB304)</f>
        <v>-7.65556457772743</v>
      </c>
      <c r="BF316" s="155" t="n">
        <f aca="false">IF(ABS(BB316/BB304-1)&lt;0.0005,0,(BB316/BB304-1))</f>
        <v>-0.14786966456117</v>
      </c>
      <c r="BG316" s="162"/>
      <c r="BH316" s="163" t="n">
        <f aca="false">IF(ABS(I316-I315)&lt;0.05,0,I316-I315)</f>
        <v>-0.864278000000006</v>
      </c>
      <c r="BI316" s="164" t="n">
        <f aca="false">IF(ABS(I316/I315-1)&lt;0.0005,0,(I316/I315-1))</f>
        <v>-0.0147339441054977</v>
      </c>
      <c r="BJ316" s="163" t="n">
        <f aca="false">IF(ABS(I316-I304)&lt;0.05,0,I316-I304)</f>
        <v>-9.52193148592218</v>
      </c>
      <c r="BK316" s="164" t="n">
        <f aca="false">IF(ABS(I316/I304-1)&lt;0.0005,0,(I316/I304-1))</f>
        <v>-0.141449925016865</v>
      </c>
      <c r="BL316" s="57" t="n">
        <f aca="false">(I316/1.05)-11.14</f>
        <v>43.9025647619048</v>
      </c>
      <c r="BM316" s="163" t="n">
        <f aca="false">IF(ABS(BL316-BL315)&lt;0.05,0,BL316-BL315)</f>
        <v>-0.823121904761912</v>
      </c>
      <c r="BN316" s="164" t="n">
        <f aca="false">IF(ABS(BL316/BL315-1)&lt;0.0005,0,(BL316/BL315-1))</f>
        <v>-0.018403784628205</v>
      </c>
      <c r="BO316" s="163" t="n">
        <f aca="false">IF(ABS(BL316-BL304)&lt;0.05,0,BL316-BL304)</f>
        <v>-9.06850617706874</v>
      </c>
      <c r="BP316" s="155" t="n">
        <f aca="false">IF(ABS(BL316/BL304-1)&lt;0.0005,0,(BL316/BL304-1))</f>
        <v>-0.171197335004163</v>
      </c>
      <c r="BQ316" s="162"/>
    </row>
    <row r="317" customFormat="false" ht="12.75" hidden="false" customHeight="true" outlineLevel="0" collapsed="false">
      <c r="A317" s="156" t="n">
        <v>41974</v>
      </c>
      <c r="B317" s="73" t="n">
        <v>2014</v>
      </c>
      <c r="C317" s="157" t="s">
        <v>70</v>
      </c>
      <c r="D317" s="188"/>
      <c r="E317" s="159" t="n">
        <v>123.707627041862</v>
      </c>
      <c r="F317" s="159" t="n">
        <v>116.222038073568</v>
      </c>
      <c r="G317" s="159" t="n">
        <v>122.365558814288</v>
      </c>
      <c r="H317" s="159" t="n">
        <v>41.7492</v>
      </c>
      <c r="I317" s="159" t="n">
        <v>51.403922</v>
      </c>
      <c r="J317" s="159"/>
      <c r="K317" s="159" t="n">
        <v>80.5436966770641</v>
      </c>
      <c r="L317" s="159"/>
      <c r="M317" s="160" t="n">
        <f aca="false">G317-F317</f>
        <v>6.14352074071954</v>
      </c>
      <c r="N317" s="75"/>
      <c r="O317" s="187"/>
      <c r="P317" s="74"/>
      <c r="Q317" s="74"/>
      <c r="R317" s="162"/>
      <c r="S317" s="57" t="n">
        <f aca="false">IF(ABS(F317-F316)&lt;0.05,0,F317-F316)</f>
        <v>-6.25503043984864</v>
      </c>
      <c r="T317" s="178" t="n">
        <f aca="false">IF((ABS(G317/G316-1))&lt;0.0005,0,(G317/G316-1))</f>
        <v>-0.0378551527980684</v>
      </c>
      <c r="U317" s="163" t="n">
        <f aca="false">IF(ABS(F317-F305)&lt;0.05,0,F317-F305)</f>
        <v>-14.5686599264315</v>
      </c>
      <c r="V317" s="164" t="n">
        <f aca="false">IF(ABS(F317/F305-1)&lt;0.0005,0,(F317/F305-1))</f>
        <v>-0.111389113669472</v>
      </c>
      <c r="W317" s="57" t="n">
        <f aca="false">(F317/1.2)-57.95</f>
        <v>38.9016983946404</v>
      </c>
      <c r="X317" s="163" t="n">
        <f aca="false">IF(ABS(W317-W316)&lt;0.05,0,W317-W316)</f>
        <v>-5.21252536654053</v>
      </c>
      <c r="Y317" s="184" t="n">
        <f aca="false">IF(ABS(W317/W316-1)&lt;0.0005,0,(W317/W316-1))</f>
        <v>-0.118159743550274</v>
      </c>
      <c r="Z317" s="163" t="n">
        <f aca="false">IF(ABS(W317-W305)&lt;0.05,0,W317-W305)</f>
        <v>-12.140549938693</v>
      </c>
      <c r="AA317" s="155" t="n">
        <f aca="false">IF(ABS(W317/W305-1)&lt;0.0005,0,(W317/W305-1))</f>
        <v>-0.237852961715335</v>
      </c>
      <c r="AB317" s="185"/>
      <c r="AC317" s="57" t="n">
        <f aca="false">IF(ABS(G317-G316)&lt;0.05,0,G317-G316)</f>
        <v>-4.81441743372317</v>
      </c>
      <c r="AD317" s="164" t="n">
        <f aca="false">IF(ABS(G317/G316-1)&lt;0.0005,0,(G317/G316-1))</f>
        <v>-0.0378551527980684</v>
      </c>
      <c r="AE317" s="163" t="n">
        <f aca="false">IF(ABS(G317-G305)&lt;0.05,0,G317-G305)</f>
        <v>-16.400472185712</v>
      </c>
      <c r="AF317" s="164" t="n">
        <f aca="false">IF(ABS(G317/G305-1)&lt;0.0005,0,(G317/G305-1))</f>
        <v>-0.118187946052244</v>
      </c>
      <c r="AG317" s="57" t="n">
        <f aca="false">(G317/1.2)-57.95</f>
        <v>44.0212990119067</v>
      </c>
      <c r="AH317" s="163" t="n">
        <f aca="false">IF(ABS(AG317-AG316)&lt;0.05,0,AG317-AG316)</f>
        <v>-4.01201452810264</v>
      </c>
      <c r="AI317" s="164" t="n">
        <f aca="false">IF(ABS(AG317/AG316-1)&lt;0.0005,0,(AG317/AG316-1))</f>
        <v>-0.0835256665097826</v>
      </c>
      <c r="AJ317" s="163" t="n">
        <f aca="false">IF(ABS(AG317-AG305)&lt;0.05,0,AG317-AG305)</f>
        <v>-13.66706015476</v>
      </c>
      <c r="AK317" s="155" t="n">
        <f aca="false">IF(ABS(AG317/AG305-1)&lt;0.0005,0,(AG317/AG305-1))</f>
        <v>-0.236911923864478</v>
      </c>
      <c r="AL317" s="185"/>
      <c r="AM317" s="156" t="n">
        <f aca="false">IF(E317="..","",A317)</f>
        <v>41974</v>
      </c>
      <c r="AN317" s="57" t="n">
        <f aca="false">IF(ABS(E317-E316)&lt;0.05,0,E317-E316)</f>
        <v>-6.31712018113896</v>
      </c>
      <c r="AO317" s="164" t="n">
        <f aca="false">IF(ABS(E317/E316-1)&lt;0.0005,0,(E317/E316-1))</f>
        <v>-0.0485839835574123</v>
      </c>
      <c r="AP317" s="163" t="n">
        <f aca="false">IF(ABS(E317-E305)&lt;0.05,0,E317-E305)</f>
        <v>-14.8401465128491</v>
      </c>
      <c r="AQ317" s="164" t="n">
        <f aca="false">IF(ABS(E317/E305-1)&lt;0.0005,0,(E317/E305-1))</f>
        <v>-0.107112125529675</v>
      </c>
      <c r="AR317" s="57" t="n">
        <f aca="false">(E317/1.2)-57.95</f>
        <v>45.1396892015516</v>
      </c>
      <c r="AS317" s="163" t="n">
        <f aca="false">IF(ABS(AR317-AR316)&lt;0.05,0,AR317-AR316)</f>
        <v>-5.26426681761581</v>
      </c>
      <c r="AT317" s="164" t="n">
        <f aca="false">IF(ABS(AR317/AR316-1)&lt;0.0005,0,(AR317/AR316-1))</f>
        <v>-0.104441540573005</v>
      </c>
      <c r="AU317" s="163" t="n">
        <f aca="false">IF(ABS(AR317-AR305)&lt;0.05,0,AR317-AR305)</f>
        <v>-12.3667887607076</v>
      </c>
      <c r="AV317" s="155" t="n">
        <f aca="false">IF(ABS(AR317/AR305-1)&lt;0.0005,0,(AR317/AR305-1))</f>
        <v>-0.215050359523388</v>
      </c>
      <c r="AW317" s="185"/>
      <c r="AX317" s="163" t="n">
        <f aca="false">IF(ABS(H317-H316)&lt;0.05,0,H317-H316)</f>
        <v>-4.573457</v>
      </c>
      <c r="AY317" s="164" t="n">
        <f aca="false">IF(ABS(H317/H316-1)&lt;0.0005,0,(H317/H316-1))</f>
        <v>-0.0987304549477807</v>
      </c>
      <c r="AZ317" s="163" t="n">
        <f aca="false">IF(ABS(H317-H305)&lt;0.05,0,H317-H305)</f>
        <v>-12.9730181396248</v>
      </c>
      <c r="BA317" s="164" t="n">
        <f aca="false">IF(ABS(H317/H305-1)&lt;0.0005,0,(H317/H305-1))</f>
        <v>-0.237070399933788</v>
      </c>
      <c r="BB317" s="57" t="n">
        <f aca="false">(H317/1.05)</f>
        <v>39.7611428571429</v>
      </c>
      <c r="BC317" s="163" t="n">
        <f aca="false">IF(ABS(BB317-BB316)&lt;0.05,0,BB317-BB316)</f>
        <v>-4.35567333333333</v>
      </c>
      <c r="BD317" s="164" t="n">
        <f aca="false">IF(ABS(BB317/BB316-1)&lt;0.0005,0,(BB317/BB316-1))</f>
        <v>-0.0987304549477807</v>
      </c>
      <c r="BE317" s="163" t="n">
        <f aca="false">IF(ABS(BB317-BB305)&lt;0.05,0,BB317-BB305)</f>
        <v>-12.3552553710713</v>
      </c>
      <c r="BF317" s="155" t="n">
        <f aca="false">IF(ABS(BB317/BB305-1)&lt;0.0005,0,(BB317/BB305-1))</f>
        <v>-0.237070399933788</v>
      </c>
      <c r="BG317" s="162"/>
      <c r="BH317" s="163" t="n">
        <f aca="false">IF(ABS(I317-I316)&lt;0.05,0,I317-I316)</f>
        <v>-6.390771</v>
      </c>
      <c r="BI317" s="164" t="n">
        <f aca="false">IF(ABS(I317/I316-1)&lt;0.0005,0,(I317/I316-1))</f>
        <v>-0.110577125135002</v>
      </c>
      <c r="BJ317" s="163" t="n">
        <f aca="false">IF(ABS(I317-I305)&lt;0.05,0,I317-I305)</f>
        <v>-16.3078638272698</v>
      </c>
      <c r="BK317" s="164" t="n">
        <f aca="false">IF(ABS(I317/I305-1)&lt;0.0005,0,(I317/I305-1))</f>
        <v>-0.240842323504369</v>
      </c>
      <c r="BL317" s="57" t="n">
        <f aca="false">(I317/1.05)-11.14</f>
        <v>37.8161161904762</v>
      </c>
      <c r="BM317" s="163" t="n">
        <f aca="false">IF(ABS(BL317-BL316)&lt;0.05,0,BL317-BL316)</f>
        <v>-6.08644857142858</v>
      </c>
      <c r="BN317" s="164" t="n">
        <f aca="false">IF(ABS(BL317/BL316-1)&lt;0.0005,0,(BL317/BL316-1))</f>
        <v>-0.138635375961222</v>
      </c>
      <c r="BO317" s="163" t="n">
        <f aca="false">IF(ABS(BL317-BL305)&lt;0.05,0,BL317-BL305)</f>
        <v>-15.5312988831141</v>
      </c>
      <c r="BP317" s="155" t="n">
        <f aca="false">IF(ABS(BL317/BL305-1)&lt;0.0005,0,(BL317/BL305-1))</f>
        <v>-0.291134984922689</v>
      </c>
      <c r="BQ317" s="162"/>
    </row>
    <row r="318" customFormat="false" ht="12.75" hidden="false" customHeight="true" outlineLevel="0" collapsed="false">
      <c r="A318" s="156" t="n">
        <v>42005</v>
      </c>
      <c r="B318" s="73" t="n">
        <v>2015</v>
      </c>
      <c r="C318" s="157" t="s">
        <v>59</v>
      </c>
      <c r="D318" s="188"/>
      <c r="E318" s="159" t="n">
        <v>116.224320390777</v>
      </c>
      <c r="F318" s="159" t="n">
        <v>108.445090335613</v>
      </c>
      <c r="G318" s="159" t="n">
        <v>115.845130172067</v>
      </c>
      <c r="H318" s="159" t="n">
        <v>36.432617</v>
      </c>
      <c r="I318" s="159" t="n">
        <v>46.331203</v>
      </c>
      <c r="J318" s="159"/>
      <c r="K318" s="159" t="n">
        <v>64.5716740451345</v>
      </c>
      <c r="L318" s="159"/>
      <c r="M318" s="160" t="n">
        <f aca="false">G318-F318</f>
        <v>7.40003983645454</v>
      </c>
      <c r="N318" s="75"/>
      <c r="O318" s="187"/>
      <c r="P318" s="74"/>
      <c r="Q318" s="74"/>
      <c r="R318" s="162"/>
      <c r="S318" s="57" t="n">
        <f aca="false">IF(ABS(F318-F317)&lt;0.05,0,F318-F317)</f>
        <v>-7.77694773795591</v>
      </c>
      <c r="T318" s="178" t="n">
        <f aca="false">IF((ABS(G318/G317-1))&lt;0.0005,0,(G318/G317-1))</f>
        <v>-0.0532864697011424</v>
      </c>
      <c r="U318" s="163" t="n">
        <f aca="false">IF(ABS(F318-F306)&lt;0.05,0,F318-F306)</f>
        <v>-21.7187146643875</v>
      </c>
      <c r="V318" s="164" t="n">
        <f aca="false">IF(ABS(F318/F306-1)&lt;0.0005,0,(F318/F306-1))</f>
        <v>-0.166856789907052</v>
      </c>
      <c r="W318" s="57" t="n">
        <f aca="false">(F318/1.2)-57.95</f>
        <v>32.4209086130105</v>
      </c>
      <c r="X318" s="163" t="n">
        <f aca="false">IF(ABS(W318-W317)&lt;0.05,0,W318-W317)</f>
        <v>-6.48078978162992</v>
      </c>
      <c r="Y318" s="184" t="n">
        <f aca="false">IF(ABS(W318/W317-1)&lt;0.0005,0,(W318/W317-1))</f>
        <v>-0.166594006150714</v>
      </c>
      <c r="Z318" s="163" t="n">
        <f aca="false">IF(ABS(W318-W306)&lt;0.05,0,W318-W306)</f>
        <v>-18.0989288869895</v>
      </c>
      <c r="AA318" s="155" t="n">
        <f aca="false">IF(ABS(W318/W306-1)&lt;0.0005,0,(W318/W306-1))</f>
        <v>-0.35825390148948</v>
      </c>
      <c r="AB318" s="185"/>
      <c r="AC318" s="57" t="n">
        <f aca="false">IF(ABS(G318-G317)&lt;0.05,0,G318-G317)</f>
        <v>-6.52042864222091</v>
      </c>
      <c r="AD318" s="164" t="n">
        <f aca="false">IF(ABS(G318/G317-1)&lt;0.0005,0,(G318/G317-1))</f>
        <v>-0.0532864697011424</v>
      </c>
      <c r="AE318" s="163" t="n">
        <f aca="false">IF(ABS(G318-G306)&lt;0.05,0,G318-G306)</f>
        <v>-22.2615568279329</v>
      </c>
      <c r="AF318" s="164" t="n">
        <f aca="false">IF(ABS(G318/G306-1)&lt;0.0005,0,(G318/G306-1))</f>
        <v>-0.161191013349939</v>
      </c>
      <c r="AG318" s="57" t="n">
        <f aca="false">(G318/1.2)-57.95</f>
        <v>38.5876084767226</v>
      </c>
      <c r="AH318" s="163" t="n">
        <f aca="false">IF(ABS(AG318-AG317)&lt;0.05,0,AG318-AG317)</f>
        <v>-5.43369053518408</v>
      </c>
      <c r="AI318" s="164" t="n">
        <f aca="false">IF(ABS(AG318/AG317-1)&lt;0.0005,0,(AG318/AG317-1))</f>
        <v>-0.1234332165826</v>
      </c>
      <c r="AJ318" s="163" t="n">
        <f aca="false">IF(ABS(AG318-AG306)&lt;0.05,0,AG318-AG306)</f>
        <v>-18.5512973566107</v>
      </c>
      <c r="AK318" s="155" t="n">
        <f aca="false">IF(ABS(AG318/AG306-1)&lt;0.0005,0,(AG318/AG306-1))</f>
        <v>-0.324670154005441</v>
      </c>
      <c r="AL318" s="185"/>
      <c r="AM318" s="156" t="n">
        <f aca="false">IF(E318="..","",A318)</f>
        <v>42005</v>
      </c>
      <c r="AN318" s="57" t="n">
        <f aca="false">IF(ABS(E318-E317)&lt;0.05,0,E318-E317)</f>
        <v>-7.48330665108526</v>
      </c>
      <c r="AO318" s="164" t="n">
        <f aca="false">IF(ABS(E318/E317-1)&lt;0.0005,0,(E318/E317-1))</f>
        <v>-0.0604918777445546</v>
      </c>
      <c r="AP318" s="163" t="n">
        <f aca="false">IF(ABS(E318-E306)&lt;0.05,0,E318-E306)</f>
        <v>-21.5473279388894</v>
      </c>
      <c r="AQ318" s="164" t="n">
        <f aca="false">IF(ABS(E318/E306-1)&lt;0.0005,0,(E318/E306-1))</f>
        <v>-0.156398854191902</v>
      </c>
      <c r="AR318" s="57" t="n">
        <f aca="false">(E318/1.2)-57.95</f>
        <v>38.9036003256472</v>
      </c>
      <c r="AS318" s="163" t="n">
        <f aca="false">IF(ABS(AR318-AR317)&lt;0.05,0,AR318-AR317)</f>
        <v>-6.23608887590439</v>
      </c>
      <c r="AT318" s="164" t="n">
        <f aca="false">IF(ABS(AR318/AR317-1)&lt;0.0005,0,(AR318/AR317-1))</f>
        <v>-0.138150904142469</v>
      </c>
      <c r="AU318" s="163" t="n">
        <f aca="false">IF(ABS(AR318-AR306)&lt;0.05,0,AR318-AR306)</f>
        <v>-17.9561066157412</v>
      </c>
      <c r="AV318" s="155" t="n">
        <f aca="false">IF(ABS(AR318/AR306-1)&lt;0.0005,0,(AR318/AR306-1))</f>
        <v>-0.315796678907447</v>
      </c>
      <c r="AW318" s="185"/>
      <c r="AX318" s="163" t="n">
        <f aca="false">IF(ABS(H318-H317)&lt;0.05,0,H318-H317)</f>
        <v>-5.31658300000001</v>
      </c>
      <c r="AY318" s="164" t="n">
        <f aca="false">IF(ABS(H318/H317-1)&lt;0.0005,0,(H318/H317-1))</f>
        <v>-0.12734574554722</v>
      </c>
      <c r="AZ318" s="163" t="n">
        <f aca="false">IF(ABS(H318-H306)&lt;0.05,0,H318-H306)</f>
        <v>-19.2355709713789</v>
      </c>
      <c r="BA318" s="164" t="n">
        <f aca="false">IF(ABS(H318/H306-1)&lt;0.0005,0,(H318/H306-1))</f>
        <v>-0.345539735930844</v>
      </c>
      <c r="BB318" s="57" t="n">
        <f aca="false">(H318/1.05)</f>
        <v>34.6977304761905</v>
      </c>
      <c r="BC318" s="163" t="n">
        <f aca="false">IF(ABS(BB318-BB317)&lt;0.05,0,BB318-BB317)</f>
        <v>-5.06341238095239</v>
      </c>
      <c r="BD318" s="164" t="n">
        <f aca="false">IF(ABS(BB318/BB317-1)&lt;0.0005,0,(BB318/BB317-1))</f>
        <v>-0.12734574554722</v>
      </c>
      <c r="BE318" s="163" t="n">
        <f aca="false">IF(ABS(BB318-BB306)&lt;0.05,0,BB318-BB306)</f>
        <v>-18.3195914013132</v>
      </c>
      <c r="BF318" s="155" t="n">
        <f aca="false">IF(ABS(BB318/BB306-1)&lt;0.0005,0,(BB318/BB306-1))</f>
        <v>-0.345539735930844</v>
      </c>
      <c r="BG318" s="162"/>
      <c r="BH318" s="163" t="n">
        <f aca="false">IF(ABS(I318-I317)&lt;0.05,0,I318-I317)</f>
        <v>-5.072719</v>
      </c>
      <c r="BI318" s="164" t="n">
        <f aca="false">IF(ABS(I318/I317-1)&lt;0.0005,0,(I318/I317-1))</f>
        <v>-0.0986835012316765</v>
      </c>
      <c r="BJ318" s="163" t="n">
        <f aca="false">IF(ABS(I318-I306)&lt;0.05,0,I318-I306)</f>
        <v>-20.3444993093958</v>
      </c>
      <c r="BK318" s="164" t="n">
        <f aca="false">IF(ABS(I318/I306-1)&lt;0.0005,0,(I318/I306-1))</f>
        <v>-0.30512613447986</v>
      </c>
      <c r="BL318" s="57" t="n">
        <f aca="false">(I318/1.05)-11.14</f>
        <v>32.9849552380952</v>
      </c>
      <c r="BM318" s="163" t="n">
        <f aca="false">IF(ABS(BL318-BL317)&lt;0.05,0,BL318-BL317)</f>
        <v>-4.83116095238095</v>
      </c>
      <c r="BN318" s="164" t="n">
        <f aca="false">IF(ABS(BL318/BL317-1)&lt;0.0005,0,(BL318/BL317-1))</f>
        <v>-0.12775402233394</v>
      </c>
      <c r="BO318" s="163" t="n">
        <f aca="false">IF(ABS(BL318-BL306)&lt;0.05,0,BL318-BL306)</f>
        <v>-19.375713627996</v>
      </c>
      <c r="BP318" s="155" t="n">
        <f aca="false">IF(ABS(BL318/BL306-1)&lt;0.0005,0,(BL318/BL306-1))</f>
        <v>-0.370043279575897</v>
      </c>
      <c r="BQ318" s="162"/>
    </row>
    <row r="319" customFormat="false" ht="12.75" hidden="false" customHeight="true" outlineLevel="0" collapsed="false">
      <c r="A319" s="156" t="n">
        <v>42036</v>
      </c>
      <c r="B319" s="73" t="n">
        <v>2015</v>
      </c>
      <c r="C319" s="157" t="s">
        <v>60</v>
      </c>
      <c r="D319" s="188"/>
      <c r="E319" s="159" t="n">
        <v>114.939098426366</v>
      </c>
      <c r="F319" s="159" t="n">
        <v>107.195255624778</v>
      </c>
      <c r="G319" s="159" t="n">
        <v>114.604824327059</v>
      </c>
      <c r="H319" s="159" t="n">
        <v>37.270316</v>
      </c>
      <c r="I319" s="159" t="n">
        <v>48.711154</v>
      </c>
      <c r="J319" s="159"/>
      <c r="K319" s="159" t="n">
        <v>70.0208320929763</v>
      </c>
      <c r="L319" s="159"/>
      <c r="M319" s="160" t="n">
        <f aca="false">G319-F319</f>
        <v>7.40956870228158</v>
      </c>
      <c r="N319" s="75"/>
      <c r="O319" s="187"/>
      <c r="P319" s="74"/>
      <c r="Q319" s="74"/>
      <c r="R319" s="162"/>
      <c r="S319" s="57" t="n">
        <f aca="false">IF(ABS(F319-F318)&lt;0.05,0,F319-F318)</f>
        <v>-1.24983471083488</v>
      </c>
      <c r="T319" s="178" t="n">
        <f aca="false">IF((ABS(G319/G318-1))&lt;0.0005,0,(G319/G318-1))</f>
        <v>-0.0107065859666745</v>
      </c>
      <c r="U319" s="163" t="n">
        <f aca="false">IF(ABS(F319-F307)&lt;0.05,0,F319-F307)</f>
        <v>-21.8013793752224</v>
      </c>
      <c r="V319" s="164" t="n">
        <f aca="false">IF(ABS(F319/F307-1)&lt;0.0005,0,(F319/F307-1))</f>
        <v>-0.169007349495763</v>
      </c>
      <c r="W319" s="57" t="n">
        <f aca="false">(F319/1.2)-57.95</f>
        <v>31.3793796873147</v>
      </c>
      <c r="X319" s="163" t="n">
        <f aca="false">IF(ABS(W319-W318)&lt;0.05,0,W319-W318)</f>
        <v>-1.04152892569573</v>
      </c>
      <c r="Y319" s="184" t="n">
        <f aca="false">IF(ABS(W319/W318-1)&lt;0.0005,0,(W319/W318-1))</f>
        <v>-0.0321252232048107</v>
      </c>
      <c r="Z319" s="163" t="n">
        <f aca="false">IF(ABS(W319-W307)&lt;0.05,0,W319-W307)</f>
        <v>-18.1678161460186</v>
      </c>
      <c r="AA319" s="155" t="n">
        <f aca="false">IF(ABS(W319/W307-1)&lt;0.0005,0,(W319/W307-1))</f>
        <v>-0.366676980209565</v>
      </c>
      <c r="AB319" s="185"/>
      <c r="AC319" s="57" t="n">
        <f aca="false">IF(ABS(G319-G318)&lt;0.05,0,G319-G318)</f>
        <v>-1.24030584500784</v>
      </c>
      <c r="AD319" s="164" t="n">
        <f aca="false">IF(ABS(G319/G318-1)&lt;0.0005,0,(G319/G318-1))</f>
        <v>-0.0107065859666745</v>
      </c>
      <c r="AE319" s="163" t="n">
        <f aca="false">IF(ABS(G319-G307)&lt;0.05,0,G319-G307)</f>
        <v>-22.0487356729408</v>
      </c>
      <c r="AF319" s="164" t="n">
        <f aca="false">IF(ABS(G319/G307-1)&lt;0.0005,0,(G319/G307-1))</f>
        <v>-0.161347685877636</v>
      </c>
      <c r="AG319" s="57" t="n">
        <f aca="false">(G319/1.2)-57.95</f>
        <v>37.5540202725494</v>
      </c>
      <c r="AH319" s="163" t="n">
        <f aca="false">IF(ABS(AG319-AG318)&lt;0.05,0,AG319-AG318)</f>
        <v>-1.0335882041732</v>
      </c>
      <c r="AI319" s="164" t="n">
        <f aca="false">IF(ABS(AG319/AG318-1)&lt;0.0005,0,(AG319/AG318-1))</f>
        <v>-0.0267854952658364</v>
      </c>
      <c r="AJ319" s="163" t="n">
        <f aca="false">IF(ABS(AG319-AG307)&lt;0.05,0,AG319-AG307)</f>
        <v>-18.3739463941173</v>
      </c>
      <c r="AK319" s="155" t="n">
        <f aca="false">IF(ABS(AG319/AG307-1)&lt;0.0005,0,(AG319/AG307-1))</f>
        <v>-0.328528775301753</v>
      </c>
      <c r="AL319" s="185"/>
      <c r="AM319" s="156" t="n">
        <f aca="false">IF(E319="..","",A319)</f>
        <v>42036</v>
      </c>
      <c r="AN319" s="57" t="n">
        <f aca="false">IF(ABS(E319-E318)&lt;0.05,0,E319-E318)</f>
        <v>-1.28522196441024</v>
      </c>
      <c r="AO319" s="164" t="n">
        <f aca="false">IF(ABS(E319/E318-1)&lt;0.0005,0,(E319/E318-1))</f>
        <v>-0.011058115548355</v>
      </c>
      <c r="AP319" s="163" t="n">
        <f aca="false">IF(ABS(E319-E307)&lt;0.05,0,E319-E307)</f>
        <v>-21.3974128758941</v>
      </c>
      <c r="AQ319" s="164" t="n">
        <f aca="false">IF(ABS(E319/E307-1)&lt;0.0005,0,(E319/E307-1))</f>
        <v>-0.156945580252202</v>
      </c>
      <c r="AR319" s="57" t="n">
        <f aca="false">(E319/1.2)-57.95</f>
        <v>37.832582021972</v>
      </c>
      <c r="AS319" s="163" t="n">
        <f aca="false">IF(ABS(AR319-AR318)&lt;0.05,0,AR319-AR318)</f>
        <v>-1.0710183036752</v>
      </c>
      <c r="AT319" s="164" t="n">
        <f aca="false">IF(ABS(AR319/AR318-1)&lt;0.0005,0,(AR319/AR318-1))</f>
        <v>-0.0275300562084259</v>
      </c>
      <c r="AU319" s="163" t="n">
        <f aca="false">IF(ABS(AR319-AR307)&lt;0.05,0,AR319-AR307)</f>
        <v>-17.8311773965784</v>
      </c>
      <c r="AV319" s="155" t="n">
        <f aca="false">IF(ABS(AR319/AR307-1)&lt;0.0005,0,(AR319/AR307-1))</f>
        <v>-0.320337281973737</v>
      </c>
      <c r="AW319" s="185"/>
      <c r="AX319" s="163" t="n">
        <f aca="false">IF(ABS(H319-H318)&lt;0.05,0,H319-H318)</f>
        <v>0.837699000000001</v>
      </c>
      <c r="AY319" s="164" t="n">
        <f aca="false">IF(ABS(H319/H318-1)&lt;0.0005,0,(H319/H318-1))</f>
        <v>0.0229931053264716</v>
      </c>
      <c r="AZ319" s="163" t="n">
        <f aca="false">IF(ABS(H319-H307)&lt;0.05,0,H319-H307)</f>
        <v>-15.59699786579</v>
      </c>
      <c r="BA319" s="164" t="n">
        <f aca="false">IF(ABS(H319/H307-1)&lt;0.0005,0,(H319/H307-1))</f>
        <v>-0.295021568627164</v>
      </c>
      <c r="BB319" s="57" t="n">
        <f aca="false">(H319/1.05)</f>
        <v>35.495539047619</v>
      </c>
      <c r="BC319" s="163" t="n">
        <f aca="false">IF(ABS(BB319-BB318)&lt;0.05,0,BB319-BB318)</f>
        <v>0.797808571428568</v>
      </c>
      <c r="BD319" s="164" t="n">
        <f aca="false">IF(ABS(BB319/BB318-1)&lt;0.0005,0,(BB319/BB318-1))</f>
        <v>0.0229931053264716</v>
      </c>
      <c r="BE319" s="163" t="n">
        <f aca="false">IF(ABS(BB319-BB307)&lt;0.05,0,BB319-BB307)</f>
        <v>-14.8542836817048</v>
      </c>
      <c r="BF319" s="155" t="n">
        <f aca="false">IF(ABS(BB319/BB307-1)&lt;0.0005,0,(BB319/BB307-1))</f>
        <v>-0.295021568627164</v>
      </c>
      <c r="BG319" s="162"/>
      <c r="BH319" s="163" t="n">
        <f aca="false">IF(ABS(I319-I318)&lt;0.05,0,I319-I318)</f>
        <v>2.379951</v>
      </c>
      <c r="BI319" s="164" t="n">
        <f aca="false">IF(ABS(I319/I318-1)&lt;0.0005,0,(I319/I318-1))</f>
        <v>0.0513682107498914</v>
      </c>
      <c r="BJ319" s="163" t="n">
        <f aca="false">IF(ABS(I319-I307)&lt;0.05,0,I319-I307)</f>
        <v>-17.1013388819994</v>
      </c>
      <c r="BK319" s="164" t="n">
        <f aca="false">IF(ABS(I319/I307-1)&lt;0.0005,0,(I319/I307-1))</f>
        <v>-0.259849431819302</v>
      </c>
      <c r="BL319" s="57" t="n">
        <f aca="false">(I319/1.05)-11.14</f>
        <v>35.2515752380952</v>
      </c>
      <c r="BM319" s="163" t="n">
        <f aca="false">IF(ABS(BL319-BL318)&lt;0.05,0,BL319-BL318)</f>
        <v>2.26662</v>
      </c>
      <c r="BN319" s="164" t="n">
        <f aca="false">IF(ABS(BL319/BL318-1)&lt;0.0005,0,(BL319/BL318-1))</f>
        <v>0.068716782655573</v>
      </c>
      <c r="BO319" s="163" t="n">
        <f aca="false">IF(ABS(BL319-BL307)&lt;0.05,0,BL319-BL307)</f>
        <v>-16.286989411428</v>
      </c>
      <c r="BP319" s="155" t="n">
        <f aca="false">IF(ABS(BL319/BL307-1)&lt;0.0005,0,(BL319/BL307-1))</f>
        <v>-0.316015580220057</v>
      </c>
      <c r="BQ319" s="162"/>
    </row>
    <row r="320" customFormat="false" ht="12.75" hidden="false" customHeight="true" outlineLevel="0" collapsed="false">
      <c r="A320" s="156" t="n">
        <v>42064</v>
      </c>
      <c r="B320" s="73" t="n">
        <v>2015</v>
      </c>
      <c r="C320" s="157" t="s">
        <v>61</v>
      </c>
      <c r="D320" s="188"/>
      <c r="E320" s="159" t="n">
        <v>118.682512549955</v>
      </c>
      <c r="F320" s="159" t="n">
        <v>111.04205281257</v>
      </c>
      <c r="G320" s="159" t="n">
        <v>118.210980755537</v>
      </c>
      <c r="H320" s="159" t="n">
        <v>36.843831</v>
      </c>
      <c r="I320" s="159" t="n">
        <v>48.566275</v>
      </c>
      <c r="J320" s="159"/>
      <c r="K320" s="159" t="n">
        <v>73.8442348821404</v>
      </c>
      <c r="L320" s="159"/>
      <c r="M320" s="160" t="n">
        <f aca="false">G320-F320</f>
        <v>7.16892794296652</v>
      </c>
      <c r="N320" s="75"/>
      <c r="O320" s="187"/>
      <c r="P320" s="74"/>
      <c r="Q320" s="74"/>
      <c r="R320" s="162"/>
      <c r="S320" s="57" t="n">
        <f aca="false">IF(ABS(F320-F319)&lt;0.05,0,F320-F319)</f>
        <v>3.84679718779263</v>
      </c>
      <c r="T320" s="178" t="n">
        <f aca="false">IF((ABS(G320/G319-1))&lt;0.0005,0,(G320/G319-1))</f>
        <v>0.0314660089542682</v>
      </c>
      <c r="U320" s="163" t="n">
        <f aca="false">IF(ABS(F320-F308)&lt;0.05,0,F320-F308)</f>
        <v>-17.5749711874297</v>
      </c>
      <c r="V320" s="164" t="n">
        <f aca="false">IF(ABS(F320/F308-1)&lt;0.0005,0,(F320/F308-1))</f>
        <v>-0.136645761508443</v>
      </c>
      <c r="W320" s="57" t="n">
        <f aca="false">(F320/1.2)-57.95</f>
        <v>34.5850440104753</v>
      </c>
      <c r="X320" s="163" t="n">
        <f aca="false">IF(ABS(W320-W319)&lt;0.05,0,W320-W319)</f>
        <v>3.20566432316053</v>
      </c>
      <c r="Y320" s="184" t="n">
        <f aca="false">IF(ABS(W320/W319-1)&lt;0.0005,0,(W320/W319-1))</f>
        <v>0.102158307624431</v>
      </c>
      <c r="Z320" s="163" t="n">
        <f aca="false">IF(ABS(W320-W308)&lt;0.05,0,W320-W308)</f>
        <v>-14.6458093228581</v>
      </c>
      <c r="AA320" s="155" t="n">
        <f aca="false">IF(ABS(W320/W308-1)&lt;0.0005,0,(W320/W308-1))</f>
        <v>-0.297492493654212</v>
      </c>
      <c r="AB320" s="185"/>
      <c r="AC320" s="57" t="n">
        <f aca="false">IF(ABS(G320-G319)&lt;0.05,0,G320-G319)</f>
        <v>3.60615642847758</v>
      </c>
      <c r="AD320" s="164" t="n">
        <f aca="false">IF(ABS(G320/G319-1)&lt;0.0005,0,(G320/G319-1))</f>
        <v>0.0314660089542682</v>
      </c>
      <c r="AE320" s="163" t="n">
        <f aca="false">IF(ABS(G320-G308)&lt;0.05,0,G320-G308)</f>
        <v>-17.8190232444632</v>
      </c>
      <c r="AF320" s="164" t="n">
        <f aca="false">IF(ABS(G320/G308-1)&lt;0.0005,0,(G320/G308-1))</f>
        <v>-0.130993330298389</v>
      </c>
      <c r="AG320" s="57" t="n">
        <f aca="false">(G320/1.2)-57.95</f>
        <v>40.559150629614</v>
      </c>
      <c r="AH320" s="163" t="n">
        <f aca="false">IF(ABS(AG320-AG319)&lt;0.05,0,AG320-AG319)</f>
        <v>3.00513035706464</v>
      </c>
      <c r="AI320" s="164" t="n">
        <f aca="false">IF(ABS(AG320/AG319-1)&lt;0.0005,0,(AG320/AG319-1))</f>
        <v>0.0800215352512148</v>
      </c>
      <c r="AJ320" s="163" t="n">
        <f aca="false">IF(ABS(AG320-AG308)&lt;0.05,0,AG320-AG308)</f>
        <v>-14.8491860370527</v>
      </c>
      <c r="AK320" s="155" t="n">
        <f aca="false">IF(ABS(AG320/AG308-1)&lt;0.0005,0,(AG320/AG308-1))</f>
        <v>-0.267995520717117</v>
      </c>
      <c r="AL320" s="185"/>
      <c r="AM320" s="156" t="n">
        <f aca="false">IF(E320="..","",A320)</f>
        <v>42064</v>
      </c>
      <c r="AN320" s="57" t="n">
        <f aca="false">IF(ABS(E320-E319)&lt;0.05,0,E320-E319)</f>
        <v>3.74341412358913</v>
      </c>
      <c r="AO320" s="164" t="n">
        <f aca="false">IF(ABS(E320/E319-1)&lt;0.0005,0,(E320/E319-1))</f>
        <v>0.0325686748446812</v>
      </c>
      <c r="AP320" s="163" t="n">
        <f aca="false">IF(ABS(E320-E308)&lt;0.05,0,E320-E308)</f>
        <v>-17.5790377601065</v>
      </c>
      <c r="AQ320" s="164" t="n">
        <f aca="false">IF(ABS(E320/E308-1)&lt;0.0005,0,(E320/E308-1))</f>
        <v>-0.129009524110841</v>
      </c>
      <c r="AR320" s="57" t="n">
        <f aca="false">(E320/1.2)-57.95</f>
        <v>40.9520937916296</v>
      </c>
      <c r="AS320" s="163" t="n">
        <f aca="false">IF(ABS(AR320-AR319)&lt;0.05,0,AR320-AR319)</f>
        <v>3.11951176965762</v>
      </c>
      <c r="AT320" s="164" t="n">
        <f aca="false">IF(ABS(AR320/AR319-1)&lt;0.0005,0,(AR320/AR319-1))</f>
        <v>0.0824556930279279</v>
      </c>
      <c r="AU320" s="163" t="n">
        <f aca="false">IF(ABS(AR320-AR308)&lt;0.05,0,AR320-AR308)</f>
        <v>-14.6491981334221</v>
      </c>
      <c r="AV320" s="155" t="n">
        <f aca="false">IF(ABS(AR320/AR308-1)&lt;0.0005,0,(AR320/AR308-1))</f>
        <v>-0.263468664598093</v>
      </c>
      <c r="AW320" s="185"/>
      <c r="AX320" s="163" t="n">
        <f aca="false">IF(ABS(H320-H319)&lt;0.05,0,H320-H319)</f>
        <v>-0.426485</v>
      </c>
      <c r="AY320" s="164" t="n">
        <f aca="false">IF(ABS(H320/H319-1)&lt;0.0005,0,(H320/H319-1))</f>
        <v>-0.0114430207675191</v>
      </c>
      <c r="AZ320" s="163" t="n">
        <f aca="false">IF(ABS(H320-H308)&lt;0.05,0,H320-H308)</f>
        <v>-14.7418990328757</v>
      </c>
      <c r="BA320" s="164" t="n">
        <f aca="false">IF(ABS(H320/H308-1)&lt;0.0005,0,(H320/H308-1))</f>
        <v>-0.285774748626813</v>
      </c>
      <c r="BB320" s="57" t="n">
        <f aca="false">(H320/1.05)</f>
        <v>35.0893628571429</v>
      </c>
      <c r="BC320" s="163" t="n">
        <f aca="false">IF(ABS(BB320-BB319)&lt;0.05,0,BB320-BB319)</f>
        <v>-0.406176190476188</v>
      </c>
      <c r="BD320" s="164" t="n">
        <f aca="false">IF(ABS(BB320/BB319-1)&lt;0.0005,0,(BB320/BB319-1))</f>
        <v>-0.011443020767519</v>
      </c>
      <c r="BE320" s="163" t="n">
        <f aca="false">IF(ABS(BB320-BB308)&lt;0.05,0,BB320-BB308)</f>
        <v>-14.039903840834</v>
      </c>
      <c r="BF320" s="155" t="n">
        <f aca="false">IF(ABS(BB320/BB308-1)&lt;0.0005,0,(BB320/BB308-1))</f>
        <v>-0.285774748626813</v>
      </c>
      <c r="BG320" s="162"/>
      <c r="BH320" s="163" t="n">
        <f aca="false">IF(ABS(I320-I319)&lt;0.05,0,I320-I319)</f>
        <v>-0.144878999999996</v>
      </c>
      <c r="BI320" s="164" t="n">
        <f aca="false">IF(ABS(I320/I319-1)&lt;0.0005,0,(I320/I319-1))</f>
        <v>-0.00297424692504711</v>
      </c>
      <c r="BJ320" s="163" t="n">
        <f aca="false">IF(ABS(I320-I308)&lt;0.05,0,I320-I308)</f>
        <v>-17.0359584704208</v>
      </c>
      <c r="BK320" s="164" t="n">
        <f aca="false">IF(ABS(I320/I308-1)&lt;0.0005,0,(I320/I308-1))</f>
        <v>-0.259685647411716</v>
      </c>
      <c r="BL320" s="57" t="n">
        <f aca="false">(I320/1.05)-11.14</f>
        <v>35.1135952380952</v>
      </c>
      <c r="BM320" s="163" t="n">
        <f aca="false">IF(ABS(BL320-BL319)&lt;0.05,0,BL320-BL319)</f>
        <v>-0.137979999999992</v>
      </c>
      <c r="BN320" s="164" t="n">
        <f aca="false">IF(ABS(BL320/BL319-1)&lt;0.0005,0,(BL320/BL319-1))</f>
        <v>-0.00391415132708395</v>
      </c>
      <c r="BO320" s="163" t="n">
        <f aca="false">IF(ABS(BL320-BL308)&lt;0.05,0,BL320-BL308)</f>
        <v>-16.2247223527817</v>
      </c>
      <c r="BP320" s="155" t="n">
        <f aca="false">IF(ABS(BL320/BL308-1)&lt;0.0005,0,(BL320/BL308-1))</f>
        <v>-0.316035334115914</v>
      </c>
      <c r="BQ320" s="162"/>
    </row>
    <row r="321" customFormat="false" ht="12.75" hidden="false" customHeight="true" outlineLevel="0" collapsed="false">
      <c r="A321" s="156" t="n">
        <v>42095</v>
      </c>
      <c r="B321" s="73" t="n">
        <v>2015</v>
      </c>
      <c r="C321" s="157" t="s">
        <v>62</v>
      </c>
      <c r="D321" s="188"/>
      <c r="E321" s="159" t="n">
        <v>120.074166806554</v>
      </c>
      <c r="F321" s="159" t="n">
        <v>112.547473221618</v>
      </c>
      <c r="G321" s="159" t="n">
        <v>119.09091328263</v>
      </c>
      <c r="H321" s="159" t="n">
        <v>36.47362</v>
      </c>
      <c r="I321" s="159" t="n">
        <v>48.200792</v>
      </c>
      <c r="J321" s="159"/>
      <c r="K321" s="159" t="n">
        <v>76.2329809669158</v>
      </c>
      <c r="L321" s="159"/>
      <c r="M321" s="160" t="n">
        <f aca="false">G321-F321</f>
        <v>6.54344006101232</v>
      </c>
      <c r="N321" s="75"/>
      <c r="O321" s="187"/>
      <c r="P321" s="74"/>
      <c r="Q321" s="74"/>
      <c r="R321" s="162"/>
      <c r="S321" s="57" t="n">
        <f aca="false">IF(ABS(F321-F320)&lt;0.05,0,F321-F320)</f>
        <v>1.50542040904726</v>
      </c>
      <c r="T321" s="178" t="n">
        <f aca="false">IF((ABS(G321/G320-1))&lt;0.0005,0,(G321/G320-1))</f>
        <v>0.00744374610098864</v>
      </c>
      <c r="U321" s="163" t="n">
        <f aca="false">IF(ABS(F321-F309)&lt;0.05,0,F321-F309)</f>
        <v>-16.2465827783824</v>
      </c>
      <c r="V321" s="164" t="n">
        <f aca="false">IF(ABS(F321/F309-1)&lt;0.0005,0,(F321/F309-1))</f>
        <v>-0.126143886472389</v>
      </c>
      <c r="W321" s="57" t="n">
        <f aca="false">(F321/1.2)-57.95</f>
        <v>35.8395610180146</v>
      </c>
      <c r="X321" s="163" t="n">
        <f aca="false">IF(ABS(W321-W320)&lt;0.05,0,W321-W320)</f>
        <v>1.25451700753938</v>
      </c>
      <c r="Y321" s="184" t="n">
        <f aca="false">IF(ABS(W321/W320-1)&lt;0.0005,0,(W321/W320-1))</f>
        <v>0.0362733963027315</v>
      </c>
      <c r="Z321" s="163" t="n">
        <f aca="false">IF(ABS(W321-W309)&lt;0.05,0,W321-W309)</f>
        <v>-13.5388189819854</v>
      </c>
      <c r="AA321" s="155" t="n">
        <f aca="false">IF(ABS(W321/W309-1)&lt;0.0005,0,(W321/W309-1))</f>
        <v>-0.274185159213109</v>
      </c>
      <c r="AB321" s="185"/>
      <c r="AC321" s="57" t="n">
        <f aca="false">IF(ABS(G321-G320)&lt;0.05,0,G321-G320)</f>
        <v>0.879932527093061</v>
      </c>
      <c r="AD321" s="164" t="n">
        <f aca="false">IF(ABS(G321/G320-1)&lt;0.0005,0,(G321/G320-1))</f>
        <v>0.00744374610098864</v>
      </c>
      <c r="AE321" s="163" t="n">
        <f aca="false">IF(ABS(G321-G309)&lt;0.05,0,G321-G309)</f>
        <v>-16.7768237173701</v>
      </c>
      <c r="AF321" s="164" t="n">
        <f aca="false">IF(ABS(G321/G309-1)&lt;0.0005,0,(G321/G309-1))</f>
        <v>-0.123479084054886</v>
      </c>
      <c r="AG321" s="57" t="n">
        <f aca="false">(G321/1.2)-57.95</f>
        <v>41.2924277355249</v>
      </c>
      <c r="AH321" s="163" t="n">
        <f aca="false">IF(ABS(AG321-AG320)&lt;0.05,0,AG321-AG320)</f>
        <v>0.733277105910887</v>
      </c>
      <c r="AI321" s="164" t="n">
        <f aca="false">IF(ABS(AG321/AG320-1)&lt;0.0005,0,(AG321/AG320-1))</f>
        <v>0.0180792027083401</v>
      </c>
      <c r="AJ321" s="163" t="n">
        <f aca="false">IF(ABS(AG321-AG309)&lt;0.05,0,AG321-AG309)</f>
        <v>-13.9806864311417</v>
      </c>
      <c r="AK321" s="155" t="n">
        <f aca="false">IF(ABS(AG321/AG309-1)&lt;0.0005,0,(AG321/AG309-1))</f>
        <v>-0.252938280064795</v>
      </c>
      <c r="AL321" s="185"/>
      <c r="AM321" s="156" t="n">
        <f aca="false">IF(E321="..","",A321)</f>
        <v>42095</v>
      </c>
      <c r="AN321" s="57" t="n">
        <f aca="false">IF(ABS(E321-E320)&lt;0.05,0,E321-E320)</f>
        <v>1.3916542565986</v>
      </c>
      <c r="AO321" s="164" t="n">
        <f aca="false">IF(ABS(E321/E320-1)&lt;0.0005,0,(E321/E320-1))</f>
        <v>0.0117258577249351</v>
      </c>
      <c r="AP321" s="163" t="n">
        <f aca="false">IF(ABS(E321-E309)&lt;0.05,0,E321-E309)</f>
        <v>-16.2698960060084</v>
      </c>
      <c r="AQ321" s="164" t="n">
        <f aca="false">IF(ABS(E321/E309-1)&lt;0.0005,0,(E321/E309-1))</f>
        <v>-0.119329699221119</v>
      </c>
      <c r="AR321" s="57" t="n">
        <f aca="false">(E321/1.2)-57.95</f>
        <v>42.1118056721284</v>
      </c>
      <c r="AS321" s="163" t="n">
        <f aca="false">IF(ABS(AR321-AR320)&lt;0.05,0,AR321-AR320)</f>
        <v>1.15971188049883</v>
      </c>
      <c r="AT321" s="164" t="n">
        <f aca="false">IF(ABS(AR321/AR320-1)&lt;0.0005,0,(AR321/AR320-1))</f>
        <v>0.0283187444920308</v>
      </c>
      <c r="AU321" s="163" t="n">
        <f aca="false">IF(ABS(AR321-AR309)&lt;0.05,0,AR321-AR309)</f>
        <v>-13.5582466716737</v>
      </c>
      <c r="AV321" s="155" t="n">
        <f aca="false">IF(ABS(AR321/AR309-1)&lt;0.0005,0,(AR321/AR309-1))</f>
        <v>-0.243546504823489</v>
      </c>
      <c r="AW321" s="185"/>
      <c r="AX321" s="163" t="n">
        <f aca="false">IF(ABS(H321-H320)&lt;0.05,0,H321-H320)</f>
        <v>-0.370210999999991</v>
      </c>
      <c r="AY321" s="164" t="n">
        <f aca="false">IF(ABS(H321/H320-1)&lt;0.0005,0,(H321/H320-1))</f>
        <v>-0.0100481136177177</v>
      </c>
      <c r="AZ321" s="163" t="n">
        <f aca="false">IF(ABS(H321-H309)&lt;0.05,0,H321-H309)</f>
        <v>-14.8834830748404</v>
      </c>
      <c r="BA321" s="164" t="n">
        <f aca="false">IF(ABS(H321/H309-1)&lt;0.0005,0,(H321/H309-1))</f>
        <v>-0.289803789227585</v>
      </c>
      <c r="BB321" s="57" t="n">
        <f aca="false">(H321/1.05)</f>
        <v>34.736780952381</v>
      </c>
      <c r="BC321" s="163" t="n">
        <f aca="false">IF(ABS(BB321-BB320)&lt;0.05,0,BB321-BB320)</f>
        <v>-0.352581904761898</v>
      </c>
      <c r="BD321" s="164" t="n">
        <f aca="false">IF(ABS(BB321/BB320-1)&lt;0.0005,0,(BB321/BB320-1))</f>
        <v>-0.0100481136177178</v>
      </c>
      <c r="BE321" s="163" t="n">
        <f aca="false">IF(ABS(BB321-BB309)&lt;0.05,0,BB321-BB309)</f>
        <v>-14.1747457855623</v>
      </c>
      <c r="BF321" s="155" t="n">
        <f aca="false">IF(ABS(BB321/BB309-1)&lt;0.0005,0,(BB321/BB309-1))</f>
        <v>-0.289803789227585</v>
      </c>
      <c r="BG321" s="162"/>
      <c r="BH321" s="163" t="n">
        <f aca="false">IF(ABS(I321-I320)&lt;0.05,0,I321-I320)</f>
        <v>-0.365482999999998</v>
      </c>
      <c r="BI321" s="164" t="n">
        <f aca="false">IF(ABS(I321/I320-1)&lt;0.0005,0,(I321/I320-1))</f>
        <v>-0.00752544847221648</v>
      </c>
      <c r="BJ321" s="163" t="n">
        <f aca="false">IF(ABS(I321-I309)&lt;0.05,0,I321-I309)</f>
        <v>-18.4931434634609</v>
      </c>
      <c r="BK321" s="164" t="n">
        <f aca="false">IF(ABS(I321/I309-1)&lt;0.0005,0,(I321/I309-1))</f>
        <v>-0.277283734044944</v>
      </c>
      <c r="BL321" s="57" t="n">
        <f aca="false">(I321/1.05)-11.14</f>
        <v>34.7655161904762</v>
      </c>
      <c r="BM321" s="163" t="n">
        <f aca="false">IF(ABS(BL321-BL320)&lt;0.05,0,BL321-BL320)</f>
        <v>-0.348079047619045</v>
      </c>
      <c r="BN321" s="164" t="n">
        <f aca="false">IF(ABS(BL321/BL320-1)&lt;0.0005,0,(BL321/BL320-1))</f>
        <v>-0.00991294241614449</v>
      </c>
      <c r="BO321" s="163" t="n">
        <f aca="false">IF(ABS(BL321-BL309)&lt;0.05,0,BL321-BL309)</f>
        <v>-17.6125175842485</v>
      </c>
      <c r="BP321" s="155" t="n">
        <f aca="false">IF(ABS(BL321/BL309-1)&lt;0.0005,0,(BL321/BL309-1))</f>
        <v>-0.336257707954427</v>
      </c>
      <c r="BQ321" s="162"/>
    </row>
    <row r="322" customFormat="false" ht="12.75" hidden="false" customHeight="true" outlineLevel="0" collapsed="false">
      <c r="A322" s="156" t="n">
        <v>42125</v>
      </c>
      <c r="B322" s="73" t="n">
        <v>2015</v>
      </c>
      <c r="C322" s="157" t="s">
        <v>63</v>
      </c>
      <c r="D322" s="188"/>
      <c r="E322" s="159" t="n">
        <v>123.324616693154</v>
      </c>
      <c r="F322" s="159" t="n">
        <v>115.749557907642</v>
      </c>
      <c r="G322" s="159" t="n">
        <v>120.967454800935</v>
      </c>
      <c r="H322" s="159" t="n">
        <v>36.870227</v>
      </c>
      <c r="I322" s="159" t="n">
        <v>49.479605</v>
      </c>
      <c r="J322" s="159"/>
      <c r="K322" s="159" t="n">
        <v>80.4390988936771</v>
      </c>
      <c r="L322" s="159"/>
      <c r="M322" s="160" t="n">
        <f aca="false">G322-F322</f>
        <v>5.21789689329293</v>
      </c>
      <c r="N322" s="75"/>
      <c r="O322" s="187"/>
      <c r="P322" s="74"/>
      <c r="Q322" s="74"/>
      <c r="R322" s="162"/>
      <c r="S322" s="57" t="n">
        <f aca="false">IF(ABS(F322-F321)&lt;0.05,0,F322-F321)</f>
        <v>3.20208468602421</v>
      </c>
      <c r="T322" s="178" t="n">
        <f aca="false">IF((ABS(G322/G321-1))&lt;0.0005,0,(G322/G321-1))</f>
        <v>0.0157572183013774</v>
      </c>
      <c r="U322" s="163" t="n">
        <f aca="false">IF(ABS(F322-F310)&lt;0.05,0,F322-F310)</f>
        <v>-13.5695750923582</v>
      </c>
      <c r="V322" s="164" t="n">
        <f aca="false">IF(ABS(F322/F310-1)&lt;0.0005,0,(F322/F310-1))</f>
        <v>-0.104930916079976</v>
      </c>
      <c r="W322" s="57" t="n">
        <f aca="false">(F322/1.2)-57.95</f>
        <v>38.5079649230348</v>
      </c>
      <c r="X322" s="163" t="n">
        <f aca="false">IF(ABS(W322-W321)&lt;0.05,0,W322-W321)</f>
        <v>2.66840390502017</v>
      </c>
      <c r="Y322" s="184" t="n">
        <f aca="false">IF(ABS(W322/W321-1)&lt;0.0005,0,(W322/W321-1))</f>
        <v>0.0744541458998034</v>
      </c>
      <c r="Z322" s="163" t="n">
        <f aca="false">IF(ABS(W322-W310)&lt;0.05,0,W322-W310)</f>
        <v>-11.3079792436318</v>
      </c>
      <c r="AA322" s="155" t="n">
        <f aca="false">IF(ABS(W322/W310-1)&lt;0.0005,0,(W322/W310-1))</f>
        <v>-0.226995180615253</v>
      </c>
      <c r="AB322" s="185"/>
      <c r="AC322" s="57" t="n">
        <f aca="false">IF(ABS(G322-G321)&lt;0.05,0,G322-G321)</f>
        <v>1.87654151830482</v>
      </c>
      <c r="AD322" s="164" t="n">
        <f aca="false">IF(ABS(G322/G321-1)&lt;0.0005,0,(G322/G321-1))</f>
        <v>0.0157572183013774</v>
      </c>
      <c r="AE322" s="163" t="n">
        <f aca="false">IF(ABS(G322-G310)&lt;0.05,0,G322-G310)</f>
        <v>-15.1364341990653</v>
      </c>
      <c r="AF322" s="164" t="n">
        <f aca="false">IF(ABS(G322/G310-1)&lt;0.0005,0,(G322/G310-1))</f>
        <v>-0.11121235631309</v>
      </c>
      <c r="AG322" s="57" t="n">
        <f aca="false">(G322/1.2)-57.95</f>
        <v>42.8562123341123</v>
      </c>
      <c r="AH322" s="163" t="n">
        <f aca="false">IF(ABS(AG322-AG321)&lt;0.05,0,AG322-AG321)</f>
        <v>1.56378459858735</v>
      </c>
      <c r="AI322" s="164" t="n">
        <f aca="false">IF(ABS(AG322/AG321-1)&lt;0.0005,0,(AG322/AG321-1))</f>
        <v>0.0378709774248023</v>
      </c>
      <c r="AJ322" s="163" t="n">
        <f aca="false">IF(ABS(AG322-AG310)&lt;0.05,0,AG322-AG310)</f>
        <v>-12.6136951658877</v>
      </c>
      <c r="AK322" s="155" t="n">
        <f aca="false">IF(ABS(AG322/AG310-1)&lt;0.0005,0,(AG322/AG310-1))</f>
        <v>-0.227397083110112</v>
      </c>
      <c r="AL322" s="185"/>
      <c r="AM322" s="156" t="n">
        <f aca="false">IF(E322="..","",A322)</f>
        <v>42125</v>
      </c>
      <c r="AN322" s="57" t="n">
        <f aca="false">IF(ABS(E322-E321)&lt;0.05,0,E322-E321)</f>
        <v>3.25044988659973</v>
      </c>
      <c r="AO322" s="164" t="n">
        <f aca="false">IF(ABS(E322/E321-1)&lt;0.0005,0,(E322/E321-1))</f>
        <v>0.0270703513757158</v>
      </c>
      <c r="AP322" s="163" t="n">
        <f aca="false">IF(ABS(E322-E310)&lt;0.05,0,E322-E310)</f>
        <v>-13.8232068715591</v>
      </c>
      <c r="AQ322" s="164" t="n">
        <f aca="false">IF(ABS(E322/E310-1)&lt;0.0005,0,(E322/E310-1))</f>
        <v>-0.100790566793331</v>
      </c>
      <c r="AR322" s="57" t="n">
        <f aca="false">(E322/1.2)-57.95</f>
        <v>44.8205139109615</v>
      </c>
      <c r="AS322" s="163" t="n">
        <f aca="false">IF(ABS(AR322-AR321)&lt;0.05,0,AR322-AR321)</f>
        <v>2.7087082388331</v>
      </c>
      <c r="AT322" s="164" t="n">
        <f aca="false">IF(ABS(AR322/AR321-1)&lt;0.0005,0,(AR322/AR321-1))</f>
        <v>0.0643218260438034</v>
      </c>
      <c r="AU322" s="163" t="n">
        <f aca="false">IF(ABS(AR322-AR310)&lt;0.05,0,AR322-AR310)</f>
        <v>-11.5193390596326</v>
      </c>
      <c r="AV322" s="155" t="n">
        <f aca="false">IF(ABS(AR322/AR310-1)&lt;0.0005,0,(AR322/AR310-1))</f>
        <v>-0.204461645749147</v>
      </c>
      <c r="AW322" s="185"/>
      <c r="AX322" s="163" t="n">
        <f aca="false">IF(ABS(H322-H321)&lt;0.05,0,H322-H321)</f>
        <v>0.396606999999996</v>
      </c>
      <c r="AY322" s="164" t="n">
        <f aca="false">IF(ABS(H322/H321-1)&lt;0.0005,0,(H322/H321-1))</f>
        <v>0.0108738041357013</v>
      </c>
      <c r="AZ322" s="163" t="n">
        <f aca="false">IF(ABS(H322-H310)&lt;0.05,0,H322-H310)</f>
        <v>-13.3985237251982</v>
      </c>
      <c r="BA322" s="164" t="n">
        <f aca="false">IF(ABS(H322/H310-1)&lt;0.0005,0,(H322/H310-1))</f>
        <v>-0.266537829802919</v>
      </c>
      <c r="BB322" s="57" t="n">
        <f aca="false">(H322/1.05)</f>
        <v>35.1145019047619</v>
      </c>
      <c r="BC322" s="163" t="n">
        <f aca="false">IF(ABS(BB322-BB321)&lt;0.05,0,BB322-BB321)</f>
        <v>0.377720952380948</v>
      </c>
      <c r="BD322" s="164" t="n">
        <f aca="false">IF(ABS(BB322/BB321-1)&lt;0.0005,0,(BB322/BB321-1))</f>
        <v>0.0108738041357013</v>
      </c>
      <c r="BE322" s="163" t="n">
        <f aca="false">IF(ABS(BB322-BB310)&lt;0.05,0,BB322-BB310)</f>
        <v>-12.7604987859031</v>
      </c>
      <c r="BF322" s="155" t="n">
        <f aca="false">IF(ABS(BB322/BB310-1)&lt;0.0005,0,(BB322/BB310-1))</f>
        <v>-0.266537829802919</v>
      </c>
      <c r="BG322" s="162"/>
      <c r="BH322" s="163" t="n">
        <f aca="false">IF(ABS(I322-I321)&lt;0.05,0,I322-I321)</f>
        <v>1.27881299999999</v>
      </c>
      <c r="BI322" s="164" t="n">
        <f aca="false">IF(ABS(I322/I321-1)&lt;0.0005,0,(I322/I321-1))</f>
        <v>0.0265309540971856</v>
      </c>
      <c r="BJ322" s="163" t="n">
        <f aca="false">IF(ABS(I322-I310)&lt;0.05,0,I322-I310)</f>
        <v>-14.2648413777286</v>
      </c>
      <c r="BK322" s="164" t="n">
        <f aca="false">IF(ABS(I322/I310-1)&lt;0.0005,0,(I322/I310-1))</f>
        <v>-0.223781712577749</v>
      </c>
      <c r="BL322" s="57" t="n">
        <f aca="false">(I322/1.05)-11.14</f>
        <v>35.9834333333333</v>
      </c>
      <c r="BM322" s="163" t="n">
        <f aca="false">IF(ABS(BL322-BL321)&lt;0.05,0,BL322-BL321)</f>
        <v>1.21791714285713</v>
      </c>
      <c r="BN322" s="164" t="n">
        <f aca="false">IF(ABS(BL322/BL321-1)&lt;0.0005,0,(BL322/BL321-1))</f>
        <v>0.035032333079259</v>
      </c>
      <c r="BO322" s="163" t="n">
        <f aca="false">IF(ABS(BL322-BL310)&lt;0.05,0,BL322-BL310)</f>
        <v>-13.5855632168844</v>
      </c>
      <c r="BP322" s="155" t="n">
        <f aca="false">IF(ABS(BL322/BL310-1)&lt;0.0005,0,(BL322/BL310-1))</f>
        <v>-0.2740737993984</v>
      </c>
      <c r="BQ322" s="162"/>
    </row>
    <row r="323" customFormat="false" ht="12.75" hidden="false" customHeight="true" outlineLevel="0" collapsed="false">
      <c r="A323" s="156" t="n">
        <v>42156</v>
      </c>
      <c r="B323" s="73" t="n">
        <v>2015</v>
      </c>
      <c r="C323" s="157" t="s">
        <v>64</v>
      </c>
      <c r="D323" s="188"/>
      <c r="E323" s="159" t="n">
        <v>123.955933922868</v>
      </c>
      <c r="F323" s="159" t="n">
        <v>116.396302539825</v>
      </c>
      <c r="G323" s="159" t="n">
        <v>121.24244809918</v>
      </c>
      <c r="H323" s="159" t="n">
        <v>37.112939</v>
      </c>
      <c r="I323" s="159" t="n">
        <v>49.690142</v>
      </c>
      <c r="J323" s="159"/>
      <c r="K323" s="159" t="n">
        <v>76.7593527052072</v>
      </c>
      <c r="L323" s="159"/>
      <c r="M323" s="160" t="n">
        <f aca="false">G323-F323</f>
        <v>4.84614555935507</v>
      </c>
      <c r="N323" s="75"/>
      <c r="O323" s="187"/>
      <c r="P323" s="74"/>
      <c r="Q323" s="74"/>
      <c r="R323" s="162"/>
      <c r="S323" s="57" t="n">
        <f aca="false">IF(ABS(F323-F322)&lt;0.05,0,F323-F322)</f>
        <v>0.646744632183314</v>
      </c>
      <c r="T323" s="178" t="n">
        <f aca="false">IF((ABS(G323/G322-1))&lt;0.0005,0,(G323/G322-1))</f>
        <v>0.00227328332813137</v>
      </c>
      <c r="U323" s="163" t="n">
        <f aca="false">IF(ABS(F323-F311)&lt;0.05,0,F323-F311)</f>
        <v>-13.3024874601749</v>
      </c>
      <c r="V323" s="164" t="n">
        <f aca="false">IF(ABS(F323/F311-1)&lt;0.0005,0,(F323/F311-1))</f>
        <v>-0.102564468490222</v>
      </c>
      <c r="W323" s="57" t="n">
        <f aca="false">(F323/1.2)-57.95</f>
        <v>39.0469187831876</v>
      </c>
      <c r="X323" s="163" t="n">
        <f aca="false">IF(ABS(W323-W322)&lt;0.05,0,W323-W322)</f>
        <v>0.538953860152773</v>
      </c>
      <c r="Y323" s="184" t="n">
        <f aca="false">IF(ABS(W323/W322-1)&lt;0.0005,0,(W323/W322-1))</f>
        <v>0.0139959060737167</v>
      </c>
      <c r="Z323" s="163" t="n">
        <f aca="false">IF(ABS(W323-W311)&lt;0.05,0,W323-W311)</f>
        <v>-11.0854062168124</v>
      </c>
      <c r="AA323" s="155" t="n">
        <f aca="false">IF(ABS(W323/W311-1)&lt;0.0005,0,(W323/W311-1))</f>
        <v>-0.221122922521795</v>
      </c>
      <c r="AB323" s="185"/>
      <c r="AC323" s="57" t="n">
        <f aca="false">IF(ABS(G323-G322)&lt;0.05,0,G323-G322)</f>
        <v>0.274993298245448</v>
      </c>
      <c r="AD323" s="164" t="n">
        <f aca="false">IF(ABS(G323/G322-1)&lt;0.0005,0,(G323/G322-1))</f>
        <v>0.00227328332813137</v>
      </c>
      <c r="AE323" s="163" t="n">
        <f aca="false">IF(ABS(G323-G311)&lt;0.05,0,G323-G311)</f>
        <v>-14.1711499008199</v>
      </c>
      <c r="AF323" s="164" t="n">
        <f aca="false">IF(ABS(G323/G311-1)&lt;0.0005,0,(G323/G311-1))</f>
        <v>-0.104650863060443</v>
      </c>
      <c r="AG323" s="57" t="n">
        <f aca="false">(G323/1.2)-57.95</f>
        <v>43.0853734159835</v>
      </c>
      <c r="AH323" s="163" t="n">
        <f aca="false">IF(ABS(AG323-AG322)&lt;0.05,0,AG323-AG322)</f>
        <v>0.229161081871197</v>
      </c>
      <c r="AI323" s="164" t="n">
        <f aca="false">IF(ABS(AG323/AG322-1)&lt;0.0005,0,(AG323/AG322-1))</f>
        <v>0.00534720800999944</v>
      </c>
      <c r="AJ323" s="163" t="n">
        <f aca="false">IF(ABS(AG323-AG311)&lt;0.05,0,AG323-AG311)</f>
        <v>-11.8092915840165</v>
      </c>
      <c r="AK323" s="155" t="n">
        <f aca="false">IF(ABS(AG323/AG311-1)&lt;0.0005,0,(AG323/AG311-1))</f>
        <v>-0.215126398603882</v>
      </c>
      <c r="AL323" s="185"/>
      <c r="AM323" s="156" t="n">
        <f aca="false">IF(E323="..","",A323)</f>
        <v>42156</v>
      </c>
      <c r="AN323" s="57" t="n">
        <f aca="false">IF(ABS(E323-E322)&lt;0.05,0,E323-E322)</f>
        <v>0.631317229713901</v>
      </c>
      <c r="AO323" s="164" t="n">
        <f aca="false">IF(ABS(E323/E322-1)&lt;0.0005,0,(E323/E322-1))</f>
        <v>0.00511915014732778</v>
      </c>
      <c r="AP323" s="163" t="n">
        <f aca="false">IF(ABS(E323-E311)&lt;0.05,0,E323-E311)</f>
        <v>-13.3945741787526</v>
      </c>
      <c r="AQ323" s="164" t="n">
        <f aca="false">IF(ABS(E323/E311-1)&lt;0.0005,0,(E323/E311-1))</f>
        <v>-0.0975211112349326</v>
      </c>
      <c r="AR323" s="57" t="n">
        <f aca="false">(E323/1.2)-57.95</f>
        <v>45.3466116023898</v>
      </c>
      <c r="AS323" s="163" t="n">
        <f aca="false">IF(ABS(AR323-AR322)&lt;0.05,0,AR323-AR322)</f>
        <v>0.526097691428248</v>
      </c>
      <c r="AT323" s="164" t="n">
        <f aca="false">IF(ABS(AR323/AR322-1)&lt;0.0005,0,(AR323/AR322-1))</f>
        <v>0.0117378772691756</v>
      </c>
      <c r="AU323" s="163" t="n">
        <f aca="false">IF(ABS(AR323-AR311)&lt;0.05,0,AR323-AR311)</f>
        <v>-11.1621451489605</v>
      </c>
      <c r="AV323" s="155" t="n">
        <f aca="false">IF(ABS(AR323/AR311-1)&lt;0.0005,0,(AR323/AR311-1))</f>
        <v>-0.197529476680511</v>
      </c>
      <c r="AW323" s="185"/>
      <c r="AX323" s="163" t="n">
        <f aca="false">IF(ABS(H323-H322)&lt;0.05,0,H323-H322)</f>
        <v>0.242712000000004</v>
      </c>
      <c r="AY323" s="164" t="n">
        <f aca="false">IF(ABS(H323/H322-1)&lt;0.0005,0,(H323/H322-1))</f>
        <v>0.00658287240813582</v>
      </c>
      <c r="AZ323" s="163" t="n">
        <f aca="false">IF(ABS(H323-H311)&lt;0.05,0,H323-H311)</f>
        <v>-14.5783702245214</v>
      </c>
      <c r="BA323" s="164" t="n">
        <f aca="false">IF(ABS(H323/H311-1)&lt;0.0005,0,(H323/H311-1))</f>
        <v>-0.282027490563262</v>
      </c>
      <c r="BB323" s="57" t="n">
        <f aca="false">(H323/1.05)</f>
        <v>35.3456561904762</v>
      </c>
      <c r="BC323" s="163" t="n">
        <f aca="false">IF(ABS(BB323-BB322)&lt;0.05,0,BB323-BB322)</f>
        <v>0.23115428571429</v>
      </c>
      <c r="BD323" s="164" t="n">
        <f aca="false">IF(ABS(BB323/BB322-1)&lt;0.0005,0,(BB323/BB322-1))</f>
        <v>0.00658287240813582</v>
      </c>
      <c r="BE323" s="163" t="n">
        <f aca="false">IF(ABS(BB323-BB311)&lt;0.05,0,BB323-BB311)</f>
        <v>-13.8841621185918</v>
      </c>
      <c r="BF323" s="155" t="n">
        <f aca="false">IF(ABS(BB323/BB311-1)&lt;0.0005,0,(BB323/BB311-1))</f>
        <v>-0.282027490563262</v>
      </c>
      <c r="BG323" s="162"/>
      <c r="BH323" s="163" t="n">
        <f aca="false">IF(ABS(I323-I322)&lt;0.05,0,I323-I322)</f>
        <v>0.210537000000016</v>
      </c>
      <c r="BI323" s="164" t="n">
        <f aca="false">IF(ABS(I323/I322-1)&lt;0.0005,0,(I323/I322-1))</f>
        <v>0.00425502588389737</v>
      </c>
      <c r="BJ323" s="163" t="n">
        <f aca="false">IF(ABS(I323-I311)&lt;0.05,0,I323-I311)</f>
        <v>-14.2434976709902</v>
      </c>
      <c r="BK323" s="164" t="n">
        <f aca="false">IF(ABS(I323/I311-1)&lt;0.0005,0,(I323/I311-1))</f>
        <v>-0.222785653128601</v>
      </c>
      <c r="BL323" s="57" t="n">
        <f aca="false">(I323/1.05)-11.14</f>
        <v>36.1839447619048</v>
      </c>
      <c r="BM323" s="163" t="n">
        <f aca="false">IF(ABS(BL323-BL322)&lt;0.05,0,BL323-BL322)</f>
        <v>0.200511428571446</v>
      </c>
      <c r="BN323" s="164" t="n">
        <f aca="false">IF(ABS(BL323/BL322-1)&lt;0.0005,0,(BL323/BL322-1))</f>
        <v>0.00557232620672976</v>
      </c>
      <c r="BO323" s="163" t="n">
        <f aca="false">IF(ABS(BL323-BL311)&lt;0.05,0,BL323-BL311)</f>
        <v>-13.5652358771335</v>
      </c>
      <c r="BP323" s="155" t="n">
        <f aca="false">IF(ABS(BL323/BL311-1)&lt;0.0005,0,(BL323/BL311-1))</f>
        <v>-0.272672548630657</v>
      </c>
      <c r="BQ323" s="162"/>
    </row>
    <row r="324" customFormat="false" ht="12.75" hidden="false" customHeight="true" outlineLevel="0" collapsed="false">
      <c r="A324" s="156" t="n">
        <v>42186</v>
      </c>
      <c r="B324" s="73" t="n">
        <v>2015</v>
      </c>
      <c r="C324" s="157" t="s">
        <v>65</v>
      </c>
      <c r="D324" s="188"/>
      <c r="E324" s="159" t="n">
        <v>124.314264718071</v>
      </c>
      <c r="F324" s="159" t="n">
        <v>116.40329866924</v>
      </c>
      <c r="G324" s="159" t="n">
        <v>118.732157181321</v>
      </c>
      <c r="H324" s="159" t="n">
        <v>36.493231</v>
      </c>
      <c r="I324" s="159" t="n">
        <v>48.258851</v>
      </c>
      <c r="J324" s="159"/>
      <c r="K324" s="159" t="n">
        <v>71.5772995572871</v>
      </c>
      <c r="L324" s="159"/>
      <c r="M324" s="160" t="n">
        <f aca="false">G324-F324</f>
        <v>2.3288585120815</v>
      </c>
      <c r="N324" s="75"/>
      <c r="O324" s="187"/>
      <c r="P324" s="74"/>
      <c r="Q324" s="74"/>
      <c r="R324" s="162"/>
      <c r="S324" s="57" t="n">
        <f aca="false">IF(ABS(F324-F323)&lt;0.05,0,F324-F323)</f>
        <v>0</v>
      </c>
      <c r="T324" s="178" t="n">
        <f aca="false">IF((ABS(G324/G323-1))&lt;0.0005,0,(G324/G323-1))</f>
        <v>-0.020704719817314</v>
      </c>
      <c r="U324" s="163" t="n">
        <f aca="false">IF(ABS(F324-F312)&lt;0.05,0,F324-F312)</f>
        <v>-14.7170146532815</v>
      </c>
      <c r="V324" s="164" t="n">
        <f aca="false">IF(ABS(F324/F312-1)&lt;0.0005,0,(F324/F312-1))</f>
        <v>-0.112240539092379</v>
      </c>
      <c r="W324" s="57" t="n">
        <f aca="false">(F324/1.2)-57.95</f>
        <v>39.0527488910333</v>
      </c>
      <c r="X324" s="163" t="n">
        <f aca="false">IF(ABS(W324-W323)&lt;0.05,0,W324-W323)</f>
        <v>0</v>
      </c>
      <c r="Y324" s="184" t="n">
        <f aca="false">IF(ABS(W324/W323-1)&lt;0.0005,0,(W324/W323-1))</f>
        <v>0</v>
      </c>
      <c r="Z324" s="163" t="n">
        <f aca="false">IF(ABS(W324-W312)&lt;0.05,0,W324-W312)</f>
        <v>-12.2641788777346</v>
      </c>
      <c r="AA324" s="155" t="n">
        <f aca="false">IF(ABS(W324/W312-1)&lt;0.0005,0,(W324/W312-1))</f>
        <v>-0.238988953761934</v>
      </c>
      <c r="AB324" s="185"/>
      <c r="AC324" s="57" t="n">
        <f aca="false">IF(ABS(G324-G323)&lt;0.05,0,G324-G323)</f>
        <v>-2.51029091785877</v>
      </c>
      <c r="AD324" s="164" t="n">
        <f aca="false">IF(ABS(G324/G323-1)&lt;0.0005,0,(G324/G323-1))</f>
        <v>-0.020704719817314</v>
      </c>
      <c r="AE324" s="163" t="n">
        <f aca="false">IF(ABS(G324-G312)&lt;0.05,0,G324-G312)</f>
        <v>-17.2755453345337</v>
      </c>
      <c r="AF324" s="164" t="n">
        <f aca="false">IF(ABS(G324/G312-1)&lt;0.0005,0,(G324/G312-1))</f>
        <v>-0.127018874776741</v>
      </c>
      <c r="AG324" s="57" t="n">
        <f aca="false">(G324/1.2)-57.95</f>
        <v>40.9934643177678</v>
      </c>
      <c r="AH324" s="163" t="n">
        <f aca="false">IF(ABS(AG324-AG323)&lt;0.05,0,AG324-AG323)</f>
        <v>-2.09190909821564</v>
      </c>
      <c r="AI324" s="164" t="n">
        <f aca="false">IF(ABS(AG324/AG323-1)&lt;0.0005,0,(AG324/AG323-1))</f>
        <v>-0.048552650989433</v>
      </c>
      <c r="AJ324" s="163" t="n">
        <f aca="false">IF(ABS(AG324-AG312)&lt;0.05,0,AG324-AG312)</f>
        <v>-14.3962877787781</v>
      </c>
      <c r="AK324" s="155" t="n">
        <f aca="false">IF(ABS(AG324/AG312-1)&lt;0.0005,0,(AG324/AG312-1))</f>
        <v>-0.259908868226832</v>
      </c>
      <c r="AL324" s="185"/>
      <c r="AM324" s="156" t="n">
        <f aca="false">IF(E324="..","",A324)</f>
        <v>42186</v>
      </c>
      <c r="AN324" s="57" t="n">
        <f aca="false">IF(ABS(E324-E323)&lt;0.05,0,E324-E323)</f>
        <v>0.358330795203614</v>
      </c>
      <c r="AO324" s="164" t="n">
        <f aca="false">IF(ABS(E324/E323-1)&lt;0.0005,0,(E324/E323-1))</f>
        <v>0.00289079178272011</v>
      </c>
      <c r="AP324" s="163" t="n">
        <f aca="false">IF(ABS(E324-E312)&lt;0.05,0,E324-E312)</f>
        <v>-14.3543855104314</v>
      </c>
      <c r="AQ324" s="164" t="n">
        <f aca="false">IF(ABS(E324/E312-1)&lt;0.0005,0,(E324/E312-1))</f>
        <v>-0.103515722456213</v>
      </c>
      <c r="AR324" s="57" t="n">
        <f aca="false">(E324/1.2)-57.95</f>
        <v>45.6452205983928</v>
      </c>
      <c r="AS324" s="163" t="n">
        <f aca="false">IF(ABS(AR324-AR323)&lt;0.05,0,AR324-AR323)</f>
        <v>0.298608996003011</v>
      </c>
      <c r="AT324" s="164" t="n">
        <f aca="false">IF(ABS(AR324/AR323-1)&lt;0.0005,0,(AR324/AR323-1))</f>
        <v>0.00658503437084312</v>
      </c>
      <c r="AU324" s="163" t="n">
        <f aca="false">IF(ABS(AR324-AR312)&lt;0.05,0,AR324-AR312)</f>
        <v>-11.9619879253595</v>
      </c>
      <c r="AV324" s="155" t="n">
        <f aca="false">IF(ABS(AR324/AR312-1)&lt;0.0005,0,(AR324/AR312-1))</f>
        <v>-0.207647414827042</v>
      </c>
      <c r="AW324" s="185"/>
      <c r="AX324" s="163" t="n">
        <f aca="false">IF(ABS(H324-H323)&lt;0.05,0,H324-H323)</f>
        <v>-0.619708000000003</v>
      </c>
      <c r="AY324" s="164" t="n">
        <f aca="false">IF(ABS(H324/H323-1)&lt;0.0005,0,(H324/H323-1))</f>
        <v>-0.0166978961165001</v>
      </c>
      <c r="AZ324" s="163" t="n">
        <f aca="false">IF(ABS(H324-H312)&lt;0.05,0,H324-H312)</f>
        <v>-14.84094</v>
      </c>
      <c r="BA324" s="164" t="n">
        <f aca="false">IF(ABS(H324/H312-1)&lt;0.0005,0,(H324/H312-1))</f>
        <v>-0.289104503119374</v>
      </c>
      <c r="BB324" s="57" t="n">
        <f aca="false">(H324/1.05)</f>
        <v>34.7554580952381</v>
      </c>
      <c r="BC324" s="163" t="n">
        <f aca="false">IF(ABS(BB324-BB323)&lt;0.05,0,BB324-BB323)</f>
        <v>-0.590198095238094</v>
      </c>
      <c r="BD324" s="164" t="n">
        <f aca="false">IF(ABS(BB324/BB323-1)&lt;0.0005,0,(BB324/BB323-1))</f>
        <v>-0.0166978961165</v>
      </c>
      <c r="BE324" s="163" t="n">
        <f aca="false">IF(ABS(BB324-BB312)&lt;0.05,0,BB324-BB312)</f>
        <v>-14.1342285714286</v>
      </c>
      <c r="BF324" s="155" t="n">
        <f aca="false">IF(ABS(BB324/BB312-1)&lt;0.0005,0,(BB324/BB312-1))</f>
        <v>-0.289104503119374</v>
      </c>
      <c r="BG324" s="162"/>
      <c r="BH324" s="163" t="n">
        <f aca="false">IF(ABS(I324-I323)&lt;0.05,0,I324-I323)</f>
        <v>-1.43129100000002</v>
      </c>
      <c r="BI324" s="164" t="n">
        <f aca="false">IF(ABS(I324/I323-1)&lt;0.0005,0,(I324/I323-1))</f>
        <v>-0.0288043250107841</v>
      </c>
      <c r="BJ324" s="163" t="n">
        <f aca="false">IF(ABS(I324-I312)&lt;0.05,0,I324-I312)</f>
        <v>-14.293136</v>
      </c>
      <c r="BK324" s="164" t="n">
        <f aca="false">IF(ABS(I324/I312-1)&lt;0.0005,0,(I324/I312-1))</f>
        <v>-0.228500111435309</v>
      </c>
      <c r="BL324" s="57" t="n">
        <f aca="false">(I324/1.05)-11.14</f>
        <v>34.8208104761905</v>
      </c>
      <c r="BM324" s="163" t="n">
        <f aca="false">IF(ABS(BL324-BL323)&lt;0.05,0,BL324-BL323)</f>
        <v>-1.3631342857143</v>
      </c>
      <c r="BN324" s="164" t="n">
        <f aca="false">IF(ABS(BL324/BL323-1)&lt;0.0005,0,(BL324/BL323-1))</f>
        <v>-0.0376723514996474</v>
      </c>
      <c r="BO324" s="163" t="n">
        <f aca="false">IF(ABS(BL324-BL312)&lt;0.05,0,BL324-BL312)</f>
        <v>-13.6125104761905</v>
      </c>
      <c r="BP324" s="155" t="n">
        <f aca="false">IF(ABS(BL324/BL312-1)&lt;0.0005,0,(BL324/BL312-1))</f>
        <v>-0.281056723109574</v>
      </c>
      <c r="BQ324" s="162"/>
    </row>
    <row r="325" customFormat="false" ht="12.75" hidden="false" customHeight="true" outlineLevel="0" collapsed="false">
      <c r="A325" s="156" t="n">
        <v>42217</v>
      </c>
      <c r="B325" s="73" t="n">
        <v>2015</v>
      </c>
      <c r="C325" s="157" t="s">
        <v>66</v>
      </c>
      <c r="D325" s="183"/>
      <c r="E325" s="159" t="n">
        <v>122.327862767593</v>
      </c>
      <c r="F325" s="159" t="n">
        <v>114.482381589419</v>
      </c>
      <c r="G325" s="159" t="n">
        <v>111.702487865335</v>
      </c>
      <c r="H325" s="159" t="n">
        <v>30.375296</v>
      </c>
      <c r="I325" s="159" t="n">
        <v>43.259474</v>
      </c>
      <c r="J325" s="159"/>
      <c r="K325" s="159" t="n">
        <v>59.94794573437</v>
      </c>
      <c r="L325" s="159"/>
      <c r="M325" s="160" t="n">
        <f aca="false">G325-F325</f>
        <v>-2.77989372408364</v>
      </c>
      <c r="N325" s="75"/>
      <c r="O325" s="187"/>
      <c r="P325" s="74"/>
      <c r="Q325" s="74"/>
      <c r="R325" s="162"/>
      <c r="S325" s="57" t="n">
        <f aca="false">IF(ABS(F325-F324)&lt;0.05,0,F325-F324)</f>
        <v>-1.92091707982119</v>
      </c>
      <c r="T325" s="178" t="n">
        <f aca="false">IF((ABS(G325/G324-1))&lt;0.0005,0,(G325/G324-1))</f>
        <v>-0.0592061113254347</v>
      </c>
      <c r="U325" s="163" t="n">
        <f aca="false">IF(ABS(F325-F313)&lt;0.05,0,F325-F313)</f>
        <v>-14.7876046045613</v>
      </c>
      <c r="V325" s="164" t="n">
        <f aca="false">IF(ABS(F325/F313-1)&lt;0.0005,0,(F325/F313-1))</f>
        <v>-0.114393178493663</v>
      </c>
      <c r="W325" s="57" t="n">
        <f aca="false">(F325/1.2)-57.95</f>
        <v>37.4519846578489</v>
      </c>
      <c r="X325" s="163" t="n">
        <f aca="false">IF(ABS(W325-W324)&lt;0.05,0,W325-W324)</f>
        <v>-1.60076423318434</v>
      </c>
      <c r="Y325" s="184" t="n">
        <f aca="false">IF(ABS(W325/W324-1)&lt;0.0005,0,(W325/W324-1))</f>
        <v>-0.0409897965864288</v>
      </c>
      <c r="Z325" s="163" t="n">
        <f aca="false">IF(ABS(W325-W313)&lt;0.05,0,W325-W313)</f>
        <v>-12.3230038371345</v>
      </c>
      <c r="AA325" s="155" t="n">
        <f aca="false">IF(ABS(W325/W313-1)&lt;0.0005,0,(W325/W313-1))</f>
        <v>-0.2475742176892</v>
      </c>
      <c r="AB325" s="185"/>
      <c r="AC325" s="57" t="n">
        <f aca="false">IF(ABS(G325-G324)&lt;0.05,0,G325-G324)</f>
        <v>-7.02966931598633</v>
      </c>
      <c r="AD325" s="164" t="n">
        <f aca="false">IF(ABS(G325/G324-1)&lt;0.0005,0,(G325/G324-1))</f>
        <v>-0.0592061113254347</v>
      </c>
      <c r="AE325" s="163" t="n">
        <f aca="false">IF(ABS(G325-G313)&lt;0.05,0,G325-G313)</f>
        <v>-21.9114907010851</v>
      </c>
      <c r="AF325" s="164" t="n">
        <f aca="false">IF(ABS(G325/G313-1)&lt;0.0005,0,(G325/G313-1))</f>
        <v>-0.163991005553306</v>
      </c>
      <c r="AG325" s="57" t="n">
        <f aca="false">(G325/1.2)-57.95</f>
        <v>35.1354065544459</v>
      </c>
      <c r="AH325" s="163" t="n">
        <f aca="false">IF(ABS(AG325-AG324)&lt;0.05,0,AG325-AG324)</f>
        <v>-5.85805776332194</v>
      </c>
      <c r="AI325" s="164" t="n">
        <f aca="false">IF(ABS(AG325/AG324-1)&lt;0.0005,0,(AG325/AG324-1))</f>
        <v>-0.142902237242313</v>
      </c>
      <c r="AJ325" s="163" t="n">
        <f aca="false">IF(ABS(AG325-AG313)&lt;0.05,0,AG325-AG313)</f>
        <v>-18.2595755842376</v>
      </c>
      <c r="AK325" s="155" t="n">
        <f aca="false">IF(ABS(AG325/AG313-1)&lt;0.0005,0,(AG325/AG313-1))</f>
        <v>-0.341971751892561</v>
      </c>
      <c r="AL325" s="185"/>
      <c r="AM325" s="156" t="n">
        <f aca="false">IF(E325="..","",A325)</f>
        <v>42217</v>
      </c>
      <c r="AN325" s="57" t="n">
        <f aca="false">IF(ABS(E325-E324)&lt;0.05,0,E325-E324)</f>
        <v>-1.98640195047861</v>
      </c>
      <c r="AO325" s="164" t="n">
        <f aca="false">IF(ABS(E325/E324-1)&lt;0.0005,0,(E325/E324-1))</f>
        <v>-0.0159788738242028</v>
      </c>
      <c r="AP325" s="163" t="n">
        <f aca="false">IF(ABS(E325-E313)&lt;0.05,0,E325-E313)</f>
        <v>-14.5194043205003</v>
      </c>
      <c r="AQ325" s="164" t="n">
        <f aca="false">IF(ABS(E325/E313-1)&lt;0.0005,0,(E325/E313-1))</f>
        <v>-0.10609933708909</v>
      </c>
      <c r="AR325" s="57" t="n">
        <f aca="false">(E325/1.2)-57.95</f>
        <v>43.9898856396606</v>
      </c>
      <c r="AS325" s="163" t="n">
        <f aca="false">IF(ABS(AR325-AR324)&lt;0.05,0,AR325-AR324)</f>
        <v>-1.65533495873217</v>
      </c>
      <c r="AT325" s="164" t="n">
        <f aca="false">IF(ABS(AR325/AR324-1)&lt;0.0005,0,(AR325/AR324-1))</f>
        <v>-0.0362652417280782</v>
      </c>
      <c r="AU325" s="163" t="n">
        <f aca="false">IF(ABS(AR325-AR313)&lt;0.05,0,AR325-AR313)</f>
        <v>-12.0995036004169</v>
      </c>
      <c r="AV325" s="155" t="n">
        <f aca="false">IF(ABS(AR325/AR313-1)&lt;0.0005,0,(AR325/AR313-1))</f>
        <v>-0.215718227000615</v>
      </c>
      <c r="AW325" s="185"/>
      <c r="AX325" s="163" t="n">
        <f aca="false">IF(ABS(H325-H324)&lt;0.05,0,H325-H324)</f>
        <v>-6.117935</v>
      </c>
      <c r="AY325" s="164" t="n">
        <f aca="false">IF(ABS(H325/H324-1)&lt;0.0005,0,(H325/H324-1))</f>
        <v>-0.167645747782651</v>
      </c>
      <c r="AZ325" s="163" t="n">
        <f aca="false">IF(ABS(H325-H313)&lt;0.05,0,H325-H313)</f>
        <v>-20.771781</v>
      </c>
      <c r="BA325" s="164" t="n">
        <f aca="false">IF(ABS(H325/H313-1)&lt;0.0005,0,(H325/H313-1))</f>
        <v>-0.406118633133229</v>
      </c>
      <c r="BB325" s="57" t="n">
        <f aca="false">(H325/1.05)</f>
        <v>28.9288533333333</v>
      </c>
      <c r="BC325" s="163" t="n">
        <f aca="false">IF(ABS(BB325-BB324)&lt;0.05,0,BB325-BB324)</f>
        <v>-5.82660476190477</v>
      </c>
      <c r="BD325" s="164" t="n">
        <f aca="false">IF(ABS(BB325/BB324-1)&lt;0.0005,0,(BB325/BB324-1))</f>
        <v>-0.167645747782651</v>
      </c>
      <c r="BE325" s="163" t="n">
        <f aca="false">IF(ABS(BB325-BB313)&lt;0.05,0,BB325-BB313)</f>
        <v>-19.7826485714286</v>
      </c>
      <c r="BF325" s="155" t="n">
        <f aca="false">IF(ABS(BB325/BB313-1)&lt;0.0005,0,(BB325/BB313-1))</f>
        <v>-0.406118633133229</v>
      </c>
      <c r="BG325" s="162"/>
      <c r="BH325" s="163" t="n">
        <f aca="false">IF(ABS(I325-I324)&lt;0.05,0,I325-I324)</f>
        <v>-4.999377</v>
      </c>
      <c r="BI325" s="164" t="n">
        <f aca="false">IF(ABS(I325/I324-1)&lt;0.0005,0,(I325/I324-1))</f>
        <v>-0.103595027573284</v>
      </c>
      <c r="BJ325" s="163" t="n">
        <f aca="false">IF(ABS(I325-I313)&lt;0.05,0,I325-I313)</f>
        <v>-19.34988</v>
      </c>
      <c r="BK325" s="164" t="n">
        <f aca="false">IF(ABS(I325/I313-1)&lt;0.0005,0,(I325/I313-1))</f>
        <v>-0.309057333509622</v>
      </c>
      <c r="BL325" s="57" t="n">
        <f aca="false">(I325/1.05)-11.14</f>
        <v>30.059499047619</v>
      </c>
      <c r="BM325" s="163" t="n">
        <f aca="false">IF(ABS(BL325-BL324)&lt;0.05,0,BL325-BL324)</f>
        <v>-4.76131142857143</v>
      </c>
      <c r="BN325" s="164" t="n">
        <f aca="false">IF(ABS(BL325/BL324-1)&lt;0.0005,0,(BL325/BL324-1))</f>
        <v>-0.136737524585394</v>
      </c>
      <c r="BO325" s="163" t="n">
        <f aca="false">IF(ABS(BL325-BL313)&lt;0.05,0,BL325-BL313)</f>
        <v>-18.4284571428571</v>
      </c>
      <c r="BP325" s="155" t="n">
        <f aca="false">IF(ABS(BL325/BL313-1)&lt;0.0005,0,(BL325/BL313-1))</f>
        <v>-0.380062567918192</v>
      </c>
      <c r="BQ325" s="162"/>
    </row>
    <row r="326" customFormat="false" ht="12.75" hidden="false" customHeight="true" outlineLevel="0" collapsed="false">
      <c r="A326" s="156" t="n">
        <v>42248</v>
      </c>
      <c r="B326" s="73" t="n">
        <v>2015</v>
      </c>
      <c r="C326" s="157" t="s">
        <v>67</v>
      </c>
      <c r="D326" s="183"/>
      <c r="E326" s="159" t="n">
        <v>118.630649129826</v>
      </c>
      <c r="F326" s="159" t="n">
        <v>111.49316544651</v>
      </c>
      <c r="G326" s="159" t="n">
        <v>109.811405</v>
      </c>
      <c r="H326" s="159" t="n">
        <v>31.101</v>
      </c>
      <c r="I326" s="159" t="n">
        <v>43.381056</v>
      </c>
      <c r="J326" s="159"/>
      <c r="K326" s="159" t="n">
        <v>60.0401058921117</v>
      </c>
      <c r="L326" s="159"/>
      <c r="M326" s="160" t="n">
        <f aca="false">G326-F326</f>
        <v>-1.68176044650966</v>
      </c>
      <c r="N326" s="75"/>
      <c r="O326" s="187"/>
      <c r="P326" s="75"/>
      <c r="Q326" s="74"/>
      <c r="R326" s="162"/>
      <c r="S326" s="57" t="n">
        <f aca="false">IF(ABS(F326-F325)&lt;0.05,0,F326-F325)</f>
        <v>-2.98921614290902</v>
      </c>
      <c r="T326" s="178" t="n">
        <f aca="false">IF((ABS(G326/G325-1))&lt;0.0005,0,(G326/G325-1))</f>
        <v>-0.0169296396300042</v>
      </c>
      <c r="U326" s="163" t="n">
        <f aca="false">IF(ABS(F326-F314)&lt;0.05,0,F326-F314)</f>
        <v>-17.0204740679636</v>
      </c>
      <c r="V326" s="164" t="n">
        <f aca="false">IF(ABS(F326/F314-1)&lt;0.0005,0,(F326/F314-1))</f>
        <v>-0.132440993284972</v>
      </c>
      <c r="W326" s="57" t="n">
        <f aca="false">(F326/1.2)-57.95</f>
        <v>34.9609712054247</v>
      </c>
      <c r="X326" s="163" t="n">
        <f aca="false">IF(ABS(W326-W325)&lt;0.05,0,W326-W325)</f>
        <v>-2.49101345242418</v>
      </c>
      <c r="Y326" s="184" t="n">
        <f aca="false">IF(ABS(W326/W325-1)&lt;0.0005,0,(W326/W325-1))</f>
        <v>-0.0665121882106222</v>
      </c>
      <c r="Z326" s="163" t="n">
        <f aca="false">IF(ABS(W326-W314)&lt;0.05,0,W326-W314)</f>
        <v>-14.1837283899697</v>
      </c>
      <c r="AA326" s="155" t="n">
        <f aca="false">IF(ABS(W326/W314-1)&lt;0.0005,0,(W326/W314-1))</f>
        <v>-0.288611559471185</v>
      </c>
      <c r="AB326" s="185"/>
      <c r="AC326" s="57" t="n">
        <f aca="false">IF(ABS(G326-G325)&lt;0.05,0,G326-G325)</f>
        <v>-1.89108286533504</v>
      </c>
      <c r="AD326" s="164" t="n">
        <f aca="false">IF(ABS(G326/G325-1)&lt;0.0005,0,(G326/G325-1))</f>
        <v>-0.0169296396300042</v>
      </c>
      <c r="AE326" s="163" t="n">
        <f aca="false">IF(ABS(G326-G314)&lt;0.05,0,G326-G314)</f>
        <v>-23.2599138057103</v>
      </c>
      <c r="AF326" s="164" t="n">
        <f aca="false">IF(ABS(G326/G314-1)&lt;0.0005,0,(G326/G314-1))</f>
        <v>-0.174792840519382</v>
      </c>
      <c r="AG326" s="57" t="n">
        <f aca="false">(G326/1.2)-57.95</f>
        <v>33.5595041666667</v>
      </c>
      <c r="AH326" s="163" t="n">
        <f aca="false">IF(ABS(AG326-AG325)&lt;0.05,0,AG326-AG325)</f>
        <v>-1.57590238777919</v>
      </c>
      <c r="AI326" s="164" t="n">
        <f aca="false">IF(ABS(AG326/AG325-1)&lt;0.0005,0,(AG326/AG325-1))</f>
        <v>-0.0448522599371997</v>
      </c>
      <c r="AJ326" s="163" t="n">
        <f aca="false">IF(ABS(AG326-AG314)&lt;0.05,0,AG326-AG314)</f>
        <v>-19.3832615047586</v>
      </c>
      <c r="AK326" s="155" t="n">
        <f aca="false">IF(ABS(AG326/AG314-1)&lt;0.0005,0,(AG326/AG314-1))</f>
        <v>-0.366117282671923</v>
      </c>
      <c r="AL326" s="185"/>
      <c r="AM326" s="156" t="n">
        <f aca="false">IF(E326="..","",A326)</f>
        <v>42248</v>
      </c>
      <c r="AN326" s="57" t="n">
        <f aca="false">IF(ABS(E326-E325)&lt;0.05,0,E326-E325)</f>
        <v>-3.69721363776675</v>
      </c>
      <c r="AO326" s="164" t="n">
        <f aca="false">IF(ABS(E326/E325-1)&lt;0.0005,0,(E326/E325-1))</f>
        <v>-0.0302238063685538</v>
      </c>
      <c r="AP326" s="163" t="n">
        <f aca="false">IF(ABS(E326-E314)&lt;0.05,0,E326-E314)</f>
        <v>-17.4976263308367</v>
      </c>
      <c r="AQ326" s="164" t="n">
        <f aca="false">IF(ABS(E326/E314-1)&lt;0.0005,0,(E326/E314-1))</f>
        <v>-0.128537780057994</v>
      </c>
      <c r="AR326" s="57" t="n">
        <f aca="false">(E326/1.2)-57.95</f>
        <v>40.908874274855</v>
      </c>
      <c r="AS326" s="163" t="n">
        <f aca="false">IF(ABS(AR326-AR325)&lt;0.05,0,AR326-AR325)</f>
        <v>-3.08101136480562</v>
      </c>
      <c r="AT326" s="164" t="n">
        <f aca="false">IF(ABS(AR326/AR325-1)&lt;0.0005,0,(AR326/AR325-1))</f>
        <v>-0.0700390855762495</v>
      </c>
      <c r="AU326" s="163" t="n">
        <f aca="false">IF(ABS(AR326-AR314)&lt;0.05,0,AR326-AR314)</f>
        <v>-14.5813552756973</v>
      </c>
      <c r="AV326" s="155" t="n">
        <f aca="false">IF(ABS(AR326/AR314-1)&lt;0.0005,0,(AR326/AR314-1))</f>
        <v>-0.262773381797123</v>
      </c>
      <c r="AW326" s="185"/>
      <c r="AX326" s="163" t="n">
        <f aca="false">IF(ABS(H326-H325)&lt;0.05,0,H326-H325)</f>
        <v>0.725703999999997</v>
      </c>
      <c r="AY326" s="164" t="n">
        <f aca="false">IF(ABS(H326/H325-1)&lt;0.0005,0,(H326/H325-1))</f>
        <v>0.0238912568950767</v>
      </c>
      <c r="AZ326" s="163" t="n">
        <f aca="false">IF(ABS(H326-H314)&lt;0.05,0,H326-H314)</f>
        <v>-19.922101</v>
      </c>
      <c r="BA326" s="164" t="n">
        <f aca="false">IF(ABS(H326/H314-1)&lt;0.0005,0,(H326/H314-1))</f>
        <v>-0.390452571669448</v>
      </c>
      <c r="BB326" s="57" t="n">
        <f aca="false">(H326/1.05)</f>
        <v>29.62</v>
      </c>
      <c r="BC326" s="163" t="n">
        <f aca="false">IF(ABS(BB326-BB325)&lt;0.05,0,BB326-BB325)</f>
        <v>0.691146666666661</v>
      </c>
      <c r="BD326" s="164" t="n">
        <f aca="false">IF(ABS(BB326/BB325-1)&lt;0.0005,0,(BB326/BB325-1))</f>
        <v>0.0238912568950767</v>
      </c>
      <c r="BE326" s="163" t="n">
        <f aca="false">IF(ABS(BB326-BB314)&lt;0.05,0,BB326-BB314)</f>
        <v>-18.9734295238095</v>
      </c>
      <c r="BF326" s="155" t="n">
        <f aca="false">IF(ABS(BB326/BB314-1)&lt;0.0005,0,(BB326/BB314-1))</f>
        <v>-0.390452571669448</v>
      </c>
      <c r="BG326" s="162"/>
      <c r="BH326" s="163" t="n">
        <f aca="false">IF(ABS(I326-I325)&lt;0.05,0,I326-I325)</f>
        <v>0.121582000000011</v>
      </c>
      <c r="BI326" s="164" t="n">
        <f aca="false">IF(ABS(I326/I325-1)&lt;0.0005,0,(I326/I325-1))</f>
        <v>0.00281052885663868</v>
      </c>
      <c r="BJ326" s="163" t="n">
        <f aca="false">IF(ABS(I326-I314)&lt;0.05,0,I326-I314)</f>
        <v>-18.519969</v>
      </c>
      <c r="BK326" s="164" t="n">
        <f aca="false">IF(ABS(I326/I314-1)&lt;0.0005,0,(I326/I314-1))</f>
        <v>-0.299186790525682</v>
      </c>
      <c r="BL326" s="57" t="n">
        <f aca="false">(I326/1.05)-11.14</f>
        <v>30.1752914285714</v>
      </c>
      <c r="BM326" s="163" t="n">
        <f aca="false">IF(ABS(BL326-BL325)&lt;0.05,0,BL326-BL325)</f>
        <v>0.115792380952392</v>
      </c>
      <c r="BN326" s="164" t="n">
        <f aca="false">IF(ABS(BL326/BL325-1)&lt;0.0005,0,(BL326/BL325-1))</f>
        <v>0.0038521061435175</v>
      </c>
      <c r="BO326" s="163" t="n">
        <f aca="false">IF(ABS(BL326-BL314)&lt;0.05,0,BL326-BL314)</f>
        <v>-17.6380657142857</v>
      </c>
      <c r="BP326" s="155" t="n">
        <f aca="false">IF(ABS(BL326/BL314-1)&lt;0.0005,0,(BL326/BL314-1))</f>
        <v>-0.368894107593963</v>
      </c>
      <c r="BQ326" s="162"/>
    </row>
    <row r="327" customFormat="false" ht="12.75" hidden="false" customHeight="true" outlineLevel="0" collapsed="false">
      <c r="A327" s="156" t="n">
        <v>42278</v>
      </c>
      <c r="B327" s="73" t="n">
        <v>2015</v>
      </c>
      <c r="C327" s="157" t="s">
        <v>68</v>
      </c>
      <c r="D327" s="189"/>
      <c r="E327" s="159" t="n">
        <v>117.221486297259</v>
      </c>
      <c r="F327" s="159" t="n">
        <v>108.896158389332</v>
      </c>
      <c r="G327" s="159" t="n">
        <v>110.682699</v>
      </c>
      <c r="H327" s="159" t="n">
        <v>31.28</v>
      </c>
      <c r="I327" s="159" t="n">
        <v>44.027853</v>
      </c>
      <c r="J327" s="159"/>
      <c r="K327" s="159" t="n">
        <v>61.4839869679162</v>
      </c>
      <c r="L327" s="159"/>
      <c r="M327" s="160" t="n">
        <f aca="false">G327-F327</f>
        <v>1.78654061066783</v>
      </c>
      <c r="N327" s="75"/>
      <c r="O327" s="190"/>
      <c r="P327" s="75"/>
      <c r="Q327" s="190"/>
      <c r="R327" s="191"/>
      <c r="S327" s="57" t="n">
        <f aca="false">IF(ABS(F327-F326)&lt;0.05,0,F327-F326)</f>
        <v>-2.59700705717748</v>
      </c>
      <c r="T327" s="178" t="n">
        <f aca="false">IF((ABS(G327/G326-1))&lt;0.0005,0,(G327/G326-1))</f>
        <v>0.00793445817399396</v>
      </c>
      <c r="U327" s="163" t="n">
        <f aca="false">IF(ABS(F327-F315)&lt;0.05,0,F327-F315)</f>
        <v>-17.861588246039</v>
      </c>
      <c r="V327" s="164" t="n">
        <f aca="false">IF(ABS(F327/F315-1)&lt;0.0005,0,(F327/F315-1))</f>
        <v>-0.140911216238478</v>
      </c>
      <c r="W327" s="57" t="n">
        <f aca="false">(F327/1.2)-57.95</f>
        <v>32.7967986577768</v>
      </c>
      <c r="X327" s="163" t="n">
        <f aca="false">IF(ABS(W327-W326)&lt;0.05,0,W327-W326)</f>
        <v>-2.16417254764789</v>
      </c>
      <c r="Y327" s="184" t="n">
        <f aca="false">IF(ABS(W327/W326-1)&lt;0.0005,0,(W327/W326-1))</f>
        <v>-0.0619025293928931</v>
      </c>
      <c r="Z327" s="163" t="n">
        <f aca="false">IF(ABS(W327-W315)&lt;0.05,0,W327-W315)</f>
        <v>-14.8846568716992</v>
      </c>
      <c r="AA327" s="155" t="n">
        <f aca="false">IF(ABS(W327/W315-1)&lt;0.0005,0,(W327/W315-1))</f>
        <v>-0.312168676614699</v>
      </c>
      <c r="AB327" s="185"/>
      <c r="AC327" s="57" t="n">
        <f aca="false">IF(ABS(G327-G326)&lt;0.05,0,G327-G326)</f>
        <v>0.871294000000006</v>
      </c>
      <c r="AD327" s="164" t="n">
        <f aca="false">IF(ABS(G327/G326-1)&lt;0.0005,0,(G327/G326-1))</f>
        <v>0.00793445817399396</v>
      </c>
      <c r="AE327" s="163" t="n">
        <f aca="false">IF(ABS(G327-G315)&lt;0.05,0,G327-G315)</f>
        <v>-20.3992775451586</v>
      </c>
      <c r="AF327" s="164" t="n">
        <f aca="false">IF(ABS(G327/G315-1)&lt;0.0005,0,(G327/G315-1))</f>
        <v>-0.155622291353921</v>
      </c>
      <c r="AG327" s="57" t="n">
        <f aca="false">(G327/1.2)-57.95</f>
        <v>34.2855825</v>
      </c>
      <c r="AH327" s="163" t="n">
        <f aca="false">IF(ABS(AG327-AG326)&lt;0.05,0,AG327-AG326)</f>
        <v>0.726078333333334</v>
      </c>
      <c r="AI327" s="164" t="n">
        <f aca="false">IF(ABS(AG327/AG326-1)&lt;0.0005,0,(AG327/AG326-1))</f>
        <v>0.0216355500882077</v>
      </c>
      <c r="AJ327" s="163" t="n">
        <f aca="false">IF(ABS(AG327-AG315)&lt;0.05,0,AG327-AG315)</f>
        <v>-16.9993979542988</v>
      </c>
      <c r="AK327" s="155" t="n">
        <f aca="false">IF(ABS(AG327/AG315-1)&lt;0.0005,0,(AG327/AG315-1))</f>
        <v>-0.331469326959135</v>
      </c>
      <c r="AL327" s="185"/>
      <c r="AM327" s="156" t="n">
        <f aca="false">IF(E327="..","",A327)</f>
        <v>42278</v>
      </c>
      <c r="AN327" s="57" t="n">
        <f aca="false">IF(ABS(E327-E326)&lt;0.05,0,E327-E326)</f>
        <v>-1.40916283256654</v>
      </c>
      <c r="AO327" s="164" t="n">
        <f aca="false">IF(ABS(E327/E326-1)&lt;0.0005,0,(E327/E326-1))</f>
        <v>-0.0118785730576623</v>
      </c>
      <c r="AP327" s="163" t="n">
        <f aca="false">IF(ABS(E327-E315)&lt;0.05,0,E327-E315)</f>
        <v>-17.0146673759456</v>
      </c>
      <c r="AQ327" s="164" t="n">
        <f aca="false">IF(ABS(E327/E315-1)&lt;0.0005,0,(E327/E315-1))</f>
        <v>-0.126751749885261</v>
      </c>
      <c r="AR327" s="57" t="n">
        <f aca="false">(E327/1.2)-57.95</f>
        <v>39.7345719143829</v>
      </c>
      <c r="AS327" s="163" t="n">
        <f aca="false">IF(ABS(AR327-AR326)&lt;0.05,0,AR327-AR326)</f>
        <v>-1.17430236047213</v>
      </c>
      <c r="AT327" s="164" t="n">
        <f aca="false">IF(ABS(AR327/AR326-1)&lt;0.0005,0,(AR327/AR326-1))</f>
        <v>-0.028705320820669</v>
      </c>
      <c r="AU327" s="163" t="n">
        <f aca="false">IF(ABS(AR327-AR315)&lt;0.05,0,AR327-AR315)</f>
        <v>-14.1788894799547</v>
      </c>
      <c r="AV327" s="155" t="n">
        <f aca="false">IF(ABS(AR327/AR315-1)&lt;0.0005,0,(AR327/AR315-1))</f>
        <v>-0.262993492038036</v>
      </c>
      <c r="AW327" s="185"/>
      <c r="AX327" s="163" t="n">
        <f aca="false">IF(ABS(H327-H326)&lt;0.05,0,H327-H326)</f>
        <v>0.179000000000006</v>
      </c>
      <c r="AY327" s="164" t="n">
        <f aca="false">IF(ABS(H327/H326-1)&lt;0.0005,0,(H327/H326-1))</f>
        <v>0.00575544194720434</v>
      </c>
      <c r="AZ327" s="163" t="n">
        <f aca="false">IF(ABS(H327-H315)&lt;0.05,0,H327-H315)</f>
        <v>-15.445181</v>
      </c>
      <c r="BA327" s="164" t="n">
        <f aca="false">IF(ABS(H327/H315-1)&lt;0.0005,0,(H327/H315-1))</f>
        <v>-0.330553690096995</v>
      </c>
      <c r="BB327" s="57" t="n">
        <f aca="false">(H327/1.05)</f>
        <v>29.7904761904762</v>
      </c>
      <c r="BC327" s="163" t="n">
        <f aca="false">IF(ABS(BB327-BB326)&lt;0.05,0,BB327-BB326)</f>
        <v>0.170476190476197</v>
      </c>
      <c r="BD327" s="164" t="n">
        <f aca="false">IF(ABS(BB327/BB326-1)&lt;0.0005,0,(BB327/BB326-1))</f>
        <v>0.00575544194720457</v>
      </c>
      <c r="BE327" s="163" t="n">
        <f aca="false">IF(ABS(BB327-BB315)&lt;0.05,0,BB327-BB315)</f>
        <v>-14.7096961904762</v>
      </c>
      <c r="BF327" s="155" t="n">
        <f aca="false">IF(ABS(BB327/BB315-1)&lt;0.0005,0,(BB327/BB315-1))</f>
        <v>-0.330553690096995</v>
      </c>
      <c r="BG327" s="191"/>
      <c r="BH327" s="163" t="n">
        <f aca="false">IF(ABS(I327-I326)&lt;0.05,0,I327-I326)</f>
        <v>0.646796999999999</v>
      </c>
      <c r="BI327" s="164" t="n">
        <f aca="false">IF(ABS(I327/I326-1)&lt;0.0005,0,(I327/I326-1))</f>
        <v>0.0149096647163223</v>
      </c>
      <c r="BJ327" s="163" t="n">
        <f aca="false">IF(ABS(I327-I315)&lt;0.05,0,I327-I315)</f>
        <v>-14.631118</v>
      </c>
      <c r="BK327" s="164" t="n">
        <f aca="false">IF(ABS(I327/I315-1)&lt;0.0005,0,(I327/I315-1))</f>
        <v>-0.249426775658918</v>
      </c>
      <c r="BL327" s="57" t="n">
        <f aca="false">(I327/1.05)-11.14</f>
        <v>30.7912885714286</v>
      </c>
      <c r="BM327" s="163" t="n">
        <f aca="false">IF(ABS(BL327-BL326)&lt;0.05,0,BL327-BL326)</f>
        <v>0.61599714285714</v>
      </c>
      <c r="BN327" s="164" t="n">
        <f aca="false">IF(ABS(BL327/BL326-1)&lt;0.0005,0,(BL327/BL326-1))</f>
        <v>0.0204139583644214</v>
      </c>
      <c r="BO327" s="163" t="n">
        <f aca="false">IF(ABS(BL327-BL315)&lt;0.05,0,BL327-BL315)</f>
        <v>-13.9343980952381</v>
      </c>
      <c r="BP327" s="155" t="n">
        <f aca="false">IF(ABS(BL327/BL315-1)&lt;0.0005,0,(BL327/BL315-1))</f>
        <v>-0.311552468698556</v>
      </c>
      <c r="BQ327" s="191"/>
    </row>
    <row r="328" customFormat="false" ht="12.75" hidden="false" customHeight="true" outlineLevel="0" collapsed="false">
      <c r="A328" s="156" t="n">
        <v>42309</v>
      </c>
      <c r="B328" s="73" t="n">
        <v>2015</v>
      </c>
      <c r="C328" s="157" t="s">
        <v>69</v>
      </c>
      <c r="D328" s="189"/>
      <c r="E328" s="159" t="n">
        <v>115.640956191238</v>
      </c>
      <c r="F328" s="159" t="n">
        <v>107.238988342374</v>
      </c>
      <c r="G328" s="159" t="n">
        <v>110.12272</v>
      </c>
      <c r="H328" s="159" t="n">
        <v>30.018</v>
      </c>
      <c r="I328" s="159" t="n">
        <v>41.568133</v>
      </c>
      <c r="J328" s="159"/>
      <c r="K328" s="159" t="n">
        <v>57.1368927240699</v>
      </c>
      <c r="L328" s="159"/>
      <c r="M328" s="160" t="n">
        <f aca="false">G328-F328</f>
        <v>2.88373165762572</v>
      </c>
      <c r="N328" s="75"/>
      <c r="O328" s="190"/>
      <c r="P328" s="75"/>
      <c r="Q328" s="190"/>
      <c r="R328" s="191"/>
      <c r="S328" s="57" t="n">
        <f aca="false">IF(ABS(F328-F327)&lt;0.05,0,F328-F327)</f>
        <v>-1.65717004695792</v>
      </c>
      <c r="T328" s="178" t="n">
        <f aca="false">IF((ABS(G328/G327-1))&lt;0.0005,0,(G328/G327-1))</f>
        <v>-0.00505931825894512</v>
      </c>
      <c r="U328" s="163" t="n">
        <f aca="false">IF(ABS(F328-F316)&lt;0.05,0,F328-F316)</f>
        <v>-15.2380801710428</v>
      </c>
      <c r="V328" s="164" t="n">
        <f aca="false">IF(ABS(F328/F316-1)&lt;0.0005,0,(F328/F316-1))</f>
        <v>-0.124415781305</v>
      </c>
      <c r="W328" s="57" t="n">
        <f aca="false">(F328/1.2)-57.95</f>
        <v>31.4158236186452</v>
      </c>
      <c r="X328" s="163" t="n">
        <f aca="false">IF(ABS(W328-W327)&lt;0.05,0,W328-W327)</f>
        <v>-1.3809750391316</v>
      </c>
      <c r="Y328" s="184" t="n">
        <f aca="false">IF(ABS(W328/W327-1)&lt;0.0005,0,(W328/W327-1))</f>
        <v>-0.0421070072582874</v>
      </c>
      <c r="Z328" s="163" t="n">
        <f aca="false">IF(ABS(W328-W316)&lt;0.05,0,W328-W316)</f>
        <v>-12.6984001425357</v>
      </c>
      <c r="AA328" s="155" t="n">
        <f aca="false">IF(ABS(W328/W316-1)&lt;0.0005,0,(W328/W316-1))</f>
        <v>-0.287852739091147</v>
      </c>
      <c r="AB328" s="185"/>
      <c r="AC328" s="57" t="n">
        <f aca="false">IF(ABS(G328-G327)&lt;0.05,0,G328-G327)</f>
        <v>-0.559979000000027</v>
      </c>
      <c r="AD328" s="164" t="n">
        <f aca="false">IF(ABS(G328/G327-1)&lt;0.0005,0,(G328/G327-1))</f>
        <v>-0.00505931825894512</v>
      </c>
      <c r="AE328" s="163" t="n">
        <f aca="false">IF(ABS(G328-G316)&lt;0.05,0,G328-G316)</f>
        <v>-17.0572562480112</v>
      </c>
      <c r="AF328" s="164" t="n">
        <f aca="false">IF(ABS(G328/G316-1)&lt;0.0005,0,(G328/G316-1))</f>
        <v>-0.134119039421333</v>
      </c>
      <c r="AG328" s="57" t="n">
        <f aca="false">(G328/1.2)-57.95</f>
        <v>33.8189333333333</v>
      </c>
      <c r="AH328" s="163" t="n">
        <f aca="false">IF(ABS(AG328-AG327)&lt;0.05,0,AG328-AG327)</f>
        <v>-0.466649166666684</v>
      </c>
      <c r="AI328" s="164" t="n">
        <f aca="false">IF(ABS(AG328/AG327-1)&lt;0.0005,0,(AG328/AG327-1))</f>
        <v>-0.0136106530103924</v>
      </c>
      <c r="AJ328" s="163" t="n">
        <f aca="false">IF(ABS(AG328-AG316)&lt;0.05,0,AG328-AG316)</f>
        <v>-14.214380206676</v>
      </c>
      <c r="AK328" s="155" t="n">
        <f aca="false">IF(ABS(AG328/AG316-1)&lt;0.0005,0,(AG328/AG316-1))</f>
        <v>-0.295927537766807</v>
      </c>
      <c r="AL328" s="185"/>
      <c r="AM328" s="156" t="n">
        <f aca="false">IF(E328="..","",A328)</f>
        <v>42309</v>
      </c>
      <c r="AN328" s="57" t="n">
        <f aca="false">IF(ABS(E328-E327)&lt;0.05,0,E328-E327)</f>
        <v>-1.58053010602119</v>
      </c>
      <c r="AO328" s="164" t="n">
        <f aca="false">IF(ABS(E328/E327-1)&lt;0.0005,0,(E328/E327-1))</f>
        <v>-0.0134832798657164</v>
      </c>
      <c r="AP328" s="163" t="n">
        <f aca="false">IF(ABS(E328-E316)&lt;0.05,0,E328-E316)</f>
        <v>-14.3837910317626</v>
      </c>
      <c r="AQ328" s="164" t="n">
        <f aca="false">IF(ABS(E328/E316-1)&lt;0.0005,0,(E328/E316-1))</f>
        <v>-0.110623487751093</v>
      </c>
      <c r="AR328" s="57" t="n">
        <f aca="false">(E328/1.2)-57.95</f>
        <v>38.4174634926985</v>
      </c>
      <c r="AS328" s="163" t="n">
        <f aca="false">IF(ABS(AR328-AR327)&lt;0.05,0,AR328-AR327)</f>
        <v>-1.31710842168431</v>
      </c>
      <c r="AT328" s="164" t="n">
        <f aca="false">IF(ABS(AR328/AR327-1)&lt;0.0005,0,(AR328/AR327-1))</f>
        <v>-0.0331476685975709</v>
      </c>
      <c r="AU328" s="163" t="n">
        <f aca="false">IF(ABS(AR328-AR316)&lt;0.05,0,AR328-AR316)</f>
        <v>-11.9864925264688</v>
      </c>
      <c r="AV328" s="155" t="n">
        <f aca="false">IF(ABS(AR328/AR316-1)&lt;0.0005,0,(AR328/AR316-1))</f>
        <v>-0.237808566492492</v>
      </c>
      <c r="AW328" s="185"/>
      <c r="AX328" s="163" t="n">
        <f aca="false">IF(ABS(H328-H327)&lt;0.05,0,H328-H327)</f>
        <v>-1.262</v>
      </c>
      <c r="AY328" s="164" t="n">
        <f aca="false">IF(ABS(H328/H327-1)&lt;0.0005,0,(H328/H327-1))</f>
        <v>-0.0403452685421997</v>
      </c>
      <c r="AZ328" s="163" t="n">
        <f aca="false">IF(ABS(H328-H316)&lt;0.05,0,H328-H316)</f>
        <v>-16.304657</v>
      </c>
      <c r="BA328" s="164" t="n">
        <f aca="false">IF(ABS(H328/H316-1)&lt;0.0005,0,(H328/H316-1))</f>
        <v>-0.351980176784764</v>
      </c>
      <c r="BB328" s="57" t="n">
        <f aca="false">(H328/1.05)</f>
        <v>28.5885714285714</v>
      </c>
      <c r="BC328" s="163" t="n">
        <f aca="false">IF(ABS(BB328-BB327)&lt;0.05,0,BB328-BB327)</f>
        <v>-1.20190476190477</v>
      </c>
      <c r="BD328" s="164" t="n">
        <f aca="false">IF(ABS(BB328/BB327-1)&lt;0.0005,0,(BB328/BB327-1))</f>
        <v>-0.0403452685421997</v>
      </c>
      <c r="BE328" s="163" t="n">
        <f aca="false">IF(ABS(BB328-BB316)&lt;0.05,0,BB328-BB316)</f>
        <v>-15.5282447619048</v>
      </c>
      <c r="BF328" s="155" t="n">
        <f aca="false">IF(ABS(BB328/BB316-1)&lt;0.0005,0,(BB328/BB316-1))</f>
        <v>-0.351980176784764</v>
      </c>
      <c r="BG328" s="191"/>
      <c r="BH328" s="163" t="n">
        <f aca="false">IF(ABS(I328-I327)&lt;0.05,0,I328-I327)</f>
        <v>-2.45972000000001</v>
      </c>
      <c r="BI328" s="164" t="n">
        <f aca="false">IF(ABS(I328/I327-1)&lt;0.0005,0,(I328/I327-1))</f>
        <v>-0.0558673619628922</v>
      </c>
      <c r="BJ328" s="163" t="n">
        <f aca="false">IF(ABS(I328-I316)&lt;0.05,0,I328-I316)</f>
        <v>-16.22656</v>
      </c>
      <c r="BK328" s="164" t="n">
        <f aca="false">IF(ABS(I328/I316-1)&lt;0.0005,0,(I328/I316-1))</f>
        <v>-0.28076211080488</v>
      </c>
      <c r="BL328" s="57" t="n">
        <f aca="false">(I328/1.05)-11.14</f>
        <v>28.4486980952381</v>
      </c>
      <c r="BM328" s="163" t="n">
        <f aca="false">IF(ABS(BL328-BL327)&lt;0.05,0,BL328-BL327)</f>
        <v>-2.34259047619049</v>
      </c>
      <c r="BN328" s="164" t="n">
        <f aca="false">IF(ABS(BL328/BL327-1)&lt;0.0005,0,(BL328/BL327-1))</f>
        <v>-0.0760796506049504</v>
      </c>
      <c r="BO328" s="163" t="n">
        <f aca="false">IF(ABS(BL328-BL316)&lt;0.05,0,BL328-BL316)</f>
        <v>-15.4538666666667</v>
      </c>
      <c r="BP328" s="155" t="n">
        <f aca="false">IF(ABS(BL328/BL316-1)&lt;0.0005,0,(BL328/BL316-1))</f>
        <v>-0.352003732594601</v>
      </c>
      <c r="BQ328" s="191"/>
    </row>
    <row r="329" customFormat="false" ht="12.75" hidden="false" customHeight="true" outlineLevel="0" collapsed="false">
      <c r="A329" s="156" t="n">
        <v>42339</v>
      </c>
      <c r="B329" s="73" t="n">
        <v>2015</v>
      </c>
      <c r="C329" s="157" t="s">
        <v>70</v>
      </c>
      <c r="D329" s="189"/>
      <c r="E329" s="159" t="n">
        <v>112.355288057612</v>
      </c>
      <c r="F329" s="159" t="n">
        <v>103.679396929288</v>
      </c>
      <c r="G329" s="159" t="n">
        <v>107.76825</v>
      </c>
      <c r="H329" s="159" t="n">
        <v>28.588</v>
      </c>
      <c r="I329" s="159" t="n">
        <v>38.101939</v>
      </c>
      <c r="J329" s="159"/>
      <c r="K329" s="159" t="n">
        <v>50.7870294604697</v>
      </c>
      <c r="L329" s="159"/>
      <c r="M329" s="160" t="n">
        <f aca="false">G329-F329</f>
        <v>4.08885307071202</v>
      </c>
      <c r="N329" s="75"/>
      <c r="O329" s="190"/>
      <c r="P329" s="192"/>
      <c r="Q329" s="190"/>
      <c r="R329" s="191"/>
      <c r="S329" s="57" t="n">
        <f aca="false">IF(ABS(F329-F328)&lt;0.05,0,F329-F328)</f>
        <v>-3.55959141308628</v>
      </c>
      <c r="T329" s="178" t="n">
        <f aca="false">IF((ABS(G329/G328-1))&lt;0.0005,0,(G329/G328-1))</f>
        <v>-0.0213804199533028</v>
      </c>
      <c r="U329" s="163" t="n">
        <f aca="false">IF(ABS(F329-F317)&lt;0.05,0,F329-F317)</f>
        <v>-12.5426411442805</v>
      </c>
      <c r="V329" s="164" t="n">
        <f aca="false">IF(ABS(F329/F317-1)&lt;0.0005,0,(F329/F317-1))</f>
        <v>-0.107919645466387</v>
      </c>
      <c r="W329" s="57" t="n">
        <f aca="false">(F329/1.2)-57.95</f>
        <v>28.4494974410733</v>
      </c>
      <c r="X329" s="163" t="n">
        <f aca="false">IF(ABS(W329-W328)&lt;0.05,0,W329-W328)</f>
        <v>-2.9663261775719</v>
      </c>
      <c r="Y329" s="184" t="n">
        <f aca="false">IF(ABS(W329/W328-1)&lt;0.0005,0,(W329/W328-1))</f>
        <v>-0.0944214041172358</v>
      </c>
      <c r="Z329" s="163" t="n">
        <f aca="false">IF(ABS(W329-W317)&lt;0.05,0,W329-W317)</f>
        <v>-10.452200953567</v>
      </c>
      <c r="AA329" s="155" t="n">
        <f aca="false">IF(ABS(W329/W317-1)&lt;0.0005,0,(W329/W317-1))</f>
        <v>-0.268682381101569</v>
      </c>
      <c r="AB329" s="185"/>
      <c r="AC329" s="57" t="n">
        <f aca="false">IF(ABS(G329-G328)&lt;0.05,0,G329-G328)</f>
        <v>-2.35446999999998</v>
      </c>
      <c r="AD329" s="164" t="n">
        <f aca="false">IF(ABS(G329/G328-1)&lt;0.0005,0,(G329/G328-1))</f>
        <v>-0.0213804199533028</v>
      </c>
      <c r="AE329" s="163" t="n">
        <f aca="false">IF(ABS(G329-G317)&lt;0.05,0,G329-G317)</f>
        <v>-14.597308814288</v>
      </c>
      <c r="AF329" s="164" t="n">
        <f aca="false">IF(ABS(G329/G317-1)&lt;0.0005,0,(G329/G317-1))</f>
        <v>-0.119292625766062</v>
      </c>
      <c r="AG329" s="57" t="n">
        <f aca="false">(G329/1.2)-57.95</f>
        <v>31.856875</v>
      </c>
      <c r="AH329" s="163" t="n">
        <f aca="false">IF(ABS(AG329-AG328)&lt;0.05,0,AG329-AG328)</f>
        <v>-1.96205833333332</v>
      </c>
      <c r="AI329" s="164" t="n">
        <f aca="false">IF(ABS(AG329/AG328-1)&lt;0.0005,0,(AG329/AG328-1))</f>
        <v>-0.0580165646856589</v>
      </c>
      <c r="AJ329" s="163" t="n">
        <f aca="false">IF(ABS(AG329-AG317)&lt;0.05,0,AG329-AG317)</f>
        <v>-12.1644240119066</v>
      </c>
      <c r="AK329" s="155" t="n">
        <f aca="false">IF(ABS(AG329/AG317-1)&lt;0.0005,0,(AG329/AG317-1))</f>
        <v>-0.276330419250383</v>
      </c>
      <c r="AL329" s="185"/>
      <c r="AM329" s="156" t="n">
        <f aca="false">IF(E329="..","",A329)</f>
        <v>42339</v>
      </c>
      <c r="AN329" s="57" t="n">
        <f aca="false">IF(ABS(E329-E328)&lt;0.05,0,E329-E328)</f>
        <v>-3.28566813362673</v>
      </c>
      <c r="AO329" s="164" t="n">
        <f aca="false">IF(ABS(E329/E328-1)&lt;0.0005,0,(E329/E328-1))</f>
        <v>-0.0284126683300088</v>
      </c>
      <c r="AP329" s="163" t="n">
        <f aca="false">IF(ABS(E329-E317)&lt;0.05,0,E329-E317)</f>
        <v>-11.3523389842503</v>
      </c>
      <c r="AQ329" s="164" t="n">
        <f aca="false">IF(ABS(E329/E317-1)&lt;0.0005,0,(E329/E317-1))</f>
        <v>-0.0917674945006324</v>
      </c>
      <c r="AR329" s="57" t="n">
        <f aca="false">(E329/1.2)-57.95</f>
        <v>35.6794067146763</v>
      </c>
      <c r="AS329" s="163" t="n">
        <f aca="false">IF(ABS(AR329-AR328)&lt;0.05,0,AR329-AR328)</f>
        <v>-2.73805677802228</v>
      </c>
      <c r="AT329" s="164" t="n">
        <f aca="false">IF(ABS(AR329/AR328-1)&lt;0.0005,0,(AR329/AR328-1))</f>
        <v>-0.0712711493444295</v>
      </c>
      <c r="AU329" s="163" t="n">
        <f aca="false">IF(ABS(AR329-AR317)&lt;0.05,0,AR329-AR317)</f>
        <v>-9.46028248687529</v>
      </c>
      <c r="AV329" s="155" t="n">
        <f aca="false">IF(ABS(AR329/AR317-1)&lt;0.0005,0,(AR329/AR317-1))</f>
        <v>-0.20957792696876</v>
      </c>
      <c r="AW329" s="185"/>
      <c r="AX329" s="163" t="n">
        <f aca="false">IF(ABS(H329-H328)&lt;0.05,0,H329-H328)</f>
        <v>-1.43</v>
      </c>
      <c r="AY329" s="164" t="n">
        <f aca="false">IF(ABS(H329/H328-1)&lt;0.0005,0,(H329/H328-1))</f>
        <v>-0.0476380838163767</v>
      </c>
      <c r="AZ329" s="163" t="n">
        <f aca="false">IF(ABS(H329-H317)&lt;0.05,0,H329-H317)</f>
        <v>-13.1612</v>
      </c>
      <c r="BA329" s="164" t="n">
        <f aca="false">IF(ABS(H329/H317-1)&lt;0.0005,0,(H329/H317-1))</f>
        <v>-0.31524436396386</v>
      </c>
      <c r="BB329" s="57" t="n">
        <f aca="false">(H329/1.05)</f>
        <v>27.2266666666667</v>
      </c>
      <c r="BC329" s="163" t="n">
        <f aca="false">IF(ABS(BB329-BB328)&lt;0.05,0,BB329-BB328)</f>
        <v>-1.36190476190476</v>
      </c>
      <c r="BD329" s="164" t="n">
        <f aca="false">IF(ABS(BB329/BB328-1)&lt;0.0005,0,(BB329/BB328-1))</f>
        <v>-0.0476380838163767</v>
      </c>
      <c r="BE329" s="163" t="n">
        <f aca="false">IF(ABS(BB329-BB317)&lt;0.05,0,BB329-BB317)</f>
        <v>-12.5344761904762</v>
      </c>
      <c r="BF329" s="155" t="n">
        <f aca="false">IF(ABS(BB329/BB317-1)&lt;0.0005,0,(BB329/BB317-1))</f>
        <v>-0.31524436396386</v>
      </c>
      <c r="BG329" s="191"/>
      <c r="BH329" s="163" t="n">
        <f aca="false">IF(ABS(I329-I328)&lt;0.05,0,I329-I328)</f>
        <v>-3.46619399999999</v>
      </c>
      <c r="BI329" s="164" t="n">
        <f aca="false">IF(ABS(I329/I328-1)&lt;0.0005,0,(I329/I328-1))</f>
        <v>-0.0833858475193003</v>
      </c>
      <c r="BJ329" s="163" t="n">
        <f aca="false">IF(ABS(I329-I317)&lt;0.05,0,I329-I317)</f>
        <v>-13.301983</v>
      </c>
      <c r="BK329" s="164" t="n">
        <f aca="false">IF(ABS(I329/I317-1)&lt;0.0005,0,(I329/I317-1))</f>
        <v>-0.258773698240379</v>
      </c>
      <c r="BL329" s="57" t="n">
        <f aca="false">(I329/1.05)-11.14</f>
        <v>25.147560952381</v>
      </c>
      <c r="BM329" s="163" t="n">
        <f aca="false">IF(ABS(BL329-BL328)&lt;0.05,0,BL329-BL328)</f>
        <v>-3.30113714285714</v>
      </c>
      <c r="BN329" s="164" t="n">
        <f aca="false">IF(ABS(BL329/BL328-1)&lt;0.0005,0,(BL329/BL328-1))</f>
        <v>-0.116038250038925</v>
      </c>
      <c r="BO329" s="163" t="n">
        <f aca="false">IF(ABS(BL329-BL317)&lt;0.05,0,BL329-BL317)</f>
        <v>-12.6685552380952</v>
      </c>
      <c r="BP329" s="155" t="n">
        <f aca="false">IF(ABS(BL329/BL317-1)&lt;0.0005,0,(BL329/BL317-1))</f>
        <v>-0.335004133536213</v>
      </c>
      <c r="BQ329" s="191"/>
    </row>
    <row r="330" customFormat="false" ht="12.75" hidden="false" customHeight="true" outlineLevel="0" collapsed="false">
      <c r="A330" s="156" t="n">
        <v>42370</v>
      </c>
      <c r="B330" s="73" t="n">
        <v>2016</v>
      </c>
      <c r="C330" s="157" t="s">
        <v>59</v>
      </c>
      <c r="D330" s="189"/>
      <c r="E330" s="159" t="n">
        <v>110.243857771554</v>
      </c>
      <c r="F330" s="159" t="n">
        <v>101.742386466289</v>
      </c>
      <c r="G330" s="159" t="n">
        <v>102.522596</v>
      </c>
      <c r="H330" s="159" t="n">
        <v>22.813</v>
      </c>
      <c r="I330" s="159" t="n">
        <v>35.185763</v>
      </c>
      <c r="J330" s="159"/>
      <c r="K330" s="159" t="n">
        <v>44.0539370567246</v>
      </c>
      <c r="L330" s="159"/>
      <c r="M330" s="160" t="n">
        <f aca="false">G330-F330</f>
        <v>0.780209533711059</v>
      </c>
      <c r="N330" s="75"/>
      <c r="O330" s="190"/>
      <c r="P330" s="75"/>
      <c r="Q330" s="190"/>
      <c r="R330" s="191"/>
      <c r="S330" s="57" t="n">
        <f aca="false">IF(ABS(F330-F329)&lt;0.05,0,F330-F329)</f>
        <v>-1.93701046299904</v>
      </c>
      <c r="T330" s="178" t="n">
        <f aca="false">IF((ABS(G330/G329-1))&lt;0.0005,0,(G330/G329-1))</f>
        <v>-0.0486753194934501</v>
      </c>
      <c r="U330" s="163" t="n">
        <f aca="false">IF(ABS(F330-F318)&lt;0.05,0,F330-F318)</f>
        <v>-6.70270386932359</v>
      </c>
      <c r="V330" s="164" t="n">
        <f aca="false">IF(ABS(F330/F318-1)&lt;0.0005,0,(F330/F318-1))</f>
        <v>-0.0618073519841263</v>
      </c>
      <c r="W330" s="57" t="n">
        <f aca="false">(F330/1.2)-57.95</f>
        <v>26.8353220552408</v>
      </c>
      <c r="X330" s="163" t="n">
        <f aca="false">IF(ABS(W330-W329)&lt;0.05,0,W330-W329)</f>
        <v>-1.61417538583252</v>
      </c>
      <c r="Y330" s="184" t="n">
        <f aca="false">IF(ABS(W330/W329-1)&lt;0.0005,0,(W330/W329-1))</f>
        <v>-0.05673827417078</v>
      </c>
      <c r="Z330" s="163" t="n">
        <f aca="false">IF(ABS(W330-W318)&lt;0.05,0,W330-W318)</f>
        <v>-5.58558655776965</v>
      </c>
      <c r="AA330" s="155" t="n">
        <f aca="false">IF(ABS(W330/W318-1)&lt;0.0005,0,(W330/W318-1))</f>
        <v>-0.172283467574631</v>
      </c>
      <c r="AB330" s="185"/>
      <c r="AC330" s="57" t="n">
        <f aca="false">IF(ABS(G330-G329)&lt;0.05,0,G330-G329)</f>
        <v>-5.245654</v>
      </c>
      <c r="AD330" s="164" t="n">
        <f aca="false">IF(ABS(G330/G329-1)&lt;0.0005,0,(G330/G329-1))</f>
        <v>-0.0486753194934501</v>
      </c>
      <c r="AE330" s="163" t="n">
        <f aca="false">IF(ABS(G330-G318)&lt;0.05,0,G330-G318)</f>
        <v>-13.3225341720671</v>
      </c>
      <c r="AF330" s="164" t="n">
        <f aca="false">IF(ABS(G330/G318-1)&lt;0.0005,0,(G330/G318-1))</f>
        <v>-0.11500297122787</v>
      </c>
      <c r="AG330" s="57" t="n">
        <f aca="false">(G330/1.2)-57.95</f>
        <v>27.4854966666667</v>
      </c>
      <c r="AH330" s="163" t="n">
        <f aca="false">IF(ABS(AG330-AG329)&lt;0.05,0,AG330-AG329)</f>
        <v>-4.37137833333333</v>
      </c>
      <c r="AI330" s="164" t="n">
        <f aca="false">IF(ABS(AG330/AG329-1)&lt;0.0005,0,(AG330/AG329-1))</f>
        <v>-0.13721930771092</v>
      </c>
      <c r="AJ330" s="163" t="n">
        <f aca="false">IF(ABS(AG330-AG318)&lt;0.05,0,AG330-AG318)</f>
        <v>-11.1021118100559</v>
      </c>
      <c r="AK330" s="155" t="n">
        <f aca="false">IF(ABS(AG330/AG318-1)&lt;0.0005,0,(AG330/AG318-1))</f>
        <v>-0.287711839326686</v>
      </c>
      <c r="AL330" s="185"/>
      <c r="AM330" s="156" t="n">
        <f aca="false">IF(E330="..","",A330)</f>
        <v>42370</v>
      </c>
      <c r="AN330" s="57" t="n">
        <f aca="false">IF(ABS(E330-E329)&lt;0.05,0,E330-E329)</f>
        <v>-2.11143028605751</v>
      </c>
      <c r="AO330" s="164" t="n">
        <f aca="false">IF(ABS(E330/E329-1)&lt;0.0005,0,(E330/E329-1))</f>
        <v>-0.0187924424614073</v>
      </c>
      <c r="AP330" s="163" t="n">
        <f aca="false">IF(ABS(E330-E318)&lt;0.05,0,E330-E318)</f>
        <v>-5.98046261922259</v>
      </c>
      <c r="AQ330" s="164" t="n">
        <f aca="false">IF(ABS(E330/E318-1)&lt;0.0005,0,(E330/E318-1))</f>
        <v>-0.0514562064042595</v>
      </c>
      <c r="AR330" s="57" t="n">
        <f aca="false">(E330/1.2)-57.95</f>
        <v>33.919881476295</v>
      </c>
      <c r="AS330" s="163" t="n">
        <f aca="false">IF(ABS(AR330-AR329)&lt;0.05,0,AR330-AR329)</f>
        <v>-1.75952523838126</v>
      </c>
      <c r="AT330" s="164" t="n">
        <f aca="false">IF(ABS(AR330/AR329-1)&lt;0.0005,0,(AR330/AR329-1))</f>
        <v>-0.0493148681661655</v>
      </c>
      <c r="AU330" s="163" t="n">
        <f aca="false">IF(ABS(AR330-AR318)&lt;0.05,0,AR330-AR318)</f>
        <v>-4.98371884935216</v>
      </c>
      <c r="AV330" s="155" t="n">
        <f aca="false">IF(ABS(AR330/AR318-1)&lt;0.0005,0,(AR330/AR318-1))</f>
        <v>-0.128104309309045</v>
      </c>
      <c r="AW330" s="185"/>
      <c r="AX330" s="163" t="n">
        <f aca="false">IF(ABS(H330-H329)&lt;0.05,0,H330-H329)</f>
        <v>-5.775</v>
      </c>
      <c r="AY330" s="164" t="n">
        <f aca="false">IF(ABS(H330/H329-1)&lt;0.0005,0,(H330/H329-1))</f>
        <v>-0.202007835455436</v>
      </c>
      <c r="AZ330" s="163" t="n">
        <f aca="false">IF(ABS(H330-H318)&lt;0.05,0,H330-H318)</f>
        <v>-13.619617</v>
      </c>
      <c r="BA330" s="164" t="n">
        <f aca="false">IF(ABS(H330/H318-1)&lt;0.0005,0,(H330/H318-1))</f>
        <v>-0.373830323525757</v>
      </c>
      <c r="BB330" s="57" t="n">
        <f aca="false">(H330/1.05)</f>
        <v>21.7266666666667</v>
      </c>
      <c r="BC330" s="163" t="n">
        <f aca="false">IF(ABS(BB330-BB329)&lt;0.05,0,BB330-BB329)</f>
        <v>-5.5</v>
      </c>
      <c r="BD330" s="164" t="n">
        <f aca="false">IF(ABS(BB330/BB329-1)&lt;0.0005,0,(BB330/BB329-1))</f>
        <v>-0.202007835455436</v>
      </c>
      <c r="BE330" s="163" t="n">
        <f aca="false">IF(ABS(BB330-BB318)&lt;0.05,0,BB330-BB318)</f>
        <v>-12.9710638095238</v>
      </c>
      <c r="BF330" s="155" t="n">
        <f aca="false">IF(ABS(BB330/BB318-1)&lt;0.0005,0,(BB330/BB318-1))</f>
        <v>-0.373830323525757</v>
      </c>
      <c r="BG330" s="191"/>
      <c r="BH330" s="163" t="n">
        <f aca="false">IF(ABS(I330-I329)&lt;0.05,0,I330-I329)</f>
        <v>-2.91617600000001</v>
      </c>
      <c r="BI330" s="164" t="n">
        <f aca="false">IF(ABS(I330/I329-1)&lt;0.0005,0,(I330/I329-1))</f>
        <v>-0.0765361573855863</v>
      </c>
      <c r="BJ330" s="163" t="n">
        <f aca="false">IF(ABS(I330-I318)&lt;0.05,0,I330-I318)</f>
        <v>-11.14544</v>
      </c>
      <c r="BK330" s="164" t="n">
        <f aca="false">IF(ABS(I330/I318-1)&lt;0.0005,0,(I330/I318-1))</f>
        <v>-0.240560125322021</v>
      </c>
      <c r="BL330" s="57" t="n">
        <f aca="false">(I330/1.05)-11.14</f>
        <v>22.3702504761905</v>
      </c>
      <c r="BM330" s="163" t="n">
        <f aca="false">IF(ABS(BL330-BL329)&lt;0.05,0,BL330-BL329)</f>
        <v>-2.77731047619048</v>
      </c>
      <c r="BN330" s="164" t="n">
        <f aca="false">IF(ABS(BL330/BL329-1)&lt;0.0005,0,(BL330/BL329-1))</f>
        <v>-0.110440550534883</v>
      </c>
      <c r="BO330" s="163" t="n">
        <f aca="false">IF(ABS(BL330-BL318)&lt;0.05,0,BL330-BL318)</f>
        <v>-10.6147047619048</v>
      </c>
      <c r="BP330" s="155" t="n">
        <f aca="false">IF(ABS(BL330/BL318-1)&lt;0.0005,0,(BL330/BL318-1))</f>
        <v>-0.321804431301624</v>
      </c>
      <c r="BQ330" s="191"/>
    </row>
    <row r="331" customFormat="false" ht="12.75" hidden="false" customHeight="true" outlineLevel="0" collapsed="false">
      <c r="A331" s="156" t="n">
        <v>42401</v>
      </c>
      <c r="B331" s="73" t="n">
        <v>2016</v>
      </c>
      <c r="C331" s="157" t="s">
        <v>60</v>
      </c>
      <c r="D331" s="189"/>
      <c r="E331" s="159" t="n">
        <v>109.719153830766</v>
      </c>
      <c r="F331" s="159" t="n">
        <v>101.402537571821</v>
      </c>
      <c r="G331" s="159" t="n">
        <v>101.020909</v>
      </c>
      <c r="H331" s="159" t="n">
        <v>21.892</v>
      </c>
      <c r="I331" s="159" t="n">
        <v>33.459595</v>
      </c>
      <c r="J331" s="159"/>
      <c r="K331" s="159" t="n">
        <v>42.9647822499341</v>
      </c>
      <c r="L331" s="159"/>
      <c r="M331" s="160" t="n">
        <f aca="false">G331-F331</f>
        <v>-0.381628571821395</v>
      </c>
      <c r="N331" s="75"/>
      <c r="O331" s="190"/>
      <c r="P331" s="75"/>
      <c r="Q331" s="190"/>
      <c r="R331" s="191"/>
      <c r="S331" s="57" t="n">
        <f aca="false">IF(ABS(F331-F330)&lt;0.05,0,F331-F330)</f>
        <v>-0.339848894467565</v>
      </c>
      <c r="T331" s="178" t="n">
        <f aca="false">IF((ABS(G331/G330-1))&lt;0.0005,0,(G331/G330-1))</f>
        <v>-0.0146473758818985</v>
      </c>
      <c r="U331" s="163" t="n">
        <f aca="false">IF(ABS(F331-F319)&lt;0.05,0,F331-F319)</f>
        <v>-5.79271805295628</v>
      </c>
      <c r="V331" s="164" t="n">
        <f aca="false">IF(ABS(F331/F319-1)&lt;0.0005,0,(F331/F319-1))</f>
        <v>-0.0540389406153654</v>
      </c>
      <c r="W331" s="57" t="n">
        <f aca="false">(F331/1.2)-57.95</f>
        <v>26.5521146431845</v>
      </c>
      <c r="X331" s="163" t="n">
        <f aca="false">IF(ABS(W331-W330)&lt;0.05,0,W331-W330)</f>
        <v>-0.283207412056314</v>
      </c>
      <c r="Y331" s="184" t="n">
        <f aca="false">IF(ABS(W331/W330-1)&lt;0.0005,0,(W331/W330-1))</f>
        <v>-0.0105535313298394</v>
      </c>
      <c r="Z331" s="163" t="n">
        <f aca="false">IF(ABS(W331-W319)&lt;0.05,0,W331-W319)</f>
        <v>-4.82726504413023</v>
      </c>
      <c r="AA331" s="155" t="n">
        <f aca="false">IF(ABS(W331/W319-1)&lt;0.0005,0,(W331/W319-1))</f>
        <v>-0.153835579040515</v>
      </c>
      <c r="AB331" s="185"/>
      <c r="AC331" s="57" t="n">
        <f aca="false">IF(ABS(G331-G330)&lt;0.05,0,G331-G330)</f>
        <v>-1.50168700000002</v>
      </c>
      <c r="AD331" s="164" t="n">
        <f aca="false">IF(ABS(G331/G330-1)&lt;0.0005,0,(G331/G330-1))</f>
        <v>-0.0146473758818985</v>
      </c>
      <c r="AE331" s="163" t="n">
        <f aca="false">IF(ABS(G331-G319)&lt;0.05,0,G331-G319)</f>
        <v>-13.5839153270592</v>
      </c>
      <c r="AF331" s="164" t="n">
        <f aca="false">IF(ABS(G331/G319-1)&lt;0.0005,0,(G331/G319-1))</f>
        <v>-0.118528302860039</v>
      </c>
      <c r="AG331" s="57" t="n">
        <f aca="false">(G331/1.2)-57.95</f>
        <v>26.2340908333333</v>
      </c>
      <c r="AH331" s="163" t="n">
        <f aca="false">IF(ABS(AG331-AG330)&lt;0.05,0,AG331-AG330)</f>
        <v>-1.25140583333335</v>
      </c>
      <c r="AI331" s="164" t="n">
        <f aca="false">IF(ABS(AG331/AG330-1)&lt;0.0005,0,(AG331/AG330-1))</f>
        <v>-0.0455296787432991</v>
      </c>
      <c r="AJ331" s="163" t="n">
        <f aca="false">IF(ABS(AG331-AG319)&lt;0.05,0,AG331-AG319)</f>
        <v>-11.319929439216</v>
      </c>
      <c r="AK331" s="155" t="n">
        <f aca="false">IF(ABS(AG331/AG319-1)&lt;0.0005,0,(AG331/AG319-1))</f>
        <v>-0.301430562082603</v>
      </c>
      <c r="AL331" s="185"/>
      <c r="AM331" s="156" t="n">
        <f aca="false">IF(E331="..","",A331)</f>
        <v>42401</v>
      </c>
      <c r="AN331" s="57" t="n">
        <f aca="false">IF(ABS(E331-E330)&lt;0.05,0,E331-E330)</f>
        <v>-0.524703940787845</v>
      </c>
      <c r="AO331" s="164" t="n">
        <f aca="false">IF(ABS(E331/E330-1)&lt;0.0005,0,(E331/E330-1))</f>
        <v>-0.00475948457713749</v>
      </c>
      <c r="AP331" s="163" t="n">
        <f aca="false">IF(ABS(E331-E319)&lt;0.05,0,E331-E319)</f>
        <v>-5.2199445956002</v>
      </c>
      <c r="AQ331" s="164" t="n">
        <f aca="false">IF(ABS(E331/E319-1)&lt;0.0005,0,(E331/E319-1))</f>
        <v>-0.0454148733291505</v>
      </c>
      <c r="AR331" s="57" t="n">
        <f aca="false">(E331/1.2)-57.95</f>
        <v>33.4826281923051</v>
      </c>
      <c r="AS331" s="163" t="n">
        <f aca="false">IF(ABS(AR331-AR330)&lt;0.05,0,AR331-AR330)</f>
        <v>-0.437253283989875</v>
      </c>
      <c r="AT331" s="164" t="n">
        <f aca="false">IF(ABS(AR331/AR330-1)&lt;0.0005,0,(AR331/AR330-1))</f>
        <v>-0.0128907668588244</v>
      </c>
      <c r="AU331" s="163" t="n">
        <f aca="false">IF(ABS(AR331-AR319)&lt;0.05,0,AR331-AR319)</f>
        <v>-4.34995382966683</v>
      </c>
      <c r="AV331" s="155" t="n">
        <f aca="false">IF(ABS(AR331/AR319-1)&lt;0.0005,0,(AR331/AR319-1))</f>
        <v>-0.11497903651251</v>
      </c>
      <c r="AW331" s="185"/>
      <c r="AX331" s="163" t="n">
        <f aca="false">IF(ABS(H331-H330)&lt;0.05,0,H331-H330)</f>
        <v>-0.921000000000003</v>
      </c>
      <c r="AY331" s="164" t="n">
        <f aca="false">IF(ABS(H331/H330-1)&lt;0.0005,0,(H331/H330-1))</f>
        <v>-0.0403717178801561</v>
      </c>
      <c r="AZ331" s="163" t="n">
        <f aca="false">IF(ABS(H331-H319)&lt;0.05,0,H331-H319)</f>
        <v>-15.378316</v>
      </c>
      <c r="BA331" s="164" t="n">
        <f aca="false">IF(ABS(H331/H319-1)&lt;0.0005,0,(H331/H319-1))</f>
        <v>-0.412615659067661</v>
      </c>
      <c r="BB331" s="57" t="n">
        <f aca="false">(H331/1.05)</f>
        <v>20.8495238095238</v>
      </c>
      <c r="BC331" s="163" t="n">
        <f aca="false">IF(ABS(BB331-BB330)&lt;0.05,0,BB331-BB330)</f>
        <v>-0.877142857142857</v>
      </c>
      <c r="BD331" s="164" t="n">
        <f aca="false">IF(ABS(BB331/BB330-1)&lt;0.0005,0,(BB331/BB330-1))</f>
        <v>-0.040371717880156</v>
      </c>
      <c r="BE331" s="163" t="n">
        <f aca="false">IF(ABS(BB331-BB319)&lt;0.05,0,BB331-BB319)</f>
        <v>-14.6460152380952</v>
      </c>
      <c r="BF331" s="155" t="n">
        <f aca="false">IF(ABS(BB331/BB319-1)&lt;0.0005,0,(BB331/BB319-1))</f>
        <v>-0.412615659067661</v>
      </c>
      <c r="BG331" s="191"/>
      <c r="BH331" s="163" t="n">
        <f aca="false">IF(ABS(I331-I330)&lt;0.05,0,I331-I330)</f>
        <v>-1.72616799999999</v>
      </c>
      <c r="BI331" s="164" t="n">
        <f aca="false">IF(ABS(I331/I330-1)&lt;0.0005,0,(I331/I330-1))</f>
        <v>-0.0490587059317144</v>
      </c>
      <c r="BJ331" s="163" t="n">
        <f aca="false">IF(ABS(I331-I319)&lt;0.05,0,I331-I319)</f>
        <v>-15.251559</v>
      </c>
      <c r="BK331" s="164" t="n">
        <f aca="false">IF(ABS(I331/I319-1)&lt;0.0005,0,(I331/I319-1))</f>
        <v>-0.313101984814402</v>
      </c>
      <c r="BL331" s="57" t="n">
        <f aca="false">(I331/1.05)-11.14</f>
        <v>20.726280952381</v>
      </c>
      <c r="BM331" s="163" t="n">
        <f aca="false">IF(ABS(BL331-BL330)&lt;0.05,0,BL331-BL330)</f>
        <v>-1.64396952380952</v>
      </c>
      <c r="BN331" s="164" t="n">
        <f aca="false">IF(ABS(BL331/BL330-1)&lt;0.0005,0,(BL331/BL330-1))</f>
        <v>-0.0734890977443128</v>
      </c>
      <c r="BO331" s="163" t="n">
        <f aca="false">IF(ABS(BL331-BL319)&lt;0.05,0,BL331-BL319)</f>
        <v>-14.5252942857143</v>
      </c>
      <c r="BP331" s="155" t="n">
        <f aca="false">IF(ABS(BL331/BL319-1)&lt;0.0005,0,(BL331/BL319-1))</f>
        <v>-0.412046672740379</v>
      </c>
      <c r="BQ331" s="191"/>
    </row>
    <row r="332" customFormat="false" ht="12.75" hidden="false" customHeight="true" outlineLevel="0" collapsed="false">
      <c r="A332" s="156" t="n">
        <v>42430</v>
      </c>
      <c r="B332" s="73" t="n">
        <v>2016</v>
      </c>
      <c r="C332" s="157" t="s">
        <v>61</v>
      </c>
      <c r="D332" s="189"/>
      <c r="E332" s="159" t="n">
        <v>110.527767553511</v>
      </c>
      <c r="F332" s="159" t="n">
        <v>101.726858843943</v>
      </c>
      <c r="G332" s="159" t="n">
        <v>102.399034</v>
      </c>
      <c r="H332" s="159" t="n">
        <v>26.428</v>
      </c>
      <c r="I332" s="159" t="n">
        <v>38.213879</v>
      </c>
      <c r="J332" s="159"/>
      <c r="K332" s="159" t="n">
        <v>51.9034576742635</v>
      </c>
      <c r="L332" s="159"/>
      <c r="M332" s="160" t="n">
        <f aca="false">G332-F332</f>
        <v>0.672175156056667</v>
      </c>
      <c r="N332" s="75"/>
      <c r="O332" s="190"/>
      <c r="P332" s="75"/>
      <c r="Q332" s="190"/>
      <c r="R332" s="191"/>
      <c r="S332" s="57" t="n">
        <f aca="false">IF(ABS(F332-F331)&lt;0.05,0,F332-F331)</f>
        <v>0.324321272121935</v>
      </c>
      <c r="T332" s="178" t="n">
        <f aca="false">IF((ABS(G332/G331-1))&lt;0.0005,0,(G332/G331-1))</f>
        <v>0.0136419778206509</v>
      </c>
      <c r="U332" s="163" t="n">
        <f aca="false">IF(ABS(F332-F320)&lt;0.05,0,F332-F320)</f>
        <v>-9.31519396862697</v>
      </c>
      <c r="V332" s="164" t="n">
        <f aca="false">IF(ABS(F332/F320-1)&lt;0.0005,0,(F332/F320-1))</f>
        <v>-0.0838888847304565</v>
      </c>
      <c r="W332" s="57" t="n">
        <f aca="false">(F332/1.2)-57.95</f>
        <v>26.8223823699528</v>
      </c>
      <c r="X332" s="163" t="n">
        <f aca="false">IF(ABS(W332-W331)&lt;0.05,0,W332-W331)</f>
        <v>0.270267726768282</v>
      </c>
      <c r="Y332" s="184" t="n">
        <f aca="false">IF(ABS(W332/W331-1)&lt;0.0005,0,(W332/W331-1))</f>
        <v>0.0101787646822191</v>
      </c>
      <c r="Z332" s="163" t="n">
        <f aca="false">IF(ABS(W332-W320)&lt;0.05,0,W332-W320)</f>
        <v>-7.76266164052248</v>
      </c>
      <c r="AA332" s="155" t="n">
        <f aca="false">IF(ABS(W332/W320-1)&lt;0.0005,0,(W332/W320-1))</f>
        <v>-0.224451402697978</v>
      </c>
      <c r="AB332" s="185"/>
      <c r="AC332" s="57" t="n">
        <f aca="false">IF(ABS(G332-G331)&lt;0.05,0,G332-G331)</f>
        <v>1.378125</v>
      </c>
      <c r="AD332" s="164" t="n">
        <f aca="false">IF(ABS(G332/G331-1)&lt;0.0005,0,(G332/G331-1))</f>
        <v>0.0136419778206509</v>
      </c>
      <c r="AE332" s="163" t="n">
        <f aca="false">IF(ABS(G332-G320)&lt;0.05,0,G332-G320)</f>
        <v>-15.8119467555368</v>
      </c>
      <c r="AF332" s="164" t="n">
        <f aca="false">IF(ABS(G332/G320-1)&lt;0.0005,0,(G332/G320-1))</f>
        <v>-0.133760388878224</v>
      </c>
      <c r="AG332" s="57" t="n">
        <f aca="false">(G332/1.2)-57.95</f>
        <v>27.3825283333333</v>
      </c>
      <c r="AH332" s="163" t="n">
        <f aca="false">IF(ABS(AG332-AG331)&lt;0.05,0,AG332-AG331)</f>
        <v>1.1484375</v>
      </c>
      <c r="AI332" s="164" t="n">
        <f aca="false">IF(ABS(AG332/AG331-1)&lt;0.0005,0,(AG332/AG331-1))</f>
        <v>0.043776531357465</v>
      </c>
      <c r="AJ332" s="163" t="n">
        <f aca="false">IF(ABS(AG332-AG320)&lt;0.05,0,AG332-AG320)</f>
        <v>-13.1766222962807</v>
      </c>
      <c r="AK332" s="155" t="n">
        <f aca="false">IF(ABS(AG332/AG320-1)&lt;0.0005,0,(AG332/AG320-1))</f>
        <v>-0.324874216834804</v>
      </c>
      <c r="AL332" s="185"/>
      <c r="AM332" s="156" t="n">
        <f aca="false">IF(E332="..","",A332)</f>
        <v>42430</v>
      </c>
      <c r="AN332" s="57" t="n">
        <f aca="false">IF(ABS(E332-E331)&lt;0.05,0,E332-E331)</f>
        <v>0.808613722744553</v>
      </c>
      <c r="AO332" s="164" t="n">
        <f aca="false">IF(ABS(E332/E331-1)&lt;0.0005,0,(E332/E331-1))</f>
        <v>0.00736985015389191</v>
      </c>
      <c r="AP332" s="163" t="n">
        <f aca="false">IF(ABS(E332-E320)&lt;0.05,0,E332-E320)</f>
        <v>-8.15474499644478</v>
      </c>
      <c r="AQ332" s="164" t="n">
        <f aca="false">IF(ABS(E332/E320-1)&lt;0.0005,0,(E332/E320-1))</f>
        <v>-0.0687105860942429</v>
      </c>
      <c r="AR332" s="57" t="n">
        <f aca="false">(E332/1.2)-57.95</f>
        <v>34.1564729612589</v>
      </c>
      <c r="AS332" s="163" t="n">
        <f aca="false">IF(ABS(AR332-AR331)&lt;0.05,0,AR332-AR331)</f>
        <v>0.673844768953799</v>
      </c>
      <c r="AT332" s="164" t="n">
        <f aca="false">IF(ABS(AR332/AR331-1)&lt;0.0005,0,(AR332/AR331-1))</f>
        <v>0.0201252053776548</v>
      </c>
      <c r="AU332" s="163" t="n">
        <f aca="false">IF(ABS(AR332-AR320)&lt;0.05,0,AR332-AR320)</f>
        <v>-6.79562083037065</v>
      </c>
      <c r="AV332" s="155" t="n">
        <f aca="false">IF(ABS(AR332/AR320-1)&lt;0.0005,0,(AR332/AR320-1))</f>
        <v>-0.165940742003273</v>
      </c>
      <c r="AW332" s="185"/>
      <c r="AX332" s="163" t="n">
        <f aca="false">IF(ABS(H332-H331)&lt;0.05,0,H332-H331)</f>
        <v>4.536</v>
      </c>
      <c r="AY332" s="164" t="n">
        <f aca="false">IF(ABS(H332/H331-1)&lt;0.0005,0,(H332/H331-1))</f>
        <v>0.207198976795176</v>
      </c>
      <c r="AZ332" s="163" t="n">
        <f aca="false">IF(ABS(H332-H320)&lt;0.05,0,H332-H320)</f>
        <v>-10.415831</v>
      </c>
      <c r="BA332" s="164" t="n">
        <f aca="false">IF(ABS(H332/H320-1)&lt;0.0005,0,(H332/H320-1))</f>
        <v>-0.282702170683608</v>
      </c>
      <c r="BB332" s="57" t="n">
        <f aca="false">(H332/1.05)</f>
        <v>25.1695238095238</v>
      </c>
      <c r="BC332" s="163" t="n">
        <f aca="false">IF(ABS(BB332-BB331)&lt;0.05,0,BB332-BB331)</f>
        <v>4.32</v>
      </c>
      <c r="BD332" s="164" t="n">
        <f aca="false">IF(ABS(BB332/BB331-1)&lt;0.0005,0,(BB332/BB331-1))</f>
        <v>0.207198976795176</v>
      </c>
      <c r="BE332" s="163" t="n">
        <f aca="false">IF(ABS(BB332-BB320)&lt;0.05,0,BB332-BB320)</f>
        <v>-9.91983904761904</v>
      </c>
      <c r="BF332" s="155" t="n">
        <f aca="false">IF(ABS(BB332/BB320-1)&lt;0.0005,0,(BB332/BB320-1))</f>
        <v>-0.282702170683608</v>
      </c>
      <c r="BG332" s="191"/>
      <c r="BH332" s="163" t="n">
        <f aca="false">IF(ABS(I332-I331)&lt;0.05,0,I332-I331)</f>
        <v>4.754284</v>
      </c>
      <c r="BI332" s="164" t="n">
        <f aca="false">IF(ABS(I332/I331-1)&lt;0.0005,0,(I332/I331-1))</f>
        <v>0.142090303244854</v>
      </c>
      <c r="BJ332" s="163" t="n">
        <f aca="false">IF(ABS(I332-I320)&lt;0.05,0,I332-I320)</f>
        <v>-10.352396</v>
      </c>
      <c r="BK332" s="164" t="n">
        <f aca="false">IF(ABS(I332/I320-1)&lt;0.0005,0,(I332/I320-1))</f>
        <v>-0.213160181628095</v>
      </c>
      <c r="BL332" s="57" t="n">
        <f aca="false">(I332/1.05)-11.14</f>
        <v>25.2541704761905</v>
      </c>
      <c r="BM332" s="163" t="n">
        <f aca="false">IF(ABS(BL332-BL331)&lt;0.05,0,BL332-BL331)</f>
        <v>4.52788952380952</v>
      </c>
      <c r="BN332" s="164" t="n">
        <f aca="false">IF(ABS(BL332/BL331-1)&lt;0.0005,0,(BL332/BL331-1))</f>
        <v>0.218461263466053</v>
      </c>
      <c r="BO332" s="163" t="n">
        <f aca="false">IF(ABS(BL332-BL320)&lt;0.05,0,BL332-BL320)</f>
        <v>-9.85942476190476</v>
      </c>
      <c r="BP332" s="155" t="n">
        <f aca="false">IF(ABS(BL332/BL320-1)&lt;0.0005,0,(BL332/BL320-1))</f>
        <v>-0.280786535672318</v>
      </c>
      <c r="BQ332" s="191"/>
    </row>
    <row r="333" customFormat="false" ht="12.75" hidden="false" customHeight="true" outlineLevel="0" collapsed="false">
      <c r="A333" s="156" t="n">
        <v>42461</v>
      </c>
      <c r="B333" s="73" t="n">
        <v>2016</v>
      </c>
      <c r="C333" s="157" t="s">
        <v>62</v>
      </c>
      <c r="D333" s="189"/>
      <c r="E333" s="159" t="n">
        <v>115.015963192639</v>
      </c>
      <c r="F333" s="159" t="n">
        <v>106.442845608169</v>
      </c>
      <c r="G333" s="159" t="n">
        <v>106.943421</v>
      </c>
      <c r="H333" s="159" t="n">
        <v>27.398</v>
      </c>
      <c r="I333" s="159" t="n">
        <v>38.835974</v>
      </c>
      <c r="J333" s="159"/>
      <c r="K333" s="159" t="n">
        <v>55.6696339843512</v>
      </c>
      <c r="L333" s="159"/>
      <c r="M333" s="160" t="n">
        <f aca="false">G333-F333</f>
        <v>0.50057539183095</v>
      </c>
      <c r="N333" s="75"/>
      <c r="O333" s="190"/>
      <c r="P333" s="75"/>
      <c r="Q333" s="190"/>
      <c r="R333" s="191"/>
      <c r="S333" s="57" t="n">
        <f aca="false">IF(ABS(F333-F332)&lt;0.05,0,F333-F332)</f>
        <v>4.71598676422572</v>
      </c>
      <c r="T333" s="178" t="n">
        <f aca="false">IF((ABS(G333/G332-1))&lt;0.0005,0,(G333/G332-1))</f>
        <v>0.0443791979521995</v>
      </c>
      <c r="U333" s="163" t="n">
        <f aca="false">IF(ABS(F333-F321)&lt;0.05,0,F333-F321)</f>
        <v>-6.10462761344851</v>
      </c>
      <c r="V333" s="164" t="n">
        <f aca="false">IF(ABS(F333/F321-1)&lt;0.0005,0,(F333/F321-1))</f>
        <v>-0.0542404679439393</v>
      </c>
      <c r="W333" s="57" t="n">
        <f aca="false">(F333/1.2)-57.95</f>
        <v>30.7523713401409</v>
      </c>
      <c r="X333" s="163" t="n">
        <f aca="false">IF(ABS(W333-W332)&lt;0.05,0,W333-W332)</f>
        <v>3.92998897018811</v>
      </c>
      <c r="Y333" s="184" t="n">
        <f aca="false">IF(ABS(W333/W332-1)&lt;0.0005,0,(W333/W332-1))</f>
        <v>0.14651901221834</v>
      </c>
      <c r="Z333" s="163" t="n">
        <f aca="false">IF(ABS(W333-W321)&lt;0.05,0,W333-W321)</f>
        <v>-5.08718967787375</v>
      </c>
      <c r="AA333" s="155" t="n">
        <f aca="false">IF(ABS(W333/W321-1)&lt;0.0005,0,(W333/W321-1))</f>
        <v>-0.141943414857026</v>
      </c>
      <c r="AB333" s="185"/>
      <c r="AC333" s="57" t="n">
        <f aca="false">IF(ABS(G333-G332)&lt;0.05,0,G333-G332)</f>
        <v>4.544387</v>
      </c>
      <c r="AD333" s="164" t="n">
        <f aca="false">IF(ABS(G333/G332-1)&lt;0.0005,0,(G333/G332-1))</f>
        <v>0.0443791979521995</v>
      </c>
      <c r="AE333" s="163" t="n">
        <f aca="false">IF(ABS(G333-G321)&lt;0.05,0,G333-G321)</f>
        <v>-12.1474922826299</v>
      </c>
      <c r="AF333" s="164" t="n">
        <f aca="false">IF(ABS(G333/G321-1)&lt;0.0005,0,(G333/G321-1))</f>
        <v>-0.102001840004376</v>
      </c>
      <c r="AG333" s="57" t="n">
        <f aca="false">(G333/1.2)-57.95</f>
        <v>31.1695175</v>
      </c>
      <c r="AH333" s="163" t="n">
        <f aca="false">IF(ABS(AG333-AG332)&lt;0.05,0,AG333-AG332)</f>
        <v>3.78698916666666</v>
      </c>
      <c r="AI333" s="164" t="n">
        <f aca="false">IF(ABS(AG333/AG332-1)&lt;0.0005,0,(AG333/AG332-1))</f>
        <v>0.138299470398308</v>
      </c>
      <c r="AJ333" s="163" t="n">
        <f aca="false">IF(ABS(AG333-AG321)&lt;0.05,0,AG333-AG321)</f>
        <v>-10.1229102355249</v>
      </c>
      <c r="AK333" s="155" t="n">
        <f aca="false">IF(ABS(AG333/AG321-1)&lt;0.0005,0,(AG333/AG321-1))</f>
        <v>-0.245151733396773</v>
      </c>
      <c r="AL333" s="185"/>
      <c r="AM333" s="156" t="n">
        <f aca="false">IF(E333="..","",A333)</f>
        <v>42461</v>
      </c>
      <c r="AN333" s="57" t="n">
        <f aca="false">IF(ABS(E333-E332)&lt;0.05,0,E333-E332)</f>
        <v>4.4881956391278</v>
      </c>
      <c r="AO333" s="164" t="n">
        <f aca="false">IF(ABS(E333/E332-1)&lt;0.0005,0,(E333/E332-1))</f>
        <v>0.0406069509813893</v>
      </c>
      <c r="AP333" s="163" t="n">
        <f aca="false">IF(ABS(E333-E321)&lt;0.05,0,E333-E321)</f>
        <v>-5.05820361391558</v>
      </c>
      <c r="AQ333" s="164" t="n">
        <f aca="false">IF(ABS(E333/E321-1)&lt;0.0005,0,(E333/E321-1))</f>
        <v>-0.0421256607348741</v>
      </c>
      <c r="AR333" s="57" t="n">
        <f aca="false">(E333/1.2)-57.95</f>
        <v>37.8966359938654</v>
      </c>
      <c r="AS333" s="163" t="n">
        <f aca="false">IF(ABS(AR333-AR332)&lt;0.05,0,AR333-AR332)</f>
        <v>3.7401630326065</v>
      </c>
      <c r="AT333" s="164" t="n">
        <f aca="false">IF(ABS(AR333/AR332-1)&lt;0.0005,0,(AR333/AR332-1))</f>
        <v>0.109500856158324</v>
      </c>
      <c r="AU333" s="163" t="n">
        <f aca="false">IF(ABS(AR333-AR321)&lt;0.05,0,AR333-AR321)</f>
        <v>-4.21516967826298</v>
      </c>
      <c r="AV333" s="155" t="n">
        <f aca="false">IF(ABS(AR333/AR321-1)&lt;0.0005,0,(AR333/AR321-1))</f>
        <v>-0.100094726668365</v>
      </c>
      <c r="AW333" s="185"/>
      <c r="AX333" s="163" t="n">
        <f aca="false">IF(ABS(H333-H332)&lt;0.05,0,H333-H332)</f>
        <v>0.970000000000002</v>
      </c>
      <c r="AY333" s="164" t="n">
        <f aca="false">IF(ABS(H333/H332-1)&lt;0.0005,0,(H333/H332-1))</f>
        <v>0.0367034962918118</v>
      </c>
      <c r="AZ333" s="163" t="n">
        <f aca="false">IF(ABS(H333-H321)&lt;0.05,0,H333-H321)</f>
        <v>-9.07562</v>
      </c>
      <c r="BA333" s="164" t="n">
        <f aca="false">IF(ABS(H333/H321-1)&lt;0.0005,0,(H333/H321-1))</f>
        <v>-0.248826960416871</v>
      </c>
      <c r="BB333" s="57" t="n">
        <f aca="false">(H333/1.05)</f>
        <v>26.0933333333333</v>
      </c>
      <c r="BC333" s="163" t="n">
        <f aca="false">IF(ABS(BB333-BB332)&lt;0.05,0,BB333-BB332)</f>
        <v>0.923809523809524</v>
      </c>
      <c r="BD333" s="164" t="n">
        <f aca="false">IF(ABS(BB333/BB332-1)&lt;0.0005,0,(BB333/BB332-1))</f>
        <v>0.0367034962918118</v>
      </c>
      <c r="BE333" s="163" t="n">
        <f aca="false">IF(ABS(BB333-BB321)&lt;0.05,0,BB333-BB321)</f>
        <v>-8.64344761904762</v>
      </c>
      <c r="BF333" s="155" t="n">
        <f aca="false">IF(ABS(BB333/BB321-1)&lt;0.0005,0,(BB333/BB321-1))</f>
        <v>-0.248826960416871</v>
      </c>
      <c r="BG333" s="191"/>
      <c r="BH333" s="163" t="n">
        <f aca="false">IF(ABS(I333-I332)&lt;0.05,0,I333-I332)</f>
        <v>0.622095000000002</v>
      </c>
      <c r="BI333" s="164" t="n">
        <f aca="false">IF(ABS(I333/I332-1)&lt;0.0005,0,(I333/I332-1))</f>
        <v>0.0162792947557091</v>
      </c>
      <c r="BJ333" s="163" t="n">
        <f aca="false">IF(ABS(I333-I321)&lt;0.05,0,I333-I321)</f>
        <v>-9.364818</v>
      </c>
      <c r="BK333" s="164" t="n">
        <f aca="false">IF(ABS(I333/I321-1)&lt;0.0005,0,(I333/I321-1))</f>
        <v>-0.194287637431352</v>
      </c>
      <c r="BL333" s="57" t="n">
        <f aca="false">(I333/1.05)-11.14</f>
        <v>25.8466419047619</v>
      </c>
      <c r="BM333" s="163" t="n">
        <f aca="false">IF(ABS(BL333-BL332)&lt;0.05,0,BL333-BL332)</f>
        <v>0.592471428571429</v>
      </c>
      <c r="BN333" s="164" t="n">
        <f aca="false">IF(ABS(BL333/BL332-1)&lt;0.0005,0,(BL333/BL332-1))</f>
        <v>0.0234603401101616</v>
      </c>
      <c r="BO333" s="163" t="n">
        <f aca="false">IF(ABS(BL333-BL321)&lt;0.05,0,BL333-BL321)</f>
        <v>-8.91887428571429</v>
      </c>
      <c r="BP333" s="155" t="n">
        <f aca="false">IF(ABS(BL333/BL321-1)&lt;0.0005,0,(BL333/BL321-1))</f>
        <v>-0.256543703733574</v>
      </c>
      <c r="BQ333" s="191"/>
    </row>
    <row r="334" customFormat="false" ht="12.75" hidden="false" customHeight="true" outlineLevel="0" collapsed="false">
      <c r="A334" s="156" t="n">
        <v>42491</v>
      </c>
      <c r="B334" s="73" t="n">
        <v>2016</v>
      </c>
      <c r="C334" s="157" t="s">
        <v>63</v>
      </c>
      <c r="D334" s="189"/>
      <c r="E334" s="159" t="n">
        <v>117.189158831766</v>
      </c>
      <c r="F334" s="159" t="n">
        <v>108.434112394031</v>
      </c>
      <c r="G334" s="159" t="n">
        <v>109.070894</v>
      </c>
      <c r="H334" s="159" t="n">
        <v>29.558</v>
      </c>
      <c r="I334" s="159" t="n">
        <v>42.078426</v>
      </c>
      <c r="J334" s="159"/>
      <c r="K334" s="159" t="n">
        <v>61.9769674862548</v>
      </c>
      <c r="L334" s="159"/>
      <c r="M334" s="160" t="n">
        <f aca="false">G334-F334</f>
        <v>0.636781605969262</v>
      </c>
      <c r="N334" s="75"/>
      <c r="O334" s="190"/>
      <c r="P334" s="75"/>
      <c r="Q334" s="190"/>
      <c r="R334" s="191"/>
      <c r="S334" s="57" t="n">
        <f aca="false">IF(ABS(F334-F333)&lt;0.05,0,F334-F333)</f>
        <v>1.99126678586171</v>
      </c>
      <c r="T334" s="178" t="n">
        <f aca="false">IF((ABS(G334/G333-1))&lt;0.0005,0,(G334/G333-1))</f>
        <v>0.0198934444036536</v>
      </c>
      <c r="U334" s="163" t="n">
        <f aca="false">IF(ABS(F334-F322)&lt;0.05,0,F334-F322)</f>
        <v>-7.31544551361101</v>
      </c>
      <c r="V334" s="164" t="n">
        <f aca="false">IF(ABS(F334/F322-1)&lt;0.0005,0,(F334/F322-1))</f>
        <v>-0.0632006345929037</v>
      </c>
      <c r="W334" s="57" t="n">
        <f aca="false">(F334/1.2)-57.95</f>
        <v>32.411760328359</v>
      </c>
      <c r="X334" s="163" t="n">
        <f aca="false">IF(ABS(W334-W333)&lt;0.05,0,W334-W333)</f>
        <v>1.65938898821808</v>
      </c>
      <c r="Y334" s="184" t="n">
        <f aca="false">IF(ABS(W334/W333-1)&lt;0.0005,0,(W334/W333-1))</f>
        <v>0.0539597083380718</v>
      </c>
      <c r="Z334" s="163" t="n">
        <f aca="false">IF(ABS(W334-W322)&lt;0.05,0,W334-W322)</f>
        <v>-6.09620459467584</v>
      </c>
      <c r="AA334" s="155" t="n">
        <f aca="false">IF(ABS(W334/W322-1)&lt;0.0005,0,(W334/W322-1))</f>
        <v>-0.158310225088763</v>
      </c>
      <c r="AB334" s="185"/>
      <c r="AC334" s="57" t="n">
        <f aca="false">IF(ABS(G334-G333)&lt;0.05,0,G334-G333)</f>
        <v>2.12747300000002</v>
      </c>
      <c r="AD334" s="164" t="n">
        <f aca="false">IF(ABS(G334/G333-1)&lt;0.0005,0,(G334/G333-1))</f>
        <v>0.0198934444036536</v>
      </c>
      <c r="AE334" s="163" t="n">
        <f aca="false">IF(ABS(G334-G322)&lt;0.05,0,G334-G322)</f>
        <v>-11.8965608009347</v>
      </c>
      <c r="AF334" s="164" t="n">
        <f aca="false">IF(ABS(G334/G322-1)&lt;0.0005,0,(G334/G322-1))</f>
        <v>-0.0983451360575601</v>
      </c>
      <c r="AG334" s="57" t="n">
        <f aca="false">(G334/1.2)-57.95</f>
        <v>32.9424116666667</v>
      </c>
      <c r="AH334" s="163" t="n">
        <f aca="false">IF(ABS(AG334-AG333)&lt;0.05,0,AG334-AG333)</f>
        <v>1.77289416666669</v>
      </c>
      <c r="AI334" s="164" t="n">
        <f aca="false">IF(ABS(AG334/AG333-1)&lt;0.0005,0,(AG334/AG333-1))</f>
        <v>0.0568791020479122</v>
      </c>
      <c r="AJ334" s="163" t="n">
        <f aca="false">IF(ABS(AG334-AG322)&lt;0.05,0,AG334-AG322)</f>
        <v>-9.91380066744557</v>
      </c>
      <c r="AK334" s="155" t="n">
        <f aca="false">IF(ABS(AG334/AG322-1)&lt;0.0005,0,(AG334/AG322-1))</f>
        <v>-0.231327038193585</v>
      </c>
      <c r="AL334" s="185"/>
      <c r="AM334" s="156" t="n">
        <f aca="false">IF(E334="..","",A334)</f>
        <v>42491</v>
      </c>
      <c r="AN334" s="57" t="n">
        <f aca="false">IF(ABS(E334-E333)&lt;0.05,0,E334-E333)</f>
        <v>2.17319563912785</v>
      </c>
      <c r="AO334" s="164" t="n">
        <f aca="false">IF(ABS(E334/E333-1)&lt;0.0005,0,(E334/E333-1))</f>
        <v>0.0188947305991605</v>
      </c>
      <c r="AP334" s="163" t="n">
        <f aca="false">IF(ABS(E334-E322)&lt;0.05,0,E334-E322)</f>
        <v>-6.13545786138745</v>
      </c>
      <c r="AQ334" s="164" t="n">
        <f aca="false">IF(ABS(E334/E322-1)&lt;0.0005,0,(E334/E322-1))</f>
        <v>-0.0497504717703944</v>
      </c>
      <c r="AR334" s="57" t="n">
        <f aca="false">(E334/1.2)-57.95</f>
        <v>39.7076323598053</v>
      </c>
      <c r="AS334" s="163" t="n">
        <f aca="false">IF(ABS(AR334-AR333)&lt;0.05,0,AR334-AR333)</f>
        <v>1.81099636593987</v>
      </c>
      <c r="AT334" s="164" t="n">
        <f aca="false">IF(ABS(AR334/AR333-1)&lt;0.0005,0,(AR334/AR333-1))</f>
        <v>0.0477877869221171</v>
      </c>
      <c r="AU334" s="163" t="n">
        <f aca="false">IF(ABS(AR334-AR322)&lt;0.05,0,AR334-AR322)</f>
        <v>-5.11288155115621</v>
      </c>
      <c r="AV334" s="155" t="n">
        <f aca="false">IF(ABS(AR334/AR322-1)&lt;0.0005,0,(AR334/AR322-1))</f>
        <v>-0.114074585608573</v>
      </c>
      <c r="AW334" s="185"/>
      <c r="AX334" s="163" t="n">
        <f aca="false">IF(ABS(H334-H333)&lt;0.05,0,H334-H333)</f>
        <v>2.16</v>
      </c>
      <c r="AY334" s="164" t="n">
        <f aca="false">IF(ABS(H334/H333-1)&lt;0.0005,0,(H334/H333-1))</f>
        <v>0.0788378713774729</v>
      </c>
      <c r="AZ334" s="163" t="n">
        <f aca="false">IF(ABS(H334-H322)&lt;0.05,0,H334-H322)</f>
        <v>-7.312227</v>
      </c>
      <c r="BA334" s="164" t="n">
        <f aca="false">IF(ABS(H334/H322-1)&lt;0.0005,0,(H334/H322-1))</f>
        <v>-0.198323351792762</v>
      </c>
      <c r="BB334" s="57" t="n">
        <f aca="false">(H334/1.05)</f>
        <v>28.1504761904762</v>
      </c>
      <c r="BC334" s="163" t="n">
        <f aca="false">IF(ABS(BB334-BB333)&lt;0.05,0,BB334-BB333)</f>
        <v>2.05714285714286</v>
      </c>
      <c r="BD334" s="164" t="n">
        <f aca="false">IF(ABS(BB334/BB333-1)&lt;0.0005,0,(BB334/BB333-1))</f>
        <v>0.0788378713774729</v>
      </c>
      <c r="BE334" s="163" t="n">
        <f aca="false">IF(ABS(BB334-BB322)&lt;0.05,0,BB334-BB322)</f>
        <v>-6.96402571428571</v>
      </c>
      <c r="BF334" s="155" t="n">
        <f aca="false">IF(ABS(BB334/BB322-1)&lt;0.0005,0,(BB334/BB322-1))</f>
        <v>-0.198323351792762</v>
      </c>
      <c r="BG334" s="191"/>
      <c r="BH334" s="163" t="n">
        <f aca="false">IF(ABS(I334-I333)&lt;0.05,0,I334-I333)</f>
        <v>3.242452</v>
      </c>
      <c r="BI334" s="164" t="n">
        <f aca="false">IF(ABS(I334/I333-1)&lt;0.0005,0,(I334/I333-1))</f>
        <v>0.0834909406417874</v>
      </c>
      <c r="BJ334" s="163" t="n">
        <f aca="false">IF(ABS(I334-I322)&lt;0.05,0,I334-I322)</f>
        <v>-7.40117899999999</v>
      </c>
      <c r="BK334" s="164" t="n">
        <f aca="false">IF(ABS(I334/I322-1)&lt;0.0005,0,(I334/I322-1))</f>
        <v>-0.149580397822497</v>
      </c>
      <c r="BL334" s="57" t="n">
        <f aca="false">(I334/1.05)-11.14</f>
        <v>28.9346914285714</v>
      </c>
      <c r="BM334" s="163" t="n">
        <f aca="false">IF(ABS(BL334-BL333)&lt;0.05,0,BL334-BL333)</f>
        <v>3.08804952380952</v>
      </c>
      <c r="BN334" s="164" t="n">
        <f aca="false">IF(ABS(BL334/BL333-1)&lt;0.0005,0,(BL334/BL333-1))</f>
        <v>0.1194758504872</v>
      </c>
      <c r="BO334" s="163" t="n">
        <f aca="false">IF(ABS(BL334-BL322)&lt;0.05,0,BL334-BL322)</f>
        <v>-7.0487419047619</v>
      </c>
      <c r="BP334" s="155" t="n">
        <f aca="false">IF(ABS(BL334/BL322-1)&lt;0.0005,0,(BL334/BL322-1))</f>
        <v>-0.195888531243412</v>
      </c>
      <c r="BQ334" s="191"/>
    </row>
    <row r="335" customFormat="false" ht="12.75" hidden="false" customHeight="true" outlineLevel="0" collapsed="false">
      <c r="A335" s="156" t="n">
        <v>42522</v>
      </c>
      <c r="B335" s="73" t="n">
        <v>2016</v>
      </c>
      <c r="C335" s="157" t="s">
        <v>64</v>
      </c>
      <c r="D335" s="189"/>
      <c r="E335" s="159" t="n">
        <v>119.713855771154</v>
      </c>
      <c r="F335" s="159" t="n">
        <v>110.963414012462</v>
      </c>
      <c r="G335" s="159" t="n">
        <v>111.856993</v>
      </c>
      <c r="H335" s="159" t="n">
        <v>32.005</v>
      </c>
      <c r="I335" s="159" t="n">
        <v>44.299308</v>
      </c>
      <c r="J335" s="159"/>
      <c r="K335" s="159" t="n">
        <v>66.1712058976872</v>
      </c>
      <c r="L335" s="159"/>
      <c r="M335" s="160" t="n">
        <f aca="false">G335-F335</f>
        <v>0.893578987538021</v>
      </c>
      <c r="N335" s="75"/>
      <c r="O335" s="190"/>
      <c r="P335" s="75"/>
      <c r="Q335" s="190"/>
      <c r="R335" s="191"/>
      <c r="S335" s="57" t="n">
        <f aca="false">IF(ABS(F335-F334)&lt;0.05,0,F335-F334)</f>
        <v>2.52930161843122</v>
      </c>
      <c r="T335" s="178" t="n">
        <f aca="false">IF((ABS(G335/G334-1))&lt;0.0005,0,(G335/G334-1))</f>
        <v>0.0255439274202702</v>
      </c>
      <c r="U335" s="163" t="n">
        <f aca="false">IF(ABS(F335-F323)&lt;0.05,0,F335-F323)</f>
        <v>-5.4328885273631</v>
      </c>
      <c r="V335" s="164" t="n">
        <f aca="false">IF(ABS(F335/F323-1)&lt;0.0005,0,(F335/F323-1))</f>
        <v>-0.0466757827251793</v>
      </c>
      <c r="W335" s="57" t="n">
        <f aca="false">(F335/1.2)-57.95</f>
        <v>34.5195116770517</v>
      </c>
      <c r="X335" s="163" t="n">
        <f aca="false">IF(ABS(W335-W334)&lt;0.05,0,W335-W334)</f>
        <v>2.10775134869269</v>
      </c>
      <c r="Y335" s="184" t="n">
        <f aca="false">IF(ABS(W335/W334-1)&lt;0.0005,0,(W335/W334-1))</f>
        <v>0.0650304496682488</v>
      </c>
      <c r="Z335" s="163" t="n">
        <f aca="false">IF(ABS(W335-W323)&lt;0.05,0,W335-W323)</f>
        <v>-4.52740710613593</v>
      </c>
      <c r="AA335" s="155" t="n">
        <f aca="false">IF(ABS(W335/W323-1)&lt;0.0005,0,(W335/W323-1))</f>
        <v>-0.115947871105397</v>
      </c>
      <c r="AB335" s="185"/>
      <c r="AC335" s="57" t="n">
        <f aca="false">IF(ABS(G335-G334)&lt;0.05,0,G335-G334)</f>
        <v>2.78609899999998</v>
      </c>
      <c r="AD335" s="164" t="n">
        <f aca="false">IF(ABS(G335/G334-1)&lt;0.0005,0,(G335/G334-1))</f>
        <v>0.0255439274202702</v>
      </c>
      <c r="AE335" s="163" t="n">
        <f aca="false">IF(ABS(G335-G323)&lt;0.05,0,G335-G323)</f>
        <v>-9.38545509918015</v>
      </c>
      <c r="AF335" s="164" t="n">
        <f aca="false">IF(ABS(G335/G323-1)&lt;0.0005,0,(G335/G323-1))</f>
        <v>-0.077410636673243</v>
      </c>
      <c r="AG335" s="57" t="n">
        <f aca="false">(G335/1.2)-57.95</f>
        <v>35.2641608333333</v>
      </c>
      <c r="AH335" s="163" t="n">
        <f aca="false">IF(ABS(AG335-AG334)&lt;0.05,0,AG335-AG334)</f>
        <v>2.32174916666665</v>
      </c>
      <c r="AI335" s="164" t="n">
        <f aca="false">IF(ABS(AG335/AG334-1)&lt;0.0005,0,(AG335/AG334-1))</f>
        <v>0.0704790283771466</v>
      </c>
      <c r="AJ335" s="163" t="n">
        <f aca="false">IF(ABS(AG335-AG323)&lt;0.05,0,AG335-AG323)</f>
        <v>-7.82121258265012</v>
      </c>
      <c r="AK335" s="155" t="n">
        <f aca="false">IF(ABS(AG335/AG323-1)&lt;0.0005,0,(AG335/AG323-1))</f>
        <v>-0.181528253385142</v>
      </c>
      <c r="AL335" s="185"/>
      <c r="AM335" s="156" t="n">
        <f aca="false">IF(E335="..","",A335)</f>
        <v>42522</v>
      </c>
      <c r="AN335" s="57" t="n">
        <f aca="false">IF(ABS(E335-E334)&lt;0.05,0,E335-E334)</f>
        <v>2.52469693938789</v>
      </c>
      <c r="AO335" s="164" t="n">
        <f aca="false">IF(ABS(E335/E334-1)&lt;0.0005,0,(E335/E334-1))</f>
        <v>0.0215437755894492</v>
      </c>
      <c r="AP335" s="163" t="n">
        <f aca="false">IF(ABS(E335-E323)&lt;0.05,0,E335-E323)</f>
        <v>-4.24207815171346</v>
      </c>
      <c r="AQ335" s="164" t="n">
        <f aca="false">IF(ABS(E335/E323-1)&lt;0.0005,0,(E335/E323-1))</f>
        <v>-0.0342224693684541</v>
      </c>
      <c r="AR335" s="57" t="n">
        <f aca="false">(E335/1.2)-57.95</f>
        <v>41.8115464759619</v>
      </c>
      <c r="AS335" s="163" t="n">
        <f aca="false">IF(ABS(AR335-AR334)&lt;0.05,0,AR335-AR334)</f>
        <v>2.10391411615657</v>
      </c>
      <c r="AT335" s="164" t="n">
        <f aca="false">IF(ABS(AR335/AR334-1)&lt;0.0005,0,(AR335/AR334-1))</f>
        <v>0.0529851313493648</v>
      </c>
      <c r="AU335" s="163" t="n">
        <f aca="false">IF(ABS(AR335-AR323)&lt;0.05,0,AR335-AR323)</f>
        <v>-3.53506512642788</v>
      </c>
      <c r="AV335" s="155" t="n">
        <f aca="false">IF(ABS(AR335/AR323-1)&lt;0.0005,0,(AR335/AR323-1))</f>
        <v>-0.0779565440836948</v>
      </c>
      <c r="AW335" s="185"/>
      <c r="AX335" s="163" t="n">
        <f aca="false">IF(ABS(H335-H334)&lt;0.05,0,H335-H334)</f>
        <v>2.447</v>
      </c>
      <c r="AY335" s="164" t="n">
        <f aca="false">IF(ABS(H335/H334-1)&lt;0.0005,0,(H335/H334-1))</f>
        <v>0.0827863860883686</v>
      </c>
      <c r="AZ335" s="163" t="n">
        <f aca="false">IF(ABS(H335-H323)&lt;0.05,0,H335-H323)</f>
        <v>-5.107939</v>
      </c>
      <c r="BA335" s="164" t="n">
        <f aca="false">IF(ABS(H335/H323-1)&lt;0.0005,0,(H335/H323-1))</f>
        <v>-0.13763229584162</v>
      </c>
      <c r="BB335" s="57" t="n">
        <f aca="false">(H335/1.05)</f>
        <v>30.4809523809524</v>
      </c>
      <c r="BC335" s="163" t="n">
        <f aca="false">IF(ABS(BB335-BB334)&lt;0.05,0,BB335-BB334)</f>
        <v>2.33047619047619</v>
      </c>
      <c r="BD335" s="164" t="n">
        <f aca="false">IF(ABS(BB335/BB334-1)&lt;0.0005,0,(BB335/BB334-1))</f>
        <v>0.0827863860883684</v>
      </c>
      <c r="BE335" s="163" t="n">
        <f aca="false">IF(ABS(BB335-BB323)&lt;0.05,0,BB335-BB323)</f>
        <v>-4.86470380952381</v>
      </c>
      <c r="BF335" s="155" t="n">
        <f aca="false">IF(ABS(BB335/BB323-1)&lt;0.0005,0,(BB335/BB323-1))</f>
        <v>-0.13763229584162</v>
      </c>
      <c r="BG335" s="191"/>
      <c r="BH335" s="163" t="n">
        <f aca="false">IF(ABS(I335-I334)&lt;0.05,0,I335-I334)</f>
        <v>2.220882</v>
      </c>
      <c r="BI335" s="164" t="n">
        <f aca="false">IF(ABS(I335/I334-1)&lt;0.0005,0,(I335/I334-1))</f>
        <v>0.0527795882859308</v>
      </c>
      <c r="BJ335" s="163" t="n">
        <f aca="false">IF(ABS(I335-I323)&lt;0.05,0,I335-I323)</f>
        <v>-5.39083400000001</v>
      </c>
      <c r="BK335" s="164" t="n">
        <f aca="false">IF(ABS(I335/I323-1)&lt;0.0005,0,(I335/I323-1))</f>
        <v>-0.108489003714258</v>
      </c>
      <c r="BL335" s="57" t="n">
        <f aca="false">(I335/1.05)-11.14</f>
        <v>31.0498171428571</v>
      </c>
      <c r="BM335" s="163" t="n">
        <f aca="false">IF(ABS(BL335-BL334)&lt;0.05,0,BL335-BL334)</f>
        <v>2.11512571428572</v>
      </c>
      <c r="BN335" s="164" t="n">
        <f aca="false">IF(ABS(BL335/BL334-1)&lt;0.0005,0,(BL335/BL334-1))</f>
        <v>0.0730999920806879</v>
      </c>
      <c r="BO335" s="163" t="n">
        <f aca="false">IF(ABS(BL335-BL323)&lt;0.05,0,BL335-BL323)</f>
        <v>-5.13412761904763</v>
      </c>
      <c r="BP335" s="155" t="n">
        <f aca="false">IF(ABS(BL335/BL323-1)&lt;0.0005,0,(BL335/BL323-1))</f>
        <v>-0.141889659981267</v>
      </c>
      <c r="BQ335" s="191"/>
    </row>
    <row r="336" customFormat="false" ht="12.75" hidden="false" customHeight="true" outlineLevel="0" collapsed="false">
      <c r="A336" s="156" t="n">
        <v>42552</v>
      </c>
      <c r="B336" s="73" t="n">
        <v>2016</v>
      </c>
      <c r="C336" s="157" t="s">
        <v>65</v>
      </c>
      <c r="D336" s="189"/>
      <c r="E336" s="159" t="n">
        <v>120.45675735147</v>
      </c>
      <c r="F336" s="159" t="n">
        <v>111.66290536363</v>
      </c>
      <c r="G336" s="159" t="n">
        <v>112.650845</v>
      </c>
      <c r="H336" s="159" t="n">
        <v>32.383</v>
      </c>
      <c r="I336" s="159" t="n">
        <v>44.492312</v>
      </c>
      <c r="J336" s="159"/>
      <c r="K336" s="159" t="n">
        <v>66.8397134884775</v>
      </c>
      <c r="L336" s="159"/>
      <c r="M336" s="160" t="n">
        <f aca="false">G336-F336</f>
        <v>0.987939636370427</v>
      </c>
      <c r="N336" s="75"/>
      <c r="O336" s="190"/>
      <c r="P336" s="75"/>
      <c r="Q336" s="190"/>
      <c r="R336" s="191"/>
      <c r="S336" s="57" t="n">
        <f aca="false">IF(ABS(F336-F335)&lt;0.05,0,F336-F335)</f>
        <v>0.699491351167609</v>
      </c>
      <c r="T336" s="178" t="n">
        <f aca="false">IF((ABS(G336/G335-1))&lt;0.0005,0,(G336/G335-1))</f>
        <v>0.00709702611083074</v>
      </c>
      <c r="U336" s="163" t="n">
        <f aca="false">IF(ABS(F336-F324)&lt;0.05,0,F336-F324)</f>
        <v>-4.7403933056103</v>
      </c>
      <c r="V336" s="164" t="n">
        <f aca="false">IF(ABS(F336/F324-1)&lt;0.0005,0,(F336/F324-1))</f>
        <v>-0.0407238743214668</v>
      </c>
      <c r="W336" s="57" t="n">
        <f aca="false">(F336/1.2)-57.95</f>
        <v>35.102421136358</v>
      </c>
      <c r="X336" s="163" t="n">
        <f aca="false">IF(ABS(W336-W335)&lt;0.05,0,W336-W335)</f>
        <v>0.582909459306336</v>
      </c>
      <c r="Y336" s="184" t="n">
        <f aca="false">IF(ABS(W336/W335-1)&lt;0.0005,0,(W336/W335-1))</f>
        <v>0.0168863761677676</v>
      </c>
      <c r="Z336" s="163" t="n">
        <f aca="false">IF(ABS(W336-W324)&lt;0.05,0,W336-W324)</f>
        <v>-3.95032775467526</v>
      </c>
      <c r="AA336" s="155" t="n">
        <f aca="false">IF(ABS(W336/W324-1)&lt;0.0005,0,(W336/W324-1))</f>
        <v>-0.101153641340271</v>
      </c>
      <c r="AB336" s="185"/>
      <c r="AC336" s="57" t="n">
        <f aca="false">IF(ABS(G336-G335)&lt;0.05,0,G336-G335)</f>
        <v>0.793852000000015</v>
      </c>
      <c r="AD336" s="164" t="n">
        <f aca="false">IF(ABS(G336/G335-1)&lt;0.0005,0,(G336/G335-1))</f>
        <v>0.00709702611083074</v>
      </c>
      <c r="AE336" s="163" t="n">
        <f aca="false">IF(ABS(G336-G324)&lt;0.05,0,G336-G324)</f>
        <v>-6.08131218132137</v>
      </c>
      <c r="AF336" s="164" t="n">
        <f aca="false">IF(ABS(G336/G324-1)&lt;0.0005,0,(G336/G324-1))</f>
        <v>-0.0512187458367687</v>
      </c>
      <c r="AG336" s="57" t="n">
        <f aca="false">(G336/1.2)-57.95</f>
        <v>35.9257041666667</v>
      </c>
      <c r="AH336" s="163" t="n">
        <f aca="false">IF(ABS(AG336-AG335)&lt;0.05,0,AG336-AG335)</f>
        <v>0.661543333333341</v>
      </c>
      <c r="AI336" s="164" t="n">
        <f aca="false">IF(ABS(AG336/AG335-1)&lt;0.0005,0,(AG336/AG335-1))</f>
        <v>0.0187596505262084</v>
      </c>
      <c r="AJ336" s="163" t="n">
        <f aca="false">IF(ABS(AG336-AG324)&lt;0.05,0,AG336-AG324)</f>
        <v>-5.06776015110114</v>
      </c>
      <c r="AK336" s="155" t="n">
        <f aca="false">IF(ABS(AG336/AG324-1)&lt;0.0005,0,(AG336/AG324-1))</f>
        <v>-0.123623612579252</v>
      </c>
      <c r="AL336" s="185"/>
      <c r="AM336" s="156" t="n">
        <f aca="false">IF(E336="..","",A336)</f>
        <v>42552</v>
      </c>
      <c r="AN336" s="57" t="n">
        <f aca="false">IF(ABS(E336-E335)&lt;0.05,0,E336-E335)</f>
        <v>0.742901580316044</v>
      </c>
      <c r="AO336" s="164" t="n">
        <f aca="false">IF(ABS(E336/E335-1)&lt;0.0005,0,(E336/E335-1))</f>
        <v>0.00620564407963076</v>
      </c>
      <c r="AP336" s="163" t="n">
        <f aca="false">IF(ABS(E336-E324)&lt;0.05,0,E336-E324)</f>
        <v>-3.85750736660103</v>
      </c>
      <c r="AQ336" s="164" t="n">
        <f aca="false">IF(ABS(E336/E324-1)&lt;0.0005,0,(E336/E324-1))</f>
        <v>-0.0310302874360344</v>
      </c>
      <c r="AR336" s="57" t="n">
        <f aca="false">(E336/1.2)-57.95</f>
        <v>42.4306311262253</v>
      </c>
      <c r="AS336" s="163" t="n">
        <f aca="false">IF(ABS(AR336-AR335)&lt;0.05,0,AR336-AR335)</f>
        <v>0.619084650263375</v>
      </c>
      <c r="AT336" s="164" t="n">
        <f aca="false">IF(ABS(AR336/AR335-1)&lt;0.0005,0,(AR336/AR335-1))</f>
        <v>0.0148065475315364</v>
      </c>
      <c r="AU336" s="163" t="n">
        <f aca="false">IF(ABS(AR336-AR324)&lt;0.05,0,AR336-AR324)</f>
        <v>-3.21458947216752</v>
      </c>
      <c r="AV336" s="155" t="n">
        <f aca="false">IF(ABS(AR336/AR324-1)&lt;0.0005,0,(AR336/AR324-1))</f>
        <v>-0.0704255435733552</v>
      </c>
      <c r="AW336" s="185"/>
      <c r="AX336" s="163" t="n">
        <f aca="false">IF(ABS(H336-H335)&lt;0.05,0,H336-H335)</f>
        <v>0.378</v>
      </c>
      <c r="AY336" s="164" t="n">
        <f aca="false">IF(ABS(H336/H335-1)&lt;0.0005,0,(H336/H335-1))</f>
        <v>0.011810654585221</v>
      </c>
      <c r="AZ336" s="163" t="n">
        <f aca="false">IF(ABS(H336-H324)&lt;0.05,0,H336-H324)</f>
        <v>-4.110231</v>
      </c>
      <c r="BA336" s="164" t="n">
        <f aca="false">IF(ABS(H336/H324-1)&lt;0.0005,0,(H336/H324-1))</f>
        <v>-0.112629955949913</v>
      </c>
      <c r="BB336" s="57" t="n">
        <f aca="false">(H336/1.05)</f>
        <v>30.8409523809524</v>
      </c>
      <c r="BC336" s="163" t="n">
        <f aca="false">IF(ABS(BB336-BB335)&lt;0.05,0,BB336-BB335)</f>
        <v>0.359999999999999</v>
      </c>
      <c r="BD336" s="164" t="n">
        <f aca="false">IF(ABS(BB336/BB335-1)&lt;0.0005,0,(BB336/BB335-1))</f>
        <v>0.011810654585221</v>
      </c>
      <c r="BE336" s="163" t="n">
        <f aca="false">IF(ABS(BB336-BB324)&lt;0.05,0,BB336-BB324)</f>
        <v>-3.91450571428572</v>
      </c>
      <c r="BF336" s="155" t="n">
        <f aca="false">IF(ABS(BB336/BB324-1)&lt;0.0005,0,(BB336/BB324-1))</f>
        <v>-0.112629955949913</v>
      </c>
      <c r="BG336" s="191"/>
      <c r="BH336" s="163" t="n">
        <f aca="false">IF(ABS(I336-I335)&lt;0.05,0,I336-I335)</f>
        <v>0.193003999999995</v>
      </c>
      <c r="BI336" s="164" t="n">
        <f aca="false">IF(ABS(I336/I335-1)&lt;0.0005,0,(I336/I335-1))</f>
        <v>0.00435681749249883</v>
      </c>
      <c r="BJ336" s="163" t="n">
        <f aca="false">IF(ABS(I336-I324)&lt;0.05,0,I336-I324)</f>
        <v>-3.76653899999999</v>
      </c>
      <c r="BK336" s="164" t="n">
        <f aca="false">IF(ABS(I336/I324-1)&lt;0.0005,0,(I336/I324-1))</f>
        <v>-0.0780486671760999</v>
      </c>
      <c r="BL336" s="57" t="n">
        <f aca="false">(I336/1.05)-11.14</f>
        <v>31.2336304761905</v>
      </c>
      <c r="BM336" s="163" t="n">
        <f aca="false">IF(ABS(BL336-BL335)&lt;0.05,0,BL336-BL335)</f>
        <v>0.183813333333326</v>
      </c>
      <c r="BN336" s="164" t="n">
        <f aca="false">IF(ABS(BL336/BL335-1)&lt;0.0005,0,(BL336/BL335-1))</f>
        <v>0.00591994898029902</v>
      </c>
      <c r="BO336" s="163" t="n">
        <f aca="false">IF(ABS(BL336-BL324)&lt;0.05,0,BL336-BL324)</f>
        <v>-3.58718</v>
      </c>
      <c r="BP336" s="155" t="n">
        <f aca="false">IF(ABS(BL336/BL324-1)&lt;0.0005,0,(BL336/BL324-1))</f>
        <v>-0.103018279900544</v>
      </c>
      <c r="BQ336" s="191"/>
    </row>
    <row r="337" customFormat="false" ht="12.75" hidden="false" customHeight="true" outlineLevel="0" collapsed="false">
      <c r="A337" s="156" t="n">
        <v>42583</v>
      </c>
      <c r="B337" s="73" t="n">
        <v>2016</v>
      </c>
      <c r="C337" s="157" t="s">
        <v>66</v>
      </c>
      <c r="D337" s="189"/>
      <c r="E337" s="159" t="n">
        <v>118.354664932987</v>
      </c>
      <c r="F337" s="159" t="n">
        <v>109.049604021851</v>
      </c>
      <c r="G337" s="159" t="n">
        <v>110.68451</v>
      </c>
      <c r="H337" s="159" t="n">
        <v>30.033</v>
      </c>
      <c r="I337" s="159" t="n">
        <v>43.743884</v>
      </c>
      <c r="J337" s="159"/>
      <c r="K337" s="159" t="n">
        <v>67.053490295416</v>
      </c>
      <c r="L337" s="159"/>
      <c r="M337" s="160" t="n">
        <f aca="false">G337-F337</f>
        <v>1.63490597814922</v>
      </c>
      <c r="N337" s="75"/>
      <c r="O337" s="190"/>
      <c r="P337" s="75"/>
      <c r="Q337" s="190"/>
      <c r="R337" s="191"/>
      <c r="S337" s="57" t="n">
        <f aca="false">IF(ABS(F337-F336)&lt;0.05,0,F337-F336)</f>
        <v>-2.61330134177881</v>
      </c>
      <c r="T337" s="178" t="n">
        <f aca="false">IF((ABS(G337/G336-1))&lt;0.0005,0,(G337/G336-1))</f>
        <v>-0.0174551287209609</v>
      </c>
      <c r="U337" s="163" t="n">
        <f aca="false">IF(ABS(F337-F325)&lt;0.05,0,F337-F325)</f>
        <v>-5.43277756756791</v>
      </c>
      <c r="V337" s="164" t="n">
        <f aca="false">IF(ABS(F337/F325-1)&lt;0.0005,0,(F337/F325-1))</f>
        <v>-0.047455141063121</v>
      </c>
      <c r="W337" s="57" t="n">
        <f aca="false">(F337/1.2)-57.95</f>
        <v>32.924670018209</v>
      </c>
      <c r="X337" s="163" t="n">
        <f aca="false">IF(ABS(W337-W336)&lt;0.05,0,W337-W336)</f>
        <v>-2.177751118149</v>
      </c>
      <c r="Y337" s="184" t="n">
        <f aca="false">IF(ABS(W337/W336-1)&lt;0.0005,0,(W337/W336-1))</f>
        <v>-0.0620399119960805</v>
      </c>
      <c r="Z337" s="163" t="n">
        <f aca="false">IF(ABS(W337-W325)&lt;0.05,0,W337-W325)</f>
        <v>-4.52731463963993</v>
      </c>
      <c r="AA337" s="155" t="n">
        <f aca="false">IF(ABS(W337/W325-1)&lt;0.0005,0,(W337/W325-1))</f>
        <v>-0.120883170304598</v>
      </c>
      <c r="AB337" s="185"/>
      <c r="AC337" s="57" t="n">
        <f aca="false">IF(ABS(G337-G336)&lt;0.05,0,G337-G336)</f>
        <v>-1.96633500000002</v>
      </c>
      <c r="AD337" s="164" t="n">
        <f aca="false">IF(ABS(G337/G336-1)&lt;0.0005,0,(G337/G336-1))</f>
        <v>-0.0174551287209609</v>
      </c>
      <c r="AE337" s="163" t="n">
        <f aca="false">IF(ABS(G337-G325)&lt;0.05,0,G337-G325)</f>
        <v>-1.01797786533506</v>
      </c>
      <c r="AF337" s="164" t="n">
        <f aca="false">IF(ABS(G337/G325-1)&lt;0.0005,0,(G337/G325-1))</f>
        <v>-0.00911329626393187</v>
      </c>
      <c r="AG337" s="57" t="n">
        <f aca="false">(G337/1.2)-57.95</f>
        <v>34.2870916666667</v>
      </c>
      <c r="AH337" s="163" t="n">
        <f aca="false">IF(ABS(AG337-AG336)&lt;0.05,0,AG337-AG336)</f>
        <v>-1.63861250000001</v>
      </c>
      <c r="AI337" s="164" t="n">
        <f aca="false">IF(ABS(AG337/AG336-1)&lt;0.0005,0,(AG337/AG336-1))</f>
        <v>-0.045611144945083</v>
      </c>
      <c r="AJ337" s="163" t="n">
        <f aca="false">IF(ABS(AG337-AG325)&lt;0.05,0,AG337-AG325)</f>
        <v>-0.84831488777921</v>
      </c>
      <c r="AK337" s="155" t="n">
        <f aca="false">IF(ABS(AG337/AG325-1)&lt;0.0005,0,(AG337/AG325-1))</f>
        <v>-0.0241441602921162</v>
      </c>
      <c r="AL337" s="185"/>
      <c r="AM337" s="156" t="n">
        <f aca="false">IF(E337="..","",A337)</f>
        <v>42583</v>
      </c>
      <c r="AN337" s="57" t="n">
        <f aca="false">IF(ABS(E337-E336)&lt;0.05,0,E337-E336)</f>
        <v>-2.10209241848372</v>
      </c>
      <c r="AO337" s="164" t="n">
        <f aca="false">IF(ABS(E337/E336-1)&lt;0.0005,0,(E337/E336-1))</f>
        <v>-0.0174510128340099</v>
      </c>
      <c r="AP337" s="163" t="n">
        <f aca="false">IF(ABS(E337-E325)&lt;0.05,0,E337-E325)</f>
        <v>-3.97319783460614</v>
      </c>
      <c r="AQ337" s="164" t="n">
        <f aca="false">IF(ABS(E337/E325-1)&lt;0.0005,0,(E337/E325-1))</f>
        <v>-0.0324799088671622</v>
      </c>
      <c r="AR337" s="57" t="n">
        <f aca="false">(E337/1.2)-57.95</f>
        <v>40.6788874441555</v>
      </c>
      <c r="AS337" s="163" t="n">
        <f aca="false">IF(ABS(AR337-AR336)&lt;0.05,0,AR337-AR336)</f>
        <v>-1.75174368206977</v>
      </c>
      <c r="AT337" s="164" t="n">
        <f aca="false">IF(ABS(AR337/AR336-1)&lt;0.0005,0,(AR337/AR336-1))</f>
        <v>-0.0412848839523169</v>
      </c>
      <c r="AU337" s="163" t="n">
        <f aca="false">IF(ABS(AR337-AR325)&lt;0.05,0,AR337-AR325)</f>
        <v>-3.31099819550512</v>
      </c>
      <c r="AV337" s="155" t="n">
        <f aca="false">IF(ABS(AR337/AR325-1)&lt;0.0005,0,(AR337/AR325-1))</f>
        <v>-0.0752672608114257</v>
      </c>
      <c r="AW337" s="185"/>
      <c r="AX337" s="163" t="n">
        <f aca="false">IF(ABS(H337-H336)&lt;0.05,0,H337-H336)</f>
        <v>-2.35</v>
      </c>
      <c r="AY337" s="164" t="n">
        <f aca="false">IF(ABS(H337/H336-1)&lt;0.0005,0,(H337/H336-1))</f>
        <v>-0.0725689404934689</v>
      </c>
      <c r="AZ337" s="163" t="n">
        <f aca="false">IF(ABS(H337-H325)&lt;0.05,0,H337-H325)</f>
        <v>-0.342295999999998</v>
      </c>
      <c r="BA337" s="164" t="n">
        <f aca="false">IF(ABS(H337/H325-1)&lt;0.0005,0,(H337/H325-1))</f>
        <v>-0.0112688943014744</v>
      </c>
      <c r="BB337" s="57" t="n">
        <f aca="false">(H337/1.05)</f>
        <v>28.6028571428571</v>
      </c>
      <c r="BC337" s="163" t="n">
        <f aca="false">IF(ABS(BB337-BB336)&lt;0.05,0,BB337-BB336)</f>
        <v>-2.23809523809524</v>
      </c>
      <c r="BD337" s="164" t="n">
        <f aca="false">IF(ABS(BB337/BB336-1)&lt;0.0005,0,(BB337/BB336-1))</f>
        <v>-0.0725689404934687</v>
      </c>
      <c r="BE337" s="163" t="n">
        <f aca="false">IF(ABS(BB337-BB325)&lt;0.05,0,BB337-BB325)</f>
        <v>-0.325996190476189</v>
      </c>
      <c r="BF337" s="155" t="n">
        <f aca="false">IF(ABS(BB337/BB325-1)&lt;0.0005,0,(BB337/BB325-1))</f>
        <v>-0.0112688943014744</v>
      </c>
      <c r="BG337" s="191"/>
      <c r="BH337" s="163" t="n">
        <f aca="false">IF(ABS(I337-I336)&lt;0.05,0,I337-I336)</f>
        <v>-0.748427999999997</v>
      </c>
      <c r="BI337" s="164" t="n">
        <f aca="false">IF(ABS(I337/I336-1)&lt;0.0005,0,(I337/I336-1))</f>
        <v>-0.0168215128941827</v>
      </c>
      <c r="BJ337" s="163" t="n">
        <f aca="false">IF(ABS(I337-I325)&lt;0.05,0,I337-I325)</f>
        <v>0.484410000000004</v>
      </c>
      <c r="BK337" s="164" t="n">
        <f aca="false">IF(ABS(I337/I325-1)&lt;0.0005,0,(I337/I325-1))</f>
        <v>0.0111977783178778</v>
      </c>
      <c r="BL337" s="57" t="n">
        <f aca="false">(I337/1.05)-11.14</f>
        <v>30.5208419047619</v>
      </c>
      <c r="BM337" s="163" t="n">
        <f aca="false">IF(ABS(BL337-BL336)&lt;0.05,0,BL337-BL336)</f>
        <v>-0.712788571428568</v>
      </c>
      <c r="BN337" s="164" t="n">
        <f aca="false">IF(ABS(BL337/BL336-1)&lt;0.0005,0,(BL337/BL336-1))</f>
        <v>-0.0228211885893934</v>
      </c>
      <c r="BO337" s="163" t="n">
        <f aca="false">IF(ABS(BL337-BL325)&lt;0.05,0,BL337-BL325)</f>
        <v>0.46134285714286</v>
      </c>
      <c r="BP337" s="155" t="n">
        <f aca="false">IF(ABS(BL337/BL325-1)&lt;0.0005,0,(BL337/BL325-1))</f>
        <v>0.0153476562071784</v>
      </c>
      <c r="BQ337" s="191"/>
    </row>
    <row r="338" customFormat="false" ht="12.75" hidden="false" customHeight="true" outlineLevel="0" collapsed="false">
      <c r="A338" s="156" t="n">
        <v>42614</v>
      </c>
      <c r="B338" s="73" t="n">
        <v>2016</v>
      </c>
      <c r="C338" s="157" t="s">
        <v>67</v>
      </c>
      <c r="D338" s="189"/>
      <c r="E338" s="159" t="n">
        <v>120.128627725545</v>
      </c>
      <c r="F338" s="159" t="n">
        <v>111.21109967971</v>
      </c>
      <c r="G338" s="159" t="n">
        <v>113.23174</v>
      </c>
      <c r="H338" s="159" t="n">
        <v>31.939</v>
      </c>
      <c r="I338" s="159" t="n">
        <v>44.483657</v>
      </c>
      <c r="J338" s="159"/>
      <c r="K338" s="159" t="n">
        <v>69.3318078017513</v>
      </c>
      <c r="L338" s="159"/>
      <c r="M338" s="160" t="n">
        <f aca="false">G338-F338</f>
        <v>2.02064032028957</v>
      </c>
      <c r="N338" s="75"/>
      <c r="O338" s="190"/>
      <c r="P338" s="75"/>
      <c r="Q338" s="190"/>
      <c r="R338" s="191"/>
      <c r="S338" s="57" t="n">
        <f aca="false">IF(ABS(F338-F337)&lt;0.05,0,F338-F337)</f>
        <v>2.16149565785965</v>
      </c>
      <c r="T338" s="178" t="n">
        <f aca="false">IF((ABS(G338/G337-1))&lt;0.0005,0,(G338/G337-1))</f>
        <v>0.0230134279855421</v>
      </c>
      <c r="U338" s="163" t="n">
        <f aca="false">IF(ABS(F338-F326)&lt;0.05,0,F338-F326)</f>
        <v>-0.282065766799249</v>
      </c>
      <c r="V338" s="164" t="n">
        <f aca="false">IF(ABS(F338/F326-1)&lt;0.0005,0,(F338/F326-1))</f>
        <v>-0.00252989289226502</v>
      </c>
      <c r="W338" s="57" t="n">
        <f aca="false">(F338/1.2)-57.95</f>
        <v>34.7259163997587</v>
      </c>
      <c r="X338" s="163" t="n">
        <f aca="false">IF(ABS(W338-W337)&lt;0.05,0,W338-W337)</f>
        <v>1.8012463815497</v>
      </c>
      <c r="Y338" s="184" t="n">
        <f aca="false">IF(ABS(W338/W337-1)&lt;0.0005,0,(W338/W337-1))</f>
        <v>0.0547081073418054</v>
      </c>
      <c r="Z338" s="163" t="n">
        <f aca="false">IF(ABS(W338-W326)&lt;0.05,0,W338-W326)</f>
        <v>-0.235054805666039</v>
      </c>
      <c r="AA338" s="155" t="n">
        <f aca="false">IF(ABS(W338/W326-1)&lt;0.0005,0,(W338/W326-1))</f>
        <v>-0.00672334885335124</v>
      </c>
      <c r="AB338" s="185"/>
      <c r="AC338" s="57" t="n">
        <f aca="false">IF(ABS(G338-G337)&lt;0.05,0,G338-G337)</f>
        <v>2.54723</v>
      </c>
      <c r="AD338" s="164" t="n">
        <f aca="false">IF(ABS(G338/G337-1)&lt;0.0005,0,(G338/G337-1))</f>
        <v>0.0230134279855421</v>
      </c>
      <c r="AE338" s="163" t="n">
        <f aca="false">IF(ABS(G338-G326)&lt;0.05,0,G338-G326)</f>
        <v>3.42033499999998</v>
      </c>
      <c r="AF338" s="164" t="n">
        <f aca="false">IF(ABS(G338/G326-1)&lt;0.0005,0,(G338/G326-1))</f>
        <v>0.0311473566884968</v>
      </c>
      <c r="AG338" s="57" t="n">
        <f aca="false">(G338/1.2)-57.95</f>
        <v>36.4097833333333</v>
      </c>
      <c r="AH338" s="163" t="n">
        <f aca="false">IF(ABS(AG338-AG337)&lt;0.05,0,AG338-AG337)</f>
        <v>2.12269166666667</v>
      </c>
      <c r="AI338" s="164" t="n">
        <f aca="false">IF(ABS(AG338/AG337-1)&lt;0.0005,0,(AG338/AG337-1))</f>
        <v>0.0619093531555</v>
      </c>
      <c r="AJ338" s="163" t="n">
        <f aca="false">IF(ABS(AG338-AG326)&lt;0.05,0,AG338-AG326)</f>
        <v>2.85027916666665</v>
      </c>
      <c r="AK338" s="155" t="n">
        <f aca="false">IF(ABS(AG338/AG326-1)&lt;0.0005,0,(AG338/AG326-1))</f>
        <v>0.0849321000844143</v>
      </c>
      <c r="AL338" s="185"/>
      <c r="AM338" s="156" t="n">
        <f aca="false">IF(E338="..","",A338)</f>
        <v>42614</v>
      </c>
      <c r="AN338" s="57" t="n">
        <f aca="false">IF(ABS(E338-E337)&lt;0.05,0,E338-E337)</f>
        <v>1.77396279255852</v>
      </c>
      <c r="AO338" s="164" t="n">
        <f aca="false">IF(ABS(E338/E337-1)&lt;0.0005,0,(E338/E337-1))</f>
        <v>0.0149885329282369</v>
      </c>
      <c r="AP338" s="163" t="n">
        <f aca="false">IF(ABS(E338-E326)&lt;0.05,0,E338-E326)</f>
        <v>1.49797859571913</v>
      </c>
      <c r="AQ338" s="164" t="n">
        <f aca="false">IF(ABS(E338/E326-1)&lt;0.0005,0,(E338/E326-1))</f>
        <v>0.0126272477366265</v>
      </c>
      <c r="AR338" s="57" t="n">
        <f aca="false">(E338/1.2)-57.95</f>
        <v>42.1571897712876</v>
      </c>
      <c r="AS338" s="163" t="n">
        <f aca="false">IF(ABS(AR338-AR337)&lt;0.05,0,AR338-AR337)</f>
        <v>1.47830232713211</v>
      </c>
      <c r="AT338" s="164" t="n">
        <f aca="false">IF(ABS(AR338/AR337-1)&lt;0.0005,0,(AR338/AR337-1))</f>
        <v>0.0363407757687952</v>
      </c>
      <c r="AU338" s="163" t="n">
        <f aca="false">IF(ABS(AR338-AR326)&lt;0.05,0,AR338-AR326)</f>
        <v>1.24831549643261</v>
      </c>
      <c r="AV338" s="155" t="n">
        <f aca="false">IF(ABS(AR338/AR326-1)&lt;0.0005,0,(AR338/AR326-1))</f>
        <v>0.0305145403915428</v>
      </c>
      <c r="AW338" s="185"/>
      <c r="AX338" s="163" t="n">
        <f aca="false">IF(ABS(H338-H337)&lt;0.05,0,H338-H337)</f>
        <v>1.906</v>
      </c>
      <c r="AY338" s="164" t="n">
        <f aca="false">IF(ABS(H338/H337-1)&lt;0.0005,0,(H338/H337-1))</f>
        <v>0.0634635234575298</v>
      </c>
      <c r="AZ338" s="163" t="n">
        <f aca="false">IF(ABS(H338-H326)&lt;0.05,0,H338-H326)</f>
        <v>0.838000000000001</v>
      </c>
      <c r="BA338" s="164" t="n">
        <f aca="false">IF(ABS(H338/H326-1)&lt;0.0005,0,(H338/H326-1))</f>
        <v>0.0269444712388669</v>
      </c>
      <c r="BB338" s="57" t="n">
        <f aca="false">(H338/1.05)</f>
        <v>30.4180952380952</v>
      </c>
      <c r="BC338" s="163" t="n">
        <f aca="false">IF(ABS(BB338-BB337)&lt;0.05,0,BB338-BB337)</f>
        <v>1.81523809523809</v>
      </c>
      <c r="BD338" s="164" t="n">
        <f aca="false">IF(ABS(BB338/BB337-1)&lt;0.0005,0,(BB338/BB337-1))</f>
        <v>0.0634635234575298</v>
      </c>
      <c r="BE338" s="163" t="n">
        <f aca="false">IF(ABS(BB338-BB326)&lt;0.05,0,BB338-BB326)</f>
        <v>0.79809523809524</v>
      </c>
      <c r="BF338" s="155" t="n">
        <f aca="false">IF(ABS(BB338/BB326-1)&lt;0.0005,0,(BB338/BB326-1))</f>
        <v>0.0269444712388669</v>
      </c>
      <c r="BG338" s="191"/>
      <c r="BH338" s="163" t="n">
        <f aca="false">IF(ABS(I338-I337)&lt;0.05,0,I338-I337)</f>
        <v>0.739773</v>
      </c>
      <c r="BI338" s="164" t="n">
        <f aca="false">IF(ABS(I338/I337-1)&lt;0.0005,0,(I338/I337-1))</f>
        <v>0.0169114612685055</v>
      </c>
      <c r="BJ338" s="163" t="n">
        <f aca="false">IF(ABS(I338-I326)&lt;0.05,0,I338-I326)</f>
        <v>1.10260099999999</v>
      </c>
      <c r="BK338" s="164" t="n">
        <f aca="false">IF(ABS(I338/I326-1)&lt;0.0005,0,(I338/I326-1))</f>
        <v>0.0254166473033757</v>
      </c>
      <c r="BL338" s="57" t="n">
        <f aca="false">(I338/1.05)-11.14</f>
        <v>31.2253876190476</v>
      </c>
      <c r="BM338" s="163" t="n">
        <f aca="false">IF(ABS(BL338-BL337)&lt;0.05,0,BL338-BL337)</f>
        <v>0.704545714285715</v>
      </c>
      <c r="BN338" s="164" t="n">
        <f aca="false">IF(ABS(BL338/BL337-1)&lt;0.0005,0,(BL338/BL337-1))</f>
        <v>0.0230840851797012</v>
      </c>
      <c r="BO338" s="163" t="n">
        <f aca="false">IF(ABS(BL338-BL326)&lt;0.05,0,BL338-BL326)</f>
        <v>1.05009619047618</v>
      </c>
      <c r="BP338" s="155" t="n">
        <f aca="false">IF(ABS(BL338/BL326-1)&lt;0.0005,0,(BL338/BL326-1))</f>
        <v>0.0347998690571685</v>
      </c>
      <c r="BQ338" s="191"/>
    </row>
    <row r="339" customFormat="false" ht="12.75" hidden="false" customHeight="true" outlineLevel="0" collapsed="false">
      <c r="A339" s="156" t="n">
        <v>42644</v>
      </c>
      <c r="B339" s="73" t="n">
        <v>2016</v>
      </c>
      <c r="C339" s="157" t="s">
        <v>68</v>
      </c>
      <c r="D339" s="189"/>
      <c r="E339" s="159" t="n">
        <v>123.229392878576</v>
      </c>
      <c r="F339" s="159" t="n">
        <v>113.555123942325</v>
      </c>
      <c r="G339" s="159" t="n">
        <v>115.642068</v>
      </c>
      <c r="H339" s="159" t="n">
        <v>37.445</v>
      </c>
      <c r="I339" s="159" t="n">
        <v>50.250573</v>
      </c>
      <c r="J339" s="159"/>
      <c r="K339" s="159" t="n">
        <v>76.8610282628268</v>
      </c>
      <c r="L339" s="159"/>
      <c r="M339" s="160" t="n">
        <f aca="false">G339-F339</f>
        <v>2.08694405767547</v>
      </c>
      <c r="N339" s="75"/>
      <c r="O339" s="190"/>
      <c r="P339" s="75"/>
      <c r="Q339" s="190"/>
      <c r="R339" s="191"/>
      <c r="S339" s="57" t="n">
        <f aca="false">IF(ABS(F339-F338)&lt;0.05,0,F339-F338)</f>
        <v>2.34402426261411</v>
      </c>
      <c r="T339" s="178" t="n">
        <f aca="false">IF((ABS(G339/G338-1))&lt;0.0005,0,(G339/G338-1))</f>
        <v>0.0212866816318464</v>
      </c>
      <c r="U339" s="163" t="n">
        <f aca="false">IF(ABS(F339-F327)&lt;0.05,0,F339-F327)</f>
        <v>4.65896555299234</v>
      </c>
      <c r="V339" s="164" t="n">
        <f aca="false">IF(ABS(F339/F327-1)&lt;0.0005,0,(F339/F327-1))</f>
        <v>0.0427835620824688</v>
      </c>
      <c r="W339" s="57" t="n">
        <f aca="false">(F339/1.2)-57.95</f>
        <v>36.6792699519371</v>
      </c>
      <c r="X339" s="163" t="n">
        <f aca="false">IF(ABS(W339-W338)&lt;0.05,0,W339-W338)</f>
        <v>1.95335355217843</v>
      </c>
      <c r="Y339" s="184" t="n">
        <f aca="false">IF(ABS(W339/W338-1)&lt;0.0005,0,(W339/W338-1))</f>
        <v>0.0562505976715419</v>
      </c>
      <c r="Z339" s="163" t="n">
        <f aca="false">IF(ABS(W339-W327)&lt;0.05,0,W339-W327)</f>
        <v>3.88247129416028</v>
      </c>
      <c r="AA339" s="155" t="n">
        <f aca="false">IF(ABS(W339/W327-1)&lt;0.0005,0,(W339/W327-1))</f>
        <v>0.118379581332694</v>
      </c>
      <c r="AB339" s="185"/>
      <c r="AC339" s="57" t="n">
        <f aca="false">IF(ABS(G339-G338)&lt;0.05,0,G339-G338)</f>
        <v>2.41032800000001</v>
      </c>
      <c r="AD339" s="164" t="n">
        <f aca="false">IF(ABS(G339/G338-1)&lt;0.0005,0,(G339/G338-1))</f>
        <v>0.0212866816318464</v>
      </c>
      <c r="AE339" s="163" t="n">
        <f aca="false">IF(ABS(G339-G327)&lt;0.05,0,G339-G327)</f>
        <v>4.95936899999998</v>
      </c>
      <c r="AF339" s="164" t="n">
        <f aca="false">IF(ABS(G339/G327-1)&lt;0.0005,0,(G339/G327-1))</f>
        <v>0.0448070840773407</v>
      </c>
      <c r="AG339" s="57" t="n">
        <f aca="false">(G339/1.2)-57.95</f>
        <v>38.41839</v>
      </c>
      <c r="AH339" s="163" t="n">
        <f aca="false">IF(ABS(AG339-AG338)&lt;0.05,0,AG339-AG338)</f>
        <v>2.00860666666667</v>
      </c>
      <c r="AI339" s="164" t="n">
        <f aca="false">IF(ABS(AG339/AG338-1)&lt;0.0005,0,(AG339/AG338-1))</f>
        <v>0.0551666745247499</v>
      </c>
      <c r="AJ339" s="163" t="n">
        <f aca="false">IF(ABS(AG339-AG327)&lt;0.05,0,AG339-AG327)</f>
        <v>4.13280749999998</v>
      </c>
      <c r="AK339" s="155" t="n">
        <f aca="false">IF(ABS(AG339/AG327-1)&lt;0.0005,0,(AG339/AG327-1))</f>
        <v>0.120540682078246</v>
      </c>
      <c r="AL339" s="185"/>
      <c r="AM339" s="156" t="n">
        <f aca="false">IF(E339="..","",A339)</f>
        <v>42644</v>
      </c>
      <c r="AN339" s="57" t="n">
        <f aca="false">IF(ABS(E339-E338)&lt;0.05,0,E339-E338)</f>
        <v>3.10076515303062</v>
      </c>
      <c r="AO339" s="164" t="n">
        <f aca="false">IF(ABS(E339/E338-1)&lt;0.0005,0,(E339/E338-1))</f>
        <v>0.0258120417400827</v>
      </c>
      <c r="AP339" s="163" t="n">
        <f aca="false">IF(ABS(E339-E327)&lt;0.05,0,E339-E327)</f>
        <v>6.00790658131629</v>
      </c>
      <c r="AQ339" s="164" t="n">
        <f aca="false">IF(ABS(E339/E327-1)&lt;0.0005,0,(E339/E327-1))</f>
        <v>0.0512526053976228</v>
      </c>
      <c r="AR339" s="57" t="n">
        <f aca="false">(E339/1.2)-57.95</f>
        <v>44.7411607321464</v>
      </c>
      <c r="AS339" s="163" t="n">
        <f aca="false">IF(ABS(AR339-AR338)&lt;0.05,0,AR339-AR338)</f>
        <v>2.58397096085885</v>
      </c>
      <c r="AT339" s="164" t="n">
        <f aca="false">IF(ABS(AR339/AR338-1)&lt;0.0005,0,(AR339/AR338-1))</f>
        <v>0.0612937194077092</v>
      </c>
      <c r="AU339" s="163" t="n">
        <f aca="false">IF(ABS(AR339-AR327)&lt;0.05,0,AR339-AR327)</f>
        <v>5.00658881776359</v>
      </c>
      <c r="AV339" s="155" t="n">
        <f aca="false">IF(ABS(AR339/AR327-1)&lt;0.0005,0,(AR339/AR327-1))</f>
        <v>0.126000824384151</v>
      </c>
      <c r="AW339" s="185"/>
      <c r="AX339" s="163" t="n">
        <f aca="false">IF(ABS(H339-H338)&lt;0.05,0,H339-H338)</f>
        <v>5.506</v>
      </c>
      <c r="AY339" s="164" t="n">
        <f aca="false">IF(ABS(H339/H338-1)&lt;0.0005,0,(H339/H338-1))</f>
        <v>0.172391120573594</v>
      </c>
      <c r="AZ339" s="163" t="n">
        <f aca="false">IF(ABS(H339-H327)&lt;0.05,0,H339-H327)</f>
        <v>6.165</v>
      </c>
      <c r="BA339" s="164" t="n">
        <f aca="false">IF(ABS(H339/H327-1)&lt;0.0005,0,(H339/H327-1))</f>
        <v>0.197090792838875</v>
      </c>
      <c r="BB339" s="57" t="n">
        <f aca="false">(H339/1.05)</f>
        <v>35.6619047619048</v>
      </c>
      <c r="BC339" s="163" t="n">
        <f aca="false">IF(ABS(BB339-BB338)&lt;0.05,0,BB339-BB338)</f>
        <v>5.24380952380952</v>
      </c>
      <c r="BD339" s="164" t="n">
        <f aca="false">IF(ABS(BB339/BB338-1)&lt;0.0005,0,(BB339/BB338-1))</f>
        <v>0.172391120573594</v>
      </c>
      <c r="BE339" s="163" t="n">
        <f aca="false">IF(ABS(BB339-BB327)&lt;0.05,0,BB339-BB327)</f>
        <v>5.87142857142857</v>
      </c>
      <c r="BF339" s="155" t="n">
        <f aca="false">IF(ABS(BB339/BB327-1)&lt;0.0005,0,(BB339/BB327-1))</f>
        <v>0.197090792838875</v>
      </c>
      <c r="BG339" s="191"/>
      <c r="BH339" s="163" t="n">
        <f aca="false">IF(ABS(I339-I338)&lt;0.05,0,I339-I338)</f>
        <v>5.766916</v>
      </c>
      <c r="BI339" s="164" t="n">
        <f aca="false">IF(ABS(I339/I338-1)&lt;0.0005,0,(I339/I338-1))</f>
        <v>0.129641229811659</v>
      </c>
      <c r="BJ339" s="163" t="n">
        <f aca="false">IF(ABS(I339-I327)&lt;0.05,0,I339-I327)</f>
        <v>6.22272</v>
      </c>
      <c r="BK339" s="164" t="n">
        <f aca="false">IF(ABS(I339/I327-1)&lt;0.0005,0,(I339/I327-1))</f>
        <v>0.141335985654354</v>
      </c>
      <c r="BL339" s="57" t="n">
        <f aca="false">(I339/1.05)-11.14</f>
        <v>36.7176885714286</v>
      </c>
      <c r="BM339" s="163" t="n">
        <f aca="false">IF(ABS(BL339-BL338)&lt;0.05,0,BL339-BL338)</f>
        <v>5.49230095238096</v>
      </c>
      <c r="BN339" s="164" t="n">
        <f aca="false">IF(ABS(BL339/BL338-1)&lt;0.0005,0,(BL339/BL338-1))</f>
        <v>0.175892162473289</v>
      </c>
      <c r="BO339" s="163" t="n">
        <f aca="false">IF(ABS(BL339-BL327)&lt;0.05,0,BL339-BL327)</f>
        <v>5.9264</v>
      </c>
      <c r="BP339" s="155" t="n">
        <f aca="false">IF(ABS(BL339/BL327-1)&lt;0.0005,0,(BL339/BL327-1))</f>
        <v>0.192470022365324</v>
      </c>
      <c r="BQ339" s="191"/>
    </row>
    <row r="340" customFormat="false" ht="12.75" hidden="false" customHeight="true" outlineLevel="0" collapsed="false">
      <c r="A340" s="156" t="n">
        <v>42675</v>
      </c>
      <c r="B340" s="73" t="n">
        <v>2016</v>
      </c>
      <c r="C340" s="157" t="s">
        <v>69</v>
      </c>
      <c r="D340" s="189"/>
      <c r="E340" s="159" t="n">
        <v>125.739351870374</v>
      </c>
      <c r="F340" s="159" t="n">
        <v>115.88441626192</v>
      </c>
      <c r="G340" s="159" t="n">
        <v>118.360279</v>
      </c>
      <c r="H340" s="159" t="n">
        <v>35.246</v>
      </c>
      <c r="I340" s="159" t="n">
        <v>46.102402</v>
      </c>
      <c r="J340" s="159"/>
      <c r="K340" s="159" t="n">
        <v>70.9459161294298</v>
      </c>
      <c r="L340" s="159"/>
      <c r="M340" s="160" t="n">
        <f aca="false">G340-F340</f>
        <v>2.47586273808003</v>
      </c>
      <c r="N340" s="75"/>
      <c r="O340" s="190"/>
      <c r="P340" s="75"/>
      <c r="Q340" s="190"/>
      <c r="R340" s="191"/>
      <c r="S340" s="57" t="n">
        <f aca="false">IF(ABS(F340-F339)&lt;0.05,0,F340-F339)</f>
        <v>2.32929231959545</v>
      </c>
      <c r="T340" s="178" t="n">
        <f aca="false">IF((ABS(G340/G339-1))&lt;0.0005,0,(G340/G339-1))</f>
        <v>0.0235053821417308</v>
      </c>
      <c r="U340" s="163" t="n">
        <f aca="false">IF(ABS(F340-F328)&lt;0.05,0,F340-F328)</f>
        <v>8.64542791954571</v>
      </c>
      <c r="V340" s="164" t="n">
        <f aca="false">IF(ABS(F340/F328-1)&lt;0.0005,0,(F340/F328-1))</f>
        <v>0.0806183278412145</v>
      </c>
      <c r="W340" s="57" t="n">
        <f aca="false">(F340/1.2)-57.95</f>
        <v>38.6203468849333</v>
      </c>
      <c r="X340" s="163" t="n">
        <f aca="false">IF(ABS(W340-W339)&lt;0.05,0,W340-W339)</f>
        <v>1.94107693299621</v>
      </c>
      <c r="Y340" s="184" t="n">
        <f aca="false">IF(ABS(W340/W339-1)&lt;0.0005,0,(W340/W339-1))</f>
        <v>0.0529202717376793</v>
      </c>
      <c r="Z340" s="163" t="n">
        <f aca="false">IF(ABS(W340-W328)&lt;0.05,0,W340-W328)</f>
        <v>7.20452326628809</v>
      </c>
      <c r="AA340" s="155" t="n">
        <f aca="false">IF(ABS(W340/W328-1)&lt;0.0005,0,(W340/W328-1))</f>
        <v>0.229327849358443</v>
      </c>
      <c r="AB340" s="185"/>
      <c r="AC340" s="57" t="n">
        <f aca="false">IF(ABS(G340-G339)&lt;0.05,0,G340-G339)</f>
        <v>2.71821100000001</v>
      </c>
      <c r="AD340" s="164" t="n">
        <f aca="false">IF(ABS(G340/G339-1)&lt;0.0005,0,(G340/G339-1))</f>
        <v>0.0235053821417308</v>
      </c>
      <c r="AE340" s="163" t="n">
        <f aca="false">IF(ABS(G340-G328)&lt;0.05,0,G340-G328)</f>
        <v>8.23755900000002</v>
      </c>
      <c r="AF340" s="164" t="n">
        <f aca="false">IF(ABS(G340/G328-1)&lt;0.0005,0,(G340/G328-1))</f>
        <v>0.0748034465548981</v>
      </c>
      <c r="AG340" s="57" t="n">
        <f aca="false">(G340/1.2)-57.95</f>
        <v>40.6835658333334</v>
      </c>
      <c r="AH340" s="163" t="n">
        <f aca="false">IF(ABS(AG340-AG339)&lt;0.05,0,AG340-AG339)</f>
        <v>2.26517583333334</v>
      </c>
      <c r="AI340" s="164" t="n">
        <f aca="false">IF(ABS(AG340/AG339-1)&lt;0.0005,0,(AG340/AG339-1))</f>
        <v>0.0589607173370186</v>
      </c>
      <c r="AJ340" s="163" t="n">
        <f aca="false">IF(ABS(AG340-AG328)&lt;0.05,0,AG340-AG328)</f>
        <v>6.86463250000001</v>
      </c>
      <c r="AK340" s="155" t="n">
        <f aca="false">IF(ABS(AG340/AG328-1)&lt;0.0005,0,(AG340/AG328-1))</f>
        <v>0.202981934182825</v>
      </c>
      <c r="AL340" s="185"/>
      <c r="AM340" s="156" t="n">
        <f aca="false">IF(E340="..","",A340)</f>
        <v>42675</v>
      </c>
      <c r="AN340" s="57" t="n">
        <f aca="false">IF(ABS(E340-E339)&lt;0.05,0,E340-E339)</f>
        <v>2.50995899179831</v>
      </c>
      <c r="AO340" s="164" t="n">
        <f aca="false">IF(ABS(E340/E339-1)&lt;0.0005,0,(E340/E339-1))</f>
        <v>0.0203681843525068</v>
      </c>
      <c r="AP340" s="163" t="n">
        <f aca="false">IF(ABS(E340-E328)&lt;0.05,0,E340-E328)</f>
        <v>10.0983956791358</v>
      </c>
      <c r="AQ340" s="164" t="n">
        <f aca="false">IF(ABS(E340/E328-1)&lt;0.0005,0,(E340/E328-1))</f>
        <v>0.0873254252795681</v>
      </c>
      <c r="AR340" s="57" t="n">
        <f aca="false">(E340/1.2)-57.95</f>
        <v>46.8327932253117</v>
      </c>
      <c r="AS340" s="163" t="n">
        <f aca="false">IF(ABS(AR340-AR339)&lt;0.05,0,AR340-AR339)</f>
        <v>2.09163249316526</v>
      </c>
      <c r="AT340" s="164" t="n">
        <f aca="false">IF(ABS(AR340/AR339-1)&lt;0.0005,0,(AR340/AR339-1))</f>
        <v>0.0467496251536101</v>
      </c>
      <c r="AU340" s="163" t="n">
        <f aca="false">IF(ABS(AR340-AR328)&lt;0.05,0,AR340-AR328)</f>
        <v>8.41532973261316</v>
      </c>
      <c r="AV340" s="155" t="n">
        <f aca="false">IF(ABS(AR340/AR328-1)&lt;0.0005,0,(AR340/AR328-1))</f>
        <v>0.21904959275129</v>
      </c>
      <c r="AW340" s="185"/>
      <c r="AX340" s="163" t="n">
        <f aca="false">IF(ABS(H340-H339)&lt;0.05,0,H340-H339)</f>
        <v>-2.199</v>
      </c>
      <c r="AY340" s="164" t="n">
        <f aca="false">IF(ABS(H340/H339-1)&lt;0.0005,0,(H340/H339-1))</f>
        <v>-0.0587261316597676</v>
      </c>
      <c r="AZ340" s="163" t="n">
        <f aca="false">IF(ABS(H340-H328)&lt;0.05,0,H340-H328)</f>
        <v>5.22800000000001</v>
      </c>
      <c r="BA340" s="164" t="n">
        <f aca="false">IF(ABS(H340/H328-1)&lt;0.0005,0,(H340/H328-1))</f>
        <v>0.174162169365048</v>
      </c>
      <c r="BB340" s="57" t="n">
        <f aca="false">(H340/1.05)</f>
        <v>33.5676190476191</v>
      </c>
      <c r="BC340" s="163" t="n">
        <f aca="false">IF(ABS(BB340-BB339)&lt;0.05,0,BB340-BB339)</f>
        <v>-2.09428571428571</v>
      </c>
      <c r="BD340" s="164" t="n">
        <f aca="false">IF(ABS(BB340/BB339-1)&lt;0.0005,0,(BB340/BB339-1))</f>
        <v>-0.0587261316597676</v>
      </c>
      <c r="BE340" s="163" t="n">
        <f aca="false">IF(ABS(BB340-BB328)&lt;0.05,0,BB340-BB328)</f>
        <v>4.97904761904762</v>
      </c>
      <c r="BF340" s="155" t="n">
        <f aca="false">IF(ABS(BB340/BB328-1)&lt;0.0005,0,(BB340/BB328-1))</f>
        <v>0.174162169365048</v>
      </c>
      <c r="BG340" s="191"/>
      <c r="BH340" s="163" t="n">
        <f aca="false">IF(ABS(I340-I339)&lt;0.05,0,I340-I339)</f>
        <v>-4.148171</v>
      </c>
      <c r="BI340" s="164" t="n">
        <f aca="false">IF(ABS(I340/I339-1)&lt;0.0005,0,(I340/I339-1))</f>
        <v>-0.0825497253533805</v>
      </c>
      <c r="BJ340" s="163" t="n">
        <f aca="false">IF(ABS(I340-I328)&lt;0.05,0,I340-I328)</f>
        <v>4.53426900000001</v>
      </c>
      <c r="BK340" s="164" t="n">
        <f aca="false">IF(ABS(I340/I328-1)&lt;0.0005,0,(I340/I328-1))</f>
        <v>0.109080410226748</v>
      </c>
      <c r="BL340" s="57" t="n">
        <f aca="false">(I340/1.05)-11.14</f>
        <v>32.7670495238095</v>
      </c>
      <c r="BM340" s="163" t="n">
        <f aca="false">IF(ABS(BL340-BL339)&lt;0.05,0,BL340-BL339)</f>
        <v>-3.95063904761905</v>
      </c>
      <c r="BN340" s="164" t="n">
        <f aca="false">IF(ABS(BL340/BL339-1)&lt;0.0005,0,(BL340/BL339-1))</f>
        <v>-0.107594982182326</v>
      </c>
      <c r="BO340" s="163" t="n">
        <f aca="false">IF(ABS(BL340-BL328)&lt;0.05,0,BL340-BL328)</f>
        <v>4.31835142857144</v>
      </c>
      <c r="BP340" s="155" t="n">
        <f aca="false">IF(ABS(BL340/BL328-1)&lt;0.0005,0,(BL340/BL328-1))</f>
        <v>0.151794342718772</v>
      </c>
      <c r="BQ340" s="191"/>
    </row>
    <row r="341" customFormat="false" ht="12.75" hidden="false" customHeight="true" outlineLevel="0" collapsed="false">
      <c r="A341" s="156" t="n">
        <v>42705</v>
      </c>
      <c r="B341" s="73" t="n">
        <v>2016</v>
      </c>
      <c r="C341" s="157" t="s">
        <v>70</v>
      </c>
      <c r="D341" s="189"/>
      <c r="E341" s="159" t="n">
        <v>123.642455491098</v>
      </c>
      <c r="F341" s="159" t="n">
        <v>114.0723796218</v>
      </c>
      <c r="G341" s="159" t="n">
        <v>117.160275</v>
      </c>
      <c r="H341" s="159" t="n">
        <v>38.635</v>
      </c>
      <c r="I341" s="159" t="n">
        <v>50.012331</v>
      </c>
      <c r="J341" s="159"/>
      <c r="K341" s="159" t="n">
        <v>82.0869151452964</v>
      </c>
      <c r="L341" s="159"/>
      <c r="M341" s="160" t="n">
        <f aca="false">G341-F341</f>
        <v>3.08789537819973</v>
      </c>
      <c r="N341" s="75"/>
      <c r="O341" s="190"/>
      <c r="P341" s="75"/>
      <c r="Q341" s="190"/>
      <c r="R341" s="191"/>
      <c r="S341" s="57" t="n">
        <f aca="false">IF(ABS(F341-F340)&lt;0.05,0,F341-F340)</f>
        <v>-1.81203664011971</v>
      </c>
      <c r="T341" s="178" t="n">
        <f aca="false">IF((ABS(G341/G340-1))&lt;0.0005,0,(G341/G340-1))</f>
        <v>-0.0101385702208425</v>
      </c>
      <c r="U341" s="163" t="n">
        <f aca="false">IF(ABS(F341-F329)&lt;0.05,0,F341-F329)</f>
        <v>10.3929826925123</v>
      </c>
      <c r="V341" s="164" t="n">
        <f aca="false">IF(ABS(F341/F329-1)&lt;0.0005,0,(F341/F329-1))</f>
        <v>0.100241542681817</v>
      </c>
      <c r="W341" s="57" t="n">
        <f aca="false">(F341/1.2)-57.95</f>
        <v>37.1103163515002</v>
      </c>
      <c r="X341" s="163" t="n">
        <f aca="false">IF(ABS(W341-W340)&lt;0.05,0,W341-W340)</f>
        <v>-1.5100305334331</v>
      </c>
      <c r="Y341" s="184" t="n">
        <f aca="false">IF(ABS(W341/W340-1)&lt;0.0005,0,(W341/W340-1))</f>
        <v>-0.0390993519020461</v>
      </c>
      <c r="Z341" s="163" t="n">
        <f aca="false">IF(ABS(W341-W329)&lt;0.05,0,W341-W329)</f>
        <v>8.6608189104269</v>
      </c>
      <c r="AA341" s="155" t="n">
        <f aca="false">IF(ABS(W341/W329-1)&lt;0.0005,0,(W341/W329-1))</f>
        <v>0.304427834915742</v>
      </c>
      <c r="AB341" s="185"/>
      <c r="AC341" s="57" t="n">
        <f aca="false">IF(ABS(G341-G340)&lt;0.05,0,G341-G340)</f>
        <v>-1.20000400000001</v>
      </c>
      <c r="AD341" s="164" t="n">
        <f aca="false">IF(ABS(G341/G340-1)&lt;0.0005,0,(G341/G340-1))</f>
        <v>-0.0101385702208425</v>
      </c>
      <c r="AE341" s="163" t="n">
        <f aca="false">IF(ABS(G341-G329)&lt;0.05,0,G341-G329)</f>
        <v>9.39202499999999</v>
      </c>
      <c r="AF341" s="164" t="n">
        <f aca="false">IF(ABS(G341/G329-1)&lt;0.0005,0,(G341/G329-1))</f>
        <v>0.0871502042577474</v>
      </c>
      <c r="AG341" s="57" t="n">
        <f aca="false">(G341/1.2)-57.95</f>
        <v>39.6835625</v>
      </c>
      <c r="AH341" s="163" t="n">
        <f aca="false">IF(ABS(AG341-AG340)&lt;0.05,0,AG341-AG340)</f>
        <v>-1.00000333333334</v>
      </c>
      <c r="AI341" s="164" t="n">
        <f aca="false">IF(ABS(AG341/AG340-1)&lt;0.0005,0,(AG341/AG340-1))</f>
        <v>-0.0245800315889224</v>
      </c>
      <c r="AJ341" s="163" t="n">
        <f aca="false">IF(ABS(AG341-AG329)&lt;0.05,0,AG341-AG329)</f>
        <v>7.82668749999999</v>
      </c>
      <c r="AK341" s="155" t="n">
        <f aca="false">IF(ABS(AG341/AG329-1)&lt;0.0005,0,(AG341/AG329-1))</f>
        <v>0.24568283926154</v>
      </c>
      <c r="AL341" s="185"/>
      <c r="AM341" s="156" t="n">
        <f aca="false">IF(E341="..","",A341)</f>
        <v>42705</v>
      </c>
      <c r="AN341" s="57" t="n">
        <f aca="false">IF(ABS(E341-E340)&lt;0.05,0,E341-E340)</f>
        <v>-2.0968963792758</v>
      </c>
      <c r="AO341" s="164" t="n">
        <f aca="false">IF(ABS(E341/E340-1)&lt;0.0005,0,(E341/E340-1))</f>
        <v>-0.0166765324306548</v>
      </c>
      <c r="AP341" s="163" t="n">
        <f aca="false">IF(ABS(E341-E329)&lt;0.05,0,E341-E329)</f>
        <v>11.2871674334867</v>
      </c>
      <c r="AQ341" s="164" t="n">
        <f aca="false">IF(ABS(E341/E329-1)&lt;0.0005,0,(E341/E329-1))</f>
        <v>0.100459601222322</v>
      </c>
      <c r="AR341" s="57" t="n">
        <f aca="false">(E341/1.2)-57.95</f>
        <v>45.0853795759152</v>
      </c>
      <c r="AS341" s="163" t="n">
        <f aca="false">IF(ABS(AR341-AR340)&lt;0.05,0,AR341-AR340)</f>
        <v>-1.74741364939651</v>
      </c>
      <c r="AT341" s="164" t="n">
        <f aca="false">IF(ABS(AR341/AR340-1)&lt;0.0005,0,(AR341/AR340-1))</f>
        <v>-0.0373117537745342</v>
      </c>
      <c r="AU341" s="163" t="n">
        <f aca="false">IF(ABS(AR341-AR329)&lt;0.05,0,AR341-AR329)</f>
        <v>9.40597286123894</v>
      </c>
      <c r="AV341" s="155" t="n">
        <f aca="false">IF(ABS(AR341/AR329-1)&lt;0.0005,0,(AR341/AR329-1))</f>
        <v>0.2636246991565</v>
      </c>
      <c r="AW341" s="185"/>
      <c r="AX341" s="163" t="n">
        <f aca="false">IF(ABS(H341-H340)&lt;0.05,0,H341-H340)</f>
        <v>3.389</v>
      </c>
      <c r="AY341" s="164" t="n">
        <f aca="false">IF(ABS(H341/H340-1)&lt;0.0005,0,(H341/H340-1))</f>
        <v>0.0961527549225443</v>
      </c>
      <c r="AZ341" s="163" t="n">
        <f aca="false">IF(ABS(H341-H329)&lt;0.05,0,H341-H329)</f>
        <v>10.047</v>
      </c>
      <c r="BA341" s="164" t="n">
        <f aca="false">IF(ABS(H341/H329-1)&lt;0.0005,0,(H341/H329-1))</f>
        <v>0.351441164124807</v>
      </c>
      <c r="BB341" s="57" t="n">
        <f aca="false">(H341/1.05)</f>
        <v>36.7952380952381</v>
      </c>
      <c r="BC341" s="163" t="n">
        <f aca="false">IF(ABS(BB341-BB340)&lt;0.05,0,BB341-BB340)</f>
        <v>3.22761904761904</v>
      </c>
      <c r="BD341" s="164" t="n">
        <f aca="false">IF(ABS(BB341/BB340-1)&lt;0.0005,0,(BB341/BB340-1))</f>
        <v>0.0961527549225443</v>
      </c>
      <c r="BE341" s="163" t="n">
        <f aca="false">IF(ABS(BB341-BB329)&lt;0.05,0,BB341-BB329)</f>
        <v>9.56857142857142</v>
      </c>
      <c r="BF341" s="155" t="n">
        <f aca="false">IF(ABS(BB341/BB329-1)&lt;0.0005,0,(BB341/BB329-1))</f>
        <v>0.351441164124807</v>
      </c>
      <c r="BG341" s="191"/>
      <c r="BH341" s="163" t="n">
        <f aca="false">IF(ABS(I341-I340)&lt;0.05,0,I341-I340)</f>
        <v>3.909929</v>
      </c>
      <c r="BI341" s="164" t="n">
        <f aca="false">IF(ABS(I341/I340-1)&lt;0.0005,0,(I341/I340-1))</f>
        <v>0.0848096591583232</v>
      </c>
      <c r="BJ341" s="163" t="n">
        <f aca="false">IF(ABS(I341-I329)&lt;0.05,0,I341-I329)</f>
        <v>11.910392</v>
      </c>
      <c r="BK341" s="164" t="n">
        <f aca="false">IF(ABS(I341/I329-1)&lt;0.0005,0,(I341/I329-1))</f>
        <v>0.312592805316286</v>
      </c>
      <c r="BL341" s="57" t="n">
        <f aca="false">(I341/1.05)-11.14</f>
        <v>36.4907914285714</v>
      </c>
      <c r="BM341" s="163" t="n">
        <f aca="false">IF(ABS(BL341-BL340)&lt;0.05,0,BL341-BL340)</f>
        <v>3.7237419047619</v>
      </c>
      <c r="BN341" s="164" t="n">
        <f aca="false">IF(ABS(BL341/BL340-1)&lt;0.0005,0,(BL341/BL340-1))</f>
        <v>0.113642880847606</v>
      </c>
      <c r="BO341" s="163" t="n">
        <f aca="false">IF(ABS(BL341-BL329)&lt;0.05,0,BL341-BL329)</f>
        <v>11.3432304761905</v>
      </c>
      <c r="BP341" s="155" t="n">
        <f aca="false">IF(ABS(BL341/BL329-1)&lt;0.0005,0,(BL341/BL329-1))</f>
        <v>0.451066825036028</v>
      </c>
      <c r="BQ341" s="191"/>
    </row>
    <row r="342" customFormat="false" ht="12.75" hidden="false" customHeight="true" outlineLevel="0" collapsed="false">
      <c r="A342" s="156" t="n">
        <v>42736</v>
      </c>
      <c r="B342" s="73" t="n">
        <v>2017</v>
      </c>
      <c r="C342" s="157" t="s">
        <v>59</v>
      </c>
      <c r="D342" s="189"/>
      <c r="E342" s="159" t="n">
        <v>127.854687937588</v>
      </c>
      <c r="F342" s="159" t="n">
        <v>118.694981980431</v>
      </c>
      <c r="G342" s="159" t="n">
        <v>121.991512</v>
      </c>
      <c r="H342" s="159" t="n">
        <v>40.68</v>
      </c>
      <c r="I342" s="159" t="n">
        <v>51.987027</v>
      </c>
      <c r="J342" s="159"/>
      <c r="K342" s="159" t="n">
        <v>85.7851496162941</v>
      </c>
      <c r="L342" s="159"/>
      <c r="M342" s="160" t="n">
        <f aca="false">G342-F342</f>
        <v>3.29653001956862</v>
      </c>
      <c r="N342" s="75"/>
      <c r="O342" s="190"/>
      <c r="P342" s="75"/>
      <c r="Q342" s="190"/>
      <c r="R342" s="191"/>
      <c r="S342" s="57" t="n">
        <f aca="false">IF(ABS(F342-F341)&lt;0.05,0,F342-F341)</f>
        <v>4.62260235863111</v>
      </c>
      <c r="T342" s="178" t="n">
        <f aca="false">IF((ABS(G342/G341-1))&lt;0.0005,0,(G342/G341-1))</f>
        <v>0.0412361357123821</v>
      </c>
      <c r="U342" s="163" t="n">
        <f aca="false">IF(ABS(F342-F330)&lt;0.05,0,F342-F330)</f>
        <v>16.9525955141424</v>
      </c>
      <c r="V342" s="164" t="n">
        <f aca="false">IF(ABS(F342/F330-1)&lt;0.0005,0,(F342/F330-1))</f>
        <v>0.166622743017331</v>
      </c>
      <c r="W342" s="57" t="n">
        <f aca="false">(F342/1.2)-57.95</f>
        <v>40.9624849836928</v>
      </c>
      <c r="X342" s="163" t="n">
        <f aca="false">IF(ABS(W342-W341)&lt;0.05,0,W342-W341)</f>
        <v>3.8521686321926</v>
      </c>
      <c r="Y342" s="184" t="n">
        <f aca="false">IF(ABS(W342/W341-1)&lt;0.0005,0,(W342/W341-1))</f>
        <v>0.103803174182235</v>
      </c>
      <c r="Z342" s="163" t="n">
        <f aca="false">IF(ABS(W342-W330)&lt;0.05,0,W342-W330)</f>
        <v>14.127162928452</v>
      </c>
      <c r="AA342" s="155" t="n">
        <f aca="false">IF(ABS(W342/W330-1)&lt;0.0005,0,(W342/W330-1))</f>
        <v>0.526439105123132</v>
      </c>
      <c r="AB342" s="185"/>
      <c r="AC342" s="57" t="n">
        <f aca="false">IF(ABS(G342-G341)&lt;0.05,0,G342-G341)</f>
        <v>4.831237</v>
      </c>
      <c r="AD342" s="164" t="n">
        <f aca="false">IF(ABS(G342/G341-1)&lt;0.0005,0,(G342/G341-1))</f>
        <v>0.0412361357123821</v>
      </c>
      <c r="AE342" s="163" t="n">
        <f aca="false">IF(ABS(G342-G330)&lt;0.05,0,G342-G330)</f>
        <v>19.468916</v>
      </c>
      <c r="AF342" s="164" t="n">
        <f aca="false">IF(ABS(G342/G330-1)&lt;0.0005,0,(G342/G330-1))</f>
        <v>0.189898780947763</v>
      </c>
      <c r="AG342" s="57" t="n">
        <f aca="false">(G342/1.2)-57.95</f>
        <v>43.7095933333333</v>
      </c>
      <c r="AH342" s="163" t="n">
        <f aca="false">IF(ABS(AG342-AG341)&lt;0.05,0,AG342-AG341)</f>
        <v>4.02603083333334</v>
      </c>
      <c r="AI342" s="164" t="n">
        <f aca="false">IF(ABS(AG342/AG341-1)&lt;0.0005,0,(AG342/AG341-1))</f>
        <v>0.101453362039593</v>
      </c>
      <c r="AJ342" s="163" t="n">
        <f aca="false">IF(ABS(AG342-AG330)&lt;0.05,0,AG342-AG330)</f>
        <v>16.2240966666667</v>
      </c>
      <c r="AK342" s="155" t="n">
        <f aca="false">IF(ABS(AG342/AG330-1)&lt;0.0005,0,(AG342/AG330-1))</f>
        <v>0.59027846079793</v>
      </c>
      <c r="AL342" s="185"/>
      <c r="AM342" s="156" t="n">
        <f aca="false">IF(E342="..","",A342)</f>
        <v>42736</v>
      </c>
      <c r="AN342" s="57" t="n">
        <f aca="false">IF(ABS(E342-E341)&lt;0.05,0,E342-E341)</f>
        <v>4.21223244648928</v>
      </c>
      <c r="AO342" s="164" t="n">
        <f aca="false">IF(ABS(E342/E341-1)&lt;0.0005,0,(E342/E341-1))</f>
        <v>0.0340678485376129</v>
      </c>
      <c r="AP342" s="163" t="n">
        <f aca="false">IF(ABS(E342-E330)&lt;0.05,0,E342-E330)</f>
        <v>17.6108301660335</v>
      </c>
      <c r="AQ342" s="164" t="n">
        <f aca="false">IF(ABS(E342/E330-1)&lt;0.0005,0,(E342/E330-1))</f>
        <v>0.159744320654367</v>
      </c>
      <c r="AR342" s="57" t="n">
        <f aca="false">(E342/1.2)-57.95</f>
        <v>48.5955732813229</v>
      </c>
      <c r="AS342" s="163" t="n">
        <f aca="false">IF(ABS(AR342-AR341)&lt;0.05,0,AR342-AR341)</f>
        <v>3.51019370540773</v>
      </c>
      <c r="AT342" s="164" t="n">
        <f aca="false">IF(ABS(AR342/AR341-1)&lt;0.0005,0,(AR342/AR341-1))</f>
        <v>0.077856585403639</v>
      </c>
      <c r="AU342" s="163" t="n">
        <f aca="false">IF(ABS(AR342-AR330)&lt;0.05,0,AR342-AR330)</f>
        <v>14.6756918050279</v>
      </c>
      <c r="AV342" s="155" t="n">
        <f aca="false">IF(ABS(AR342/AR330-1)&lt;0.0005,0,(AR342/AR330-1))</f>
        <v>0.432657520200478</v>
      </c>
      <c r="AW342" s="185"/>
      <c r="AX342" s="163" t="n">
        <f aca="false">IF(ABS(H342-H341)&lt;0.05,0,H342-H341)</f>
        <v>2.045</v>
      </c>
      <c r="AY342" s="164" t="n">
        <f aca="false">IF(ABS(H342/H341-1)&lt;0.0005,0,(H342/H341-1))</f>
        <v>0.052931279927527</v>
      </c>
      <c r="AZ342" s="163" t="n">
        <f aca="false">IF(ABS(H342-H330)&lt;0.05,0,H342-H330)</f>
        <v>17.867</v>
      </c>
      <c r="BA342" s="164" t="n">
        <f aca="false">IF(ABS(H342/H330-1)&lt;0.0005,0,(H342/H330-1))</f>
        <v>0.783193793012756</v>
      </c>
      <c r="BB342" s="57" t="n">
        <f aca="false">(H342/1.05)</f>
        <v>38.7428571428571</v>
      </c>
      <c r="BC342" s="163" t="n">
        <f aca="false">IF(ABS(BB342-BB341)&lt;0.05,0,BB342-BB341)</f>
        <v>1.94761904761905</v>
      </c>
      <c r="BD342" s="164" t="n">
        <f aca="false">IF(ABS(BB342/BB341-1)&lt;0.0005,0,(BB342/BB341-1))</f>
        <v>0.052931279927527</v>
      </c>
      <c r="BE342" s="163" t="n">
        <f aca="false">IF(ABS(BB342-BB330)&lt;0.05,0,BB342-BB330)</f>
        <v>17.0161904761905</v>
      </c>
      <c r="BF342" s="155" t="n">
        <f aca="false">IF(ABS(BB342/BB330-1)&lt;0.0005,0,(BB342/BB330-1))</f>
        <v>0.783193793012756</v>
      </c>
      <c r="BG342" s="191"/>
      <c r="BH342" s="163" t="n">
        <f aca="false">IF(ABS(I342-I341)&lt;0.05,0,I342-I341)</f>
        <v>1.97469599999999</v>
      </c>
      <c r="BI342" s="164" t="n">
        <f aca="false">IF(ABS(I342/I341-1)&lt;0.0005,0,(I342/I341-1))</f>
        <v>0.0394841824109338</v>
      </c>
      <c r="BJ342" s="163" t="n">
        <f aca="false">IF(ABS(I342-I330)&lt;0.05,0,I342-I330)</f>
        <v>16.801264</v>
      </c>
      <c r="BK342" s="164" t="n">
        <f aca="false">IF(ABS(I342/I330-1)&lt;0.0005,0,(I342/I330-1))</f>
        <v>0.477501766836775</v>
      </c>
      <c r="BL342" s="57" t="n">
        <f aca="false">(I342/1.05)-11.14</f>
        <v>38.3714542857143</v>
      </c>
      <c r="BM342" s="163" t="n">
        <f aca="false">IF(ABS(BL342-BL341)&lt;0.05,0,BL342-BL341)</f>
        <v>1.88066285714285</v>
      </c>
      <c r="BN342" s="164" t="n">
        <f aca="false">IF(ABS(BL342/BL341-1)&lt;0.0005,0,(BL342/BL341-1))</f>
        <v>0.0515380122906937</v>
      </c>
      <c r="BO342" s="163" t="n">
        <f aca="false">IF(ABS(BL342-BL330)&lt;0.05,0,BL342-BL330)</f>
        <v>16.0012038095238</v>
      </c>
      <c r="BP342" s="155" t="n">
        <f aca="false">IF(ABS(BL342/BL330-1)&lt;0.0005,0,(BL342/BL330-1))</f>
        <v>0.715289434356335</v>
      </c>
      <c r="BQ342" s="191"/>
    </row>
    <row r="343" customFormat="false" ht="12.75" hidden="false" customHeight="true" outlineLevel="0" collapsed="false">
      <c r="A343" s="156" t="n">
        <v>42767</v>
      </c>
      <c r="B343" s="73" t="n">
        <v>2017</v>
      </c>
      <c r="C343" s="157" t="s">
        <v>60</v>
      </c>
      <c r="D343" s="189"/>
      <c r="E343" s="159" t="n">
        <v>128.865300060012</v>
      </c>
      <c r="F343" s="159" t="n">
        <v>119.862493654679</v>
      </c>
      <c r="G343" s="159" t="n">
        <v>122.798954</v>
      </c>
      <c r="H343" s="159" t="n">
        <v>40.42</v>
      </c>
      <c r="I343" s="159" t="n">
        <v>51.645923</v>
      </c>
      <c r="J343" s="159"/>
      <c r="K343" s="159" t="n">
        <v>85.2155926787311</v>
      </c>
      <c r="L343" s="159"/>
      <c r="M343" s="160" t="n">
        <f aca="false">G343-F343</f>
        <v>2.93646034532102</v>
      </c>
      <c r="N343" s="75"/>
      <c r="O343" s="190"/>
      <c r="P343" s="75"/>
      <c r="Q343" s="190"/>
      <c r="R343" s="191"/>
      <c r="S343" s="57" t="n">
        <f aca="false">IF(ABS(F343-F342)&lt;0.05,0,F343-F342)</f>
        <v>1.16751167424759</v>
      </c>
      <c r="T343" s="178" t="n">
        <f aca="false">IF((ABS(G343/G342-1))&lt;0.0005,0,(G343/G342-1))</f>
        <v>0.0066188375466647</v>
      </c>
      <c r="U343" s="163" t="n">
        <f aca="false">IF(ABS(F343-F331)&lt;0.05,0,F343-F331)</f>
        <v>18.4599560828576</v>
      </c>
      <c r="V343" s="164" t="n">
        <f aca="false">IF(ABS(F343/F331-1)&lt;0.0005,0,(F343/F331-1))</f>
        <v>0.182046293168776</v>
      </c>
      <c r="W343" s="57" t="n">
        <f aca="false">(F343/1.2)-57.95</f>
        <v>41.9354113788992</v>
      </c>
      <c r="X343" s="163" t="n">
        <f aca="false">IF(ABS(W343-W342)&lt;0.05,0,W343-W342)</f>
        <v>0.972926395206329</v>
      </c>
      <c r="Y343" s="184" t="n">
        <f aca="false">IF(ABS(W343/W342-1)&lt;0.0005,0,(W343/W342-1))</f>
        <v>0.0237516448426811</v>
      </c>
      <c r="Z343" s="163" t="n">
        <f aca="false">IF(ABS(W343-W331)&lt;0.05,0,W343-W331)</f>
        <v>15.3832967357147</v>
      </c>
      <c r="AA343" s="155" t="n">
        <f aca="false">IF(ABS(W343/W331-1)&lt;0.0005,0,(W343/W331-1))</f>
        <v>0.57936239514028</v>
      </c>
      <c r="AB343" s="185"/>
      <c r="AC343" s="57" t="n">
        <f aca="false">IF(ABS(G343-G342)&lt;0.05,0,G343-G342)</f>
        <v>0.807441999999995</v>
      </c>
      <c r="AD343" s="164" t="n">
        <f aca="false">IF(ABS(G343/G342-1)&lt;0.0005,0,(G343/G342-1))</f>
        <v>0.0066188375466647</v>
      </c>
      <c r="AE343" s="163" t="n">
        <f aca="false">IF(ABS(G343-G331)&lt;0.05,0,G343-G331)</f>
        <v>21.778045</v>
      </c>
      <c r="AF343" s="164" t="n">
        <f aca="false">IF(ABS(G343/G331-1)&lt;0.0005,0,(G343/G331-1))</f>
        <v>0.215579578679103</v>
      </c>
      <c r="AG343" s="57" t="n">
        <f aca="false">(G343/1.2)-57.95</f>
        <v>44.3824616666667</v>
      </c>
      <c r="AH343" s="163" t="n">
        <f aca="false">IF(ABS(AG343-AG342)&lt;0.05,0,AG343-AG342)</f>
        <v>0.672868333333327</v>
      </c>
      <c r="AI343" s="164" t="n">
        <f aca="false">IF(ABS(AG343/AG342-1)&lt;0.0005,0,(AG343/AG342-1))</f>
        <v>0.0153940652845239</v>
      </c>
      <c r="AJ343" s="163" t="n">
        <f aca="false">IF(ABS(AG343-AG331)&lt;0.05,0,AG343-AG331)</f>
        <v>18.1483708333333</v>
      </c>
      <c r="AK343" s="155" t="n">
        <f aca="false">IF(ABS(AG343/AG331-1)&lt;0.0005,0,(AG343/AG331-1))</f>
        <v>0.691785774038481</v>
      </c>
      <c r="AL343" s="185"/>
      <c r="AM343" s="156" t="n">
        <f aca="false">IF(E343="..","",A343)</f>
        <v>42767</v>
      </c>
      <c r="AN343" s="57" t="n">
        <f aca="false">IF(ABS(E343-E342)&lt;0.05,0,E343-E342)</f>
        <v>1.01061212242449</v>
      </c>
      <c r="AO343" s="164" t="n">
        <f aca="false">IF(ABS(E343/E342-1)&lt;0.0005,0,(E343/E342-1))</f>
        <v>0.00790438065843802</v>
      </c>
      <c r="AP343" s="163" t="n">
        <f aca="false">IF(ABS(E343-E331)&lt;0.05,0,E343-E331)</f>
        <v>19.1461462292458</v>
      </c>
      <c r="AQ343" s="164" t="n">
        <f aca="false">IF(ABS(E343/E331-1)&lt;0.0005,0,(E343/E331-1))</f>
        <v>0.174501402542508</v>
      </c>
      <c r="AR343" s="57" t="n">
        <f aca="false">(E343/1.2)-57.95</f>
        <v>49.43775005001</v>
      </c>
      <c r="AS343" s="163" t="n">
        <f aca="false">IF(ABS(AR343-AR342)&lt;0.05,0,AR343-AR342)</f>
        <v>0.842176768687082</v>
      </c>
      <c r="AT343" s="164" t="n">
        <f aca="false">IF(ABS(AR343/AR342-1)&lt;0.0005,0,(AR343/AR342-1))</f>
        <v>0.0173303186241196</v>
      </c>
      <c r="AU343" s="163" t="n">
        <f aca="false">IF(ABS(AR343-AR331)&lt;0.05,0,AR343-AR331)</f>
        <v>15.9551218577049</v>
      </c>
      <c r="AV343" s="155" t="n">
        <f aca="false">IF(ABS(AR343/AR331-1)&lt;0.0005,0,(AR343/AR331-1))</f>
        <v>0.476519398837742</v>
      </c>
      <c r="AW343" s="185"/>
      <c r="AX343" s="163" t="n">
        <f aca="false">IF(ABS(H343-H342)&lt;0.05,0,H343-H342)</f>
        <v>-0.259999999999998</v>
      </c>
      <c r="AY343" s="164" t="n">
        <f aca="false">IF(ABS(H343/H342-1)&lt;0.0005,0,(H343/H342-1))</f>
        <v>-0.00639134709931166</v>
      </c>
      <c r="AZ343" s="163" t="n">
        <f aca="false">IF(ABS(H343-H331)&lt;0.05,0,H343-H331)</f>
        <v>18.528</v>
      </c>
      <c r="BA343" s="164" t="n">
        <f aca="false">IF(ABS(H343/H331-1)&lt;0.0005,0,(H343/H331-1))</f>
        <v>0.846336561300932</v>
      </c>
      <c r="BB343" s="57" t="n">
        <f aca="false">(H343/1.05)</f>
        <v>38.4952380952381</v>
      </c>
      <c r="BC343" s="163" t="n">
        <f aca="false">IF(ABS(BB343-BB342)&lt;0.05,0,BB343-BB342)</f>
        <v>-0.247619047619047</v>
      </c>
      <c r="BD343" s="164" t="n">
        <f aca="false">IF(ABS(BB343/BB342-1)&lt;0.0005,0,(BB343/BB342-1))</f>
        <v>-0.00639134709931166</v>
      </c>
      <c r="BE343" s="163" t="n">
        <f aca="false">IF(ABS(BB343-BB331)&lt;0.05,0,BB343-BB331)</f>
        <v>17.6457142857143</v>
      </c>
      <c r="BF343" s="155" t="n">
        <f aca="false">IF(ABS(BB343/BB331-1)&lt;0.0005,0,(BB343/BB331-1))</f>
        <v>0.846336561300932</v>
      </c>
      <c r="BG343" s="191"/>
      <c r="BH343" s="163" t="n">
        <f aca="false">IF(ABS(I343-I342)&lt;0.05,0,I343-I342)</f>
        <v>-0.341103999999994</v>
      </c>
      <c r="BI343" s="164" t="n">
        <f aca="false">IF(ABS(I343/I342-1)&lt;0.0005,0,(I343/I342-1))</f>
        <v>-0.00656132923315644</v>
      </c>
      <c r="BJ343" s="163" t="n">
        <f aca="false">IF(ABS(I343-I331)&lt;0.05,0,I343-I331)</f>
        <v>18.186328</v>
      </c>
      <c r="BK343" s="164" t="n">
        <f aca="false">IF(ABS(I343/I331-1)&lt;0.0005,0,(I343/I331-1))</f>
        <v>0.543531026003154</v>
      </c>
      <c r="BL343" s="57" t="n">
        <f aca="false">(I343/1.05)-11.14</f>
        <v>38.0465933333333</v>
      </c>
      <c r="BM343" s="163" t="n">
        <f aca="false">IF(ABS(BL343-BL342)&lt;0.05,0,BL343-BL342)</f>
        <v>-0.324860952380945</v>
      </c>
      <c r="BN343" s="164" t="n">
        <f aca="false">IF(ABS(BL343/BL342-1)&lt;0.0005,0,(BL343/BL342-1))</f>
        <v>-0.00846621423212235</v>
      </c>
      <c r="BO343" s="163" t="n">
        <f aca="false">IF(ABS(BL343-BL331)&lt;0.05,0,BL343-BL331)</f>
        <v>17.3203123809524</v>
      </c>
      <c r="BP343" s="155" t="n">
        <f aca="false">IF(ABS(BL343/BL331-1)&lt;0.0005,0,(BL343/BL331-1))</f>
        <v>0.835669091852328</v>
      </c>
      <c r="BQ343" s="191"/>
    </row>
    <row r="344" customFormat="false" ht="12.75" hidden="false" customHeight="true" outlineLevel="0" collapsed="false">
      <c r="A344" s="156" t="n">
        <v>42795</v>
      </c>
      <c r="B344" s="73" t="n">
        <v>2017</v>
      </c>
      <c r="C344" s="157" t="s">
        <v>61</v>
      </c>
      <c r="D344" s="189"/>
      <c r="E344" s="159" t="n">
        <v>128.4</v>
      </c>
      <c r="F344" s="159" t="n">
        <v>119.39</v>
      </c>
      <c r="G344" s="159" t="n">
        <v>122.34</v>
      </c>
      <c r="H344" s="159" t="n">
        <v>39.58</v>
      </c>
      <c r="I344" s="159" t="n">
        <v>52.21</v>
      </c>
      <c r="J344" s="159"/>
      <c r="K344" s="159" t="n">
        <v>81.2527957010322</v>
      </c>
      <c r="L344" s="159"/>
      <c r="M344" s="160" t="n">
        <f aca="false">G344-F344</f>
        <v>2.95</v>
      </c>
      <c r="N344" s="75"/>
      <c r="O344" s="190"/>
      <c r="P344" s="75"/>
      <c r="Q344" s="190"/>
      <c r="R344" s="191"/>
      <c r="S344" s="57" t="n">
        <f aca="false">IF(ABS(F344-F343)&lt;0.05,0,F344-F343)</f>
        <v>-0.472493654678985</v>
      </c>
      <c r="T344" s="178" t="n">
        <f aca="false">IF((ABS(G344/G343-1))&lt;0.0005,0,(G344/G343-1))</f>
        <v>-0.00373744225866945</v>
      </c>
      <c r="U344" s="163" t="n">
        <f aca="false">IF(ABS(F344-F332)&lt;0.05,0,F344-F332)</f>
        <v>17.6631411560567</v>
      </c>
      <c r="V344" s="164" t="n">
        <f aca="false">IF(ABS(F344/F332-1)&lt;0.0005,0,(F344/F332-1))</f>
        <v>0.173633014493775</v>
      </c>
      <c r="W344" s="57" t="n">
        <f aca="false">(F344/1.2)-57.95</f>
        <v>41.5416666666667</v>
      </c>
      <c r="X344" s="163" t="n">
        <f aca="false">IF(ABS(W344-W343)&lt;0.05,0,W344-W343)</f>
        <v>-0.39374471223249</v>
      </c>
      <c r="Y344" s="184" t="n">
        <f aca="false">IF(ABS(W344/W343-1)&lt;0.0005,0,(W344/W343-1))</f>
        <v>-0.00938931321490777</v>
      </c>
      <c r="Z344" s="163" t="n">
        <f aca="false">IF(ABS(W344-W332)&lt;0.05,0,W344-W332)</f>
        <v>14.7192842967139</v>
      </c>
      <c r="AA344" s="155" t="n">
        <f aca="false">IF(ABS(W344/W332-1)&lt;0.0005,0,(W344/W332-1))</f>
        <v>0.548768714638968</v>
      </c>
      <c r="AB344" s="185"/>
      <c r="AC344" s="57" t="n">
        <f aca="false">IF(ABS(G344-G343)&lt;0.05,0,G344-G343)</f>
        <v>-0.458954000000006</v>
      </c>
      <c r="AD344" s="164" t="n">
        <f aca="false">IF(ABS(G344/G343-1)&lt;0.0005,0,(G344/G343-1))</f>
        <v>-0.00373744225866945</v>
      </c>
      <c r="AE344" s="163" t="n">
        <f aca="false">IF(ABS(G344-G332)&lt;0.05,0,G344-G332)</f>
        <v>19.940966</v>
      </c>
      <c r="AF344" s="164" t="n">
        <f aca="false">IF(ABS(G344/G332-1)&lt;0.0005,0,(G344/G332-1))</f>
        <v>0.194737833171356</v>
      </c>
      <c r="AG344" s="57" t="n">
        <f aca="false">(G344/1.2)-57.95</f>
        <v>44</v>
      </c>
      <c r="AH344" s="163" t="n">
        <f aca="false">IF(ABS(AG344-AG343)&lt;0.05,0,AG344-AG343)</f>
        <v>-0.382461666666671</v>
      </c>
      <c r="AI344" s="164" t="n">
        <f aca="false">IF(ABS(AG344/AG343-1)&lt;0.0005,0,(AG344/AG343-1))</f>
        <v>-0.00861740544134615</v>
      </c>
      <c r="AJ344" s="163" t="n">
        <f aca="false">IF(ABS(AG344-AG332)&lt;0.05,0,AG344-AG332)</f>
        <v>16.6174716666667</v>
      </c>
      <c r="AK344" s="155" t="n">
        <f aca="false">IF(ABS(AG344/AG332-1)&lt;0.0005,0,(AG344/AG332-1))</f>
        <v>0.606864036234297</v>
      </c>
      <c r="AL344" s="185"/>
      <c r="AM344" s="156" t="n">
        <f aca="false">IF(E344="..","",A344)</f>
        <v>42795</v>
      </c>
      <c r="AN344" s="57" t="n">
        <f aca="false">IF(ABS(E344-E343)&lt;0.05,0,E344-E343)</f>
        <v>-0.465300060011998</v>
      </c>
      <c r="AO344" s="164" t="n">
        <f aca="false">IF(ABS(E344/E343-1)&lt;0.0005,0,(E344/E343-1))</f>
        <v>-0.00361074749987245</v>
      </c>
      <c r="AP344" s="163" t="n">
        <f aca="false">IF(ABS(E344-E332)&lt;0.05,0,E344-E332)</f>
        <v>17.8722324464893</v>
      </c>
      <c r="AQ344" s="164" t="n">
        <f aca="false">IF(ABS(E344/E332-1)&lt;0.0005,0,(E344/E332-1))</f>
        <v>0.161699026788329</v>
      </c>
      <c r="AR344" s="57" t="n">
        <f aca="false">(E344/1.2)-57.95</f>
        <v>49.05</v>
      </c>
      <c r="AS344" s="163" t="n">
        <f aca="false">IF(ABS(AR344-AR343)&lt;0.05,0,AR344-AR343)</f>
        <v>-0.387750050009998</v>
      </c>
      <c r="AT344" s="164" t="n">
        <f aca="false">IF(ABS(AR344/AR343-1)&lt;0.0005,0,(AR344/AR343-1))</f>
        <v>-0.0078431977510659</v>
      </c>
      <c r="AU344" s="163" t="n">
        <f aca="false">IF(ABS(AR344-AR332)&lt;0.05,0,AR344-AR332)</f>
        <v>14.8935270387411</v>
      </c>
      <c r="AV344" s="155" t="n">
        <f aca="false">IF(ABS(AR344/AR332-1)&lt;0.0005,0,(AR344/AR332-1))</f>
        <v>0.43603820147454</v>
      </c>
      <c r="AW344" s="185"/>
      <c r="AX344" s="163" t="n">
        <f aca="false">IF(ABS(H344-H343)&lt;0.05,0,H344-H343)</f>
        <v>-0.840000000000003</v>
      </c>
      <c r="AY344" s="164" t="n">
        <f aca="false">IF(ABS(H344/H343-1)&lt;0.0005,0,(H344/H343-1))</f>
        <v>-0.020781791192479</v>
      </c>
      <c r="AZ344" s="163" t="n">
        <f aca="false">IF(ABS(H344-H332)&lt;0.05,0,H344-H332)</f>
        <v>13.152</v>
      </c>
      <c r="BA344" s="164" t="n">
        <f aca="false">IF(ABS(H344/H332-1)&lt;0.0005,0,(H344/H332-1))</f>
        <v>0.497654003329802</v>
      </c>
      <c r="BB344" s="57" t="n">
        <f aca="false">(H344/1.05)</f>
        <v>37.6952380952381</v>
      </c>
      <c r="BC344" s="163" t="n">
        <f aca="false">IF(ABS(BB344-BB343)&lt;0.05,0,BB344-BB343)</f>
        <v>-0.800000000000004</v>
      </c>
      <c r="BD344" s="164" t="n">
        <f aca="false">IF(ABS(BB344/BB343-1)&lt;0.0005,0,(BB344/BB343-1))</f>
        <v>-0.0207817911924791</v>
      </c>
      <c r="BE344" s="163" t="n">
        <f aca="false">IF(ABS(BB344-BB332)&lt;0.05,0,BB344-BB332)</f>
        <v>12.5257142857143</v>
      </c>
      <c r="BF344" s="155" t="n">
        <f aca="false">IF(ABS(BB344/BB332-1)&lt;0.0005,0,(BB344/BB332-1))</f>
        <v>0.497654003329802</v>
      </c>
      <c r="BG344" s="191"/>
      <c r="BH344" s="163" t="n">
        <f aca="false">IF(ABS(I344-I343)&lt;0.05,0,I344-I343)</f>
        <v>0.564076999999998</v>
      </c>
      <c r="BI344" s="164" t="n">
        <f aca="false">IF(ABS(I344/I343-1)&lt;0.0005,0,(I344/I343-1))</f>
        <v>0.010922004433922</v>
      </c>
      <c r="BJ344" s="163" t="n">
        <f aca="false">IF(ABS(I344-I332)&lt;0.05,0,I344-I332)</f>
        <v>13.996121</v>
      </c>
      <c r="BK344" s="164" t="n">
        <f aca="false">IF(ABS(I344/I332-1)&lt;0.0005,0,(I344/I332-1))</f>
        <v>0.366257531720347</v>
      </c>
      <c r="BL344" s="57" t="n">
        <f aca="false">(I344/1.05)-11.14</f>
        <v>38.5838095238095</v>
      </c>
      <c r="BM344" s="163" t="n">
        <f aca="false">IF(ABS(BL344-BL343)&lt;0.05,0,BL344-BL343)</f>
        <v>0.537216190476187</v>
      </c>
      <c r="BN344" s="164" t="n">
        <f aca="false">IF(ABS(BL344/BL343-1)&lt;0.0005,0,(BL344/BL343-1))</f>
        <v>0.0141199551236961</v>
      </c>
      <c r="BO344" s="163" t="n">
        <f aca="false">IF(ABS(BL344-BL332)&lt;0.05,0,BL344-BL332)</f>
        <v>13.329639047619</v>
      </c>
      <c r="BP344" s="155" t="n">
        <f aca="false">IF(ABS(BL344/BL332-1)&lt;0.0005,0,(BL344/BL332-1))</f>
        <v>0.527819318404704</v>
      </c>
      <c r="BQ344" s="191"/>
    </row>
    <row r="345" customFormat="false" ht="12.75" hidden="false" customHeight="true" outlineLevel="0" collapsed="false">
      <c r="A345" s="156" t="n">
        <v>42826</v>
      </c>
      <c r="B345" s="73" t="n">
        <v>2017</v>
      </c>
      <c r="C345" s="157" t="s">
        <v>62</v>
      </c>
      <c r="D345" s="189"/>
      <c r="E345" s="159" t="n">
        <v>126.710651130226</v>
      </c>
      <c r="F345" s="159" t="n">
        <v>117.301619295579</v>
      </c>
      <c r="G345" s="159" t="n">
        <v>119.891968</v>
      </c>
      <c r="H345" s="159" t="n">
        <v>39.772</v>
      </c>
      <c r="I345" s="159" t="n">
        <v>51.420868</v>
      </c>
      <c r="J345" s="159"/>
      <c r="K345" s="159" t="n">
        <v>80.0334226247709</v>
      </c>
      <c r="L345" s="159"/>
      <c r="M345" s="160" t="n">
        <f aca="false">G345-F345</f>
        <v>2.59034870442069</v>
      </c>
      <c r="N345" s="75"/>
      <c r="O345" s="190"/>
      <c r="P345" s="75"/>
      <c r="Q345" s="190"/>
      <c r="R345" s="191"/>
      <c r="S345" s="57" t="n">
        <f aca="false">IF(ABS(F345-F344)&lt;0.05,0,F345-F344)</f>
        <v>-2.08838070442067</v>
      </c>
      <c r="T345" s="178" t="n">
        <f aca="false">IF((ABS(G345/G344-1))&lt;0.0005,0,(G345/G344-1))</f>
        <v>-0.0200100702958965</v>
      </c>
      <c r="U345" s="163" t="n">
        <f aca="false">IF(ABS(F345-F333)&lt;0.05,0,F345-F333)</f>
        <v>10.8587736874103</v>
      </c>
      <c r="V345" s="164" t="n">
        <f aca="false">IF(ABS(F345/F333-1)&lt;0.0005,0,(F345/F333-1))</f>
        <v>0.102015063815401</v>
      </c>
      <c r="W345" s="57" t="n">
        <f aca="false">(F345/1.2)-57.95</f>
        <v>39.8013494129828</v>
      </c>
      <c r="X345" s="163" t="n">
        <f aca="false">IF(ABS(W345-W344)&lt;0.05,0,W345-W344)</f>
        <v>-1.7403172536839</v>
      </c>
      <c r="Y345" s="184" t="n">
        <f aca="false">IF(ABS(W345/W344-1)&lt;0.0005,0,(W345/W344-1))</f>
        <v>-0.0418932939703245</v>
      </c>
      <c r="Z345" s="163" t="n">
        <f aca="false">IF(ABS(W345-W333)&lt;0.05,0,W345-W333)</f>
        <v>9.04897807284189</v>
      </c>
      <c r="AA345" s="155" t="n">
        <f aca="false">IF(ABS(W345/W333-1)&lt;0.0005,0,(W345/W333-1))</f>
        <v>0.294253017848751</v>
      </c>
      <c r="AB345" s="185"/>
      <c r="AC345" s="57" t="n">
        <f aca="false">IF(ABS(G345-G344)&lt;0.05,0,G345-G344)</f>
        <v>-2.44803199999998</v>
      </c>
      <c r="AD345" s="164" t="n">
        <f aca="false">IF(ABS(G345/G344-1)&lt;0.0005,0,(G345/G344-1))</f>
        <v>-0.0200100702958965</v>
      </c>
      <c r="AE345" s="163" t="n">
        <f aca="false">IF(ABS(G345-G333)&lt;0.05,0,G345-G333)</f>
        <v>12.948547</v>
      </c>
      <c r="AF345" s="164" t="n">
        <f aca="false">IF(ABS(G345/G333-1)&lt;0.0005,0,(G345/G333-1))</f>
        <v>0.121078481302744</v>
      </c>
      <c r="AG345" s="57" t="n">
        <f aca="false">(G345/1.2)-57.95</f>
        <v>41.9599733333334</v>
      </c>
      <c r="AH345" s="163" t="n">
        <f aca="false">IF(ABS(AG345-AG344)&lt;0.05,0,AG345-AG344)</f>
        <v>-2.04002666666665</v>
      </c>
      <c r="AI345" s="164" t="n">
        <f aca="false">IF(ABS(AG345/AG344-1)&lt;0.0005,0,(AG345/AG344-1))</f>
        <v>-0.046364242424242</v>
      </c>
      <c r="AJ345" s="163" t="n">
        <f aca="false">IF(ABS(AG345-AG333)&lt;0.05,0,AG345-AG333)</f>
        <v>10.7904558333334</v>
      </c>
      <c r="AK345" s="155" t="n">
        <f aca="false">IF(ABS(AG345/AG333-1)&lt;0.0005,0,(AG345/AG333-1))</f>
        <v>0.34618616837214</v>
      </c>
      <c r="AL345" s="185"/>
      <c r="AM345" s="156" t="n">
        <f aca="false">IF(E345="..","",A345)</f>
        <v>42826</v>
      </c>
      <c r="AN345" s="57" t="n">
        <f aca="false">IF(ABS(E345-E344)&lt;0.05,0,E345-E344)</f>
        <v>-1.68934886977395</v>
      </c>
      <c r="AO345" s="164" t="n">
        <f aca="false">IF(ABS(E345/E344-1)&lt;0.0005,0,(E345/E344-1))</f>
        <v>-0.0131569226617909</v>
      </c>
      <c r="AP345" s="163" t="n">
        <f aca="false">IF(ABS(E345-E333)&lt;0.05,0,E345-E333)</f>
        <v>11.6946879375875</v>
      </c>
      <c r="AQ345" s="164" t="n">
        <f aca="false">IF(ABS(E345/E333-1)&lt;0.0005,0,(E345/E333-1))</f>
        <v>0.101678824512388</v>
      </c>
      <c r="AR345" s="57" t="n">
        <f aca="false">(E345/1.2)-57.95</f>
        <v>47.6422092751884</v>
      </c>
      <c r="AS345" s="163" t="n">
        <f aca="false">IF(ABS(AR345-AR344)&lt;0.05,0,AR345-AR344)</f>
        <v>-1.40779072481163</v>
      </c>
      <c r="AT345" s="164" t="n">
        <f aca="false">IF(ABS(AR345/AR344-1)&lt;0.0005,0,(AR345/AR344-1))</f>
        <v>-0.0287011360817866</v>
      </c>
      <c r="AU345" s="163" t="n">
        <f aca="false">IF(ABS(AR345-AR333)&lt;0.05,0,AR345-AR333)</f>
        <v>9.74557328132295</v>
      </c>
      <c r="AV345" s="155" t="n">
        <f aca="false">IF(ABS(AR345/AR333-1)&lt;0.0005,0,(AR345/AR333-1))</f>
        <v>0.257161962420636</v>
      </c>
      <c r="AW345" s="185"/>
      <c r="AX345" s="163" t="n">
        <f aca="false">IF(ABS(H345-H344)&lt;0.05,0,H345-H344)</f>
        <v>0.192</v>
      </c>
      <c r="AY345" s="164" t="n">
        <f aca="false">IF(ABS(H345/H344-1)&lt;0.0005,0,(H345/H344-1))</f>
        <v>0.00485093481556342</v>
      </c>
      <c r="AZ345" s="163" t="n">
        <f aca="false">IF(ABS(H345-H333)&lt;0.05,0,H345-H333)</f>
        <v>12.374</v>
      </c>
      <c r="BA345" s="164" t="n">
        <f aca="false">IF(ABS(H345/H333-1)&lt;0.0005,0,(H345/H333-1))</f>
        <v>0.451638805752244</v>
      </c>
      <c r="BB345" s="57" t="n">
        <f aca="false">(H345/1.05)</f>
        <v>37.8780952380952</v>
      </c>
      <c r="BC345" s="163" t="n">
        <f aca="false">IF(ABS(BB345-BB344)&lt;0.05,0,BB345-BB344)</f>
        <v>0.182857142857145</v>
      </c>
      <c r="BD345" s="164" t="n">
        <f aca="false">IF(ABS(BB345/BB344-1)&lt;0.0005,0,(BB345/BB344-1))</f>
        <v>0.00485093481556342</v>
      </c>
      <c r="BE345" s="163" t="n">
        <f aca="false">IF(ABS(BB345-BB333)&lt;0.05,0,BB345-BB333)</f>
        <v>11.7847619047619</v>
      </c>
      <c r="BF345" s="155" t="n">
        <f aca="false">IF(ABS(BB345/BB333-1)&lt;0.0005,0,(BB345/BB333-1))</f>
        <v>0.451638805752244</v>
      </c>
      <c r="BG345" s="191"/>
      <c r="BH345" s="163" t="n">
        <f aca="false">IF(ABS(I345-I344)&lt;0.05,0,I345-I344)</f>
        <v>-0.789132000000002</v>
      </c>
      <c r="BI345" s="164" t="n">
        <f aca="false">IF(ABS(I345/I344-1)&lt;0.0005,0,(I345/I344-1))</f>
        <v>-0.0151145757517718</v>
      </c>
      <c r="BJ345" s="163" t="n">
        <f aca="false">IF(ABS(I345-I333)&lt;0.05,0,I345-I333)</f>
        <v>12.584894</v>
      </c>
      <c r="BK345" s="164" t="n">
        <f aca="false">IF(ABS(I345/I333-1)&lt;0.0005,0,(I345/I333-1))</f>
        <v>0.324052488035964</v>
      </c>
      <c r="BL345" s="57" t="n">
        <f aca="false">(I345/1.05)-11.14</f>
        <v>37.8322552380952</v>
      </c>
      <c r="BM345" s="163" t="n">
        <f aca="false">IF(ABS(BL345-BL344)&lt;0.05,0,BL345-BL344)</f>
        <v>-0.751554285714285</v>
      </c>
      <c r="BN345" s="164" t="n">
        <f aca="false">IF(ABS(BL345/BL344-1)&lt;0.0005,0,(BL345/BL344-1))</f>
        <v>-0.0194784883864438</v>
      </c>
      <c r="BO345" s="163" t="n">
        <f aca="false">IF(ABS(BL345-BL333)&lt;0.05,0,BL345-BL333)</f>
        <v>11.9856133333333</v>
      </c>
      <c r="BP345" s="155" t="n">
        <f aca="false">IF(ABS(BL345/BL333-1)&lt;0.0005,0,(BL345/BL333-1))</f>
        <v>0.463720330768584</v>
      </c>
      <c r="BQ345" s="191"/>
    </row>
    <row r="346" customFormat="false" ht="12.75" hidden="false" customHeight="true" outlineLevel="0" collapsed="false">
      <c r="A346" s="156" t="n">
        <v>42856</v>
      </c>
      <c r="B346" s="73" t="n">
        <v>2017</v>
      </c>
      <c r="C346" s="157" t="s">
        <v>63</v>
      </c>
      <c r="D346" s="189"/>
      <c r="E346" s="159" t="n">
        <v>125.007328465693</v>
      </c>
      <c r="F346" s="159" t="n">
        <v>115.521196413678</v>
      </c>
      <c r="G346" s="159" t="n">
        <v>117.398356</v>
      </c>
      <c r="H346" s="159" t="n">
        <v>36.472</v>
      </c>
      <c r="I346" s="159" t="n">
        <v>47.96498</v>
      </c>
      <c r="J346" s="159"/>
      <c r="K346" s="159" t="n">
        <v>75.4555712056013</v>
      </c>
      <c r="L346" s="159"/>
      <c r="M346" s="160" t="n">
        <f aca="false">G346-F346</f>
        <v>1.87715958632243</v>
      </c>
      <c r="N346" s="75"/>
      <c r="O346" s="190"/>
      <c r="P346" s="75"/>
      <c r="Q346" s="190"/>
      <c r="R346" s="191"/>
      <c r="S346" s="57" t="n">
        <f aca="false">IF(ABS(F346-F345)&lt;0.05,0,F346-F345)</f>
        <v>-1.78042288190176</v>
      </c>
      <c r="T346" s="178" t="n">
        <f aca="false">IF((ABS(G346/G345-1))&lt;0.0005,0,(G346/G345-1))</f>
        <v>-0.0207988244883929</v>
      </c>
      <c r="U346" s="163" t="n">
        <f aca="false">IF(ABS(F346-F334)&lt;0.05,0,F346-F334)</f>
        <v>7.08708401964681</v>
      </c>
      <c r="V346" s="164" t="n">
        <f aca="false">IF(ABS(F346/F334-1)&lt;0.0005,0,(F346/F334-1))</f>
        <v>0.0653584362261719</v>
      </c>
      <c r="W346" s="57" t="n">
        <f aca="false">(F346/1.2)-57.95</f>
        <v>38.3176636780647</v>
      </c>
      <c r="X346" s="163" t="n">
        <f aca="false">IF(ABS(W346-W345)&lt;0.05,0,W346-W345)</f>
        <v>-1.48368573491813</v>
      </c>
      <c r="Y346" s="184" t="n">
        <f aca="false">IF(ABS(W346/W345-1)&lt;0.0005,0,(W346/W345-1))</f>
        <v>-0.0372772721729421</v>
      </c>
      <c r="Z346" s="163" t="n">
        <f aca="false">IF(ABS(W346-W334)&lt;0.05,0,W346-W334)</f>
        <v>5.90590334970568</v>
      </c>
      <c r="AA346" s="155" t="n">
        <f aca="false">IF(ABS(W346/W334-1)&lt;0.0005,0,(W346/W334-1))</f>
        <v>0.182214828502797</v>
      </c>
      <c r="AB346" s="185"/>
      <c r="AC346" s="57" t="n">
        <f aca="false">IF(ABS(G346-G345)&lt;0.05,0,G346-G345)</f>
        <v>-2.49361200000001</v>
      </c>
      <c r="AD346" s="164" t="n">
        <f aca="false">IF(ABS(G346/G345-1)&lt;0.0005,0,(G346/G345-1))</f>
        <v>-0.0207988244883929</v>
      </c>
      <c r="AE346" s="163" t="n">
        <f aca="false">IF(ABS(G346-G334)&lt;0.05,0,G346-G334)</f>
        <v>8.32746199999998</v>
      </c>
      <c r="AF346" s="164" t="n">
        <f aca="false">IF(ABS(G346/G334-1)&lt;0.0005,0,(G346/G334-1))</f>
        <v>0.0763490762255967</v>
      </c>
      <c r="AG346" s="57" t="n">
        <f aca="false">(G346/1.2)-57.95</f>
        <v>39.8819633333333</v>
      </c>
      <c r="AH346" s="163" t="n">
        <f aca="false">IF(ABS(AG346-AG345)&lt;0.05,0,AG346-AG345)</f>
        <v>-2.07801000000001</v>
      </c>
      <c r="AI346" s="164" t="n">
        <f aca="false">IF(ABS(AG346/AG345-1)&lt;0.0005,0,(AG346/AG345-1))</f>
        <v>-0.049523625372498</v>
      </c>
      <c r="AJ346" s="163" t="n">
        <f aca="false">IF(ABS(AG346-AG334)&lt;0.05,0,AG346-AG334)</f>
        <v>6.93955166666666</v>
      </c>
      <c r="AK346" s="155" t="n">
        <f aca="false">IF(ABS(AG346/AG334-1)&lt;0.0005,0,(AG346/AG334-1))</f>
        <v>0.210657062296643</v>
      </c>
      <c r="AL346" s="185"/>
      <c r="AM346" s="156" t="n">
        <f aca="false">IF(E346="..","",A346)</f>
        <v>42856</v>
      </c>
      <c r="AN346" s="57" t="n">
        <f aca="false">IF(ABS(E346-E345)&lt;0.05,0,E346-E345)</f>
        <v>-1.70332266453293</v>
      </c>
      <c r="AO346" s="164" t="n">
        <f aca="false">IF(ABS(E346/E345-1)&lt;0.0005,0,(E346/E345-1))</f>
        <v>-0.0134426163021004</v>
      </c>
      <c r="AP346" s="163" t="n">
        <f aca="false">IF(ABS(E346-E334)&lt;0.05,0,E346-E334)</f>
        <v>7.81816963392676</v>
      </c>
      <c r="AQ346" s="164" t="n">
        <f aca="false">IF(ABS(E346/E334-1)&lt;0.0005,0,(E346/E334-1))</f>
        <v>0.0667141031804002</v>
      </c>
      <c r="AR346" s="57" t="n">
        <f aca="false">(E346/1.2)-57.95</f>
        <v>46.2227737214109</v>
      </c>
      <c r="AS346" s="163" t="n">
        <f aca="false">IF(ABS(AR346-AR345)&lt;0.05,0,AR346-AR345)</f>
        <v>-1.41943555377745</v>
      </c>
      <c r="AT346" s="164" t="n">
        <f aca="false">IF(ABS(AR346/AR345-1)&lt;0.0005,0,(AR346/AR345-1))</f>
        <v>-0.029793655151015</v>
      </c>
      <c r="AU346" s="163" t="n">
        <f aca="false">IF(ABS(AR346-AR334)&lt;0.05,0,AR346-AR334)</f>
        <v>6.51514136160563</v>
      </c>
      <c r="AV346" s="155" t="n">
        <f aca="false">IF(ABS(AR346/AR334-1)&lt;0.0005,0,(AR346/AR334-1))</f>
        <v>0.164077810093777</v>
      </c>
      <c r="AW346" s="185"/>
      <c r="AX346" s="163" t="n">
        <f aca="false">IF(ABS(H346-H345)&lt;0.05,0,H346-H345)</f>
        <v>-3.3</v>
      </c>
      <c r="AY346" s="164" t="n">
        <f aca="false">IF(ABS(H346/H345-1)&lt;0.0005,0,(H346/H345-1))</f>
        <v>-0.0829729457910087</v>
      </c>
      <c r="AZ346" s="163" t="n">
        <f aca="false">IF(ABS(H346-H334)&lt;0.05,0,H346-H334)</f>
        <v>6.914</v>
      </c>
      <c r="BA346" s="164" t="n">
        <f aca="false">IF(ABS(H346/H334-1)&lt;0.0005,0,(H346/H334-1))</f>
        <v>0.233912984640368</v>
      </c>
      <c r="BB346" s="57" t="n">
        <f aca="false">(H346/1.05)</f>
        <v>34.7352380952381</v>
      </c>
      <c r="BC346" s="163" t="n">
        <f aca="false">IF(ABS(BB346-BB345)&lt;0.05,0,BB346-BB345)</f>
        <v>-3.14285714285714</v>
      </c>
      <c r="BD346" s="164" t="n">
        <f aca="false">IF(ABS(BB346/BB345-1)&lt;0.0005,0,(BB346/BB345-1))</f>
        <v>-0.0829729457910087</v>
      </c>
      <c r="BE346" s="163" t="n">
        <f aca="false">IF(ABS(BB346-BB334)&lt;0.05,0,BB346-BB334)</f>
        <v>6.5847619047619</v>
      </c>
      <c r="BF346" s="155" t="n">
        <f aca="false">IF(ABS(BB346/BB334-1)&lt;0.0005,0,(BB346/BB334-1))</f>
        <v>0.233912984640368</v>
      </c>
      <c r="BG346" s="191"/>
      <c r="BH346" s="163" t="n">
        <f aca="false">IF(ABS(I346-I345)&lt;0.05,0,I346-I345)</f>
        <v>-3.45588799999999</v>
      </c>
      <c r="BI346" s="164" t="n">
        <f aca="false">IF(ABS(I346/I345-1)&lt;0.0005,0,(I346/I345-1))</f>
        <v>-0.0672078892172725</v>
      </c>
      <c r="BJ346" s="163" t="n">
        <f aca="false">IF(ABS(I346-I334)&lt;0.05,0,I346-I334)</f>
        <v>5.886554</v>
      </c>
      <c r="BK346" s="164" t="n">
        <f aca="false">IF(ABS(I346/I334-1)&lt;0.0005,0,(I346/I334-1))</f>
        <v>0.139894824012666</v>
      </c>
      <c r="BL346" s="57" t="n">
        <f aca="false">(I346/1.05)-11.14</f>
        <v>34.5409333333333</v>
      </c>
      <c r="BM346" s="163" t="n">
        <f aca="false">IF(ABS(BL346-BL345)&lt;0.05,0,BL346-BL345)</f>
        <v>-3.2913219047619</v>
      </c>
      <c r="BN346" s="164" t="n">
        <f aca="false">IF(ABS(BL346/BL345-1)&lt;0.0005,0,(BL346/BL345-1))</f>
        <v>-0.0869977717174973</v>
      </c>
      <c r="BO346" s="163" t="n">
        <f aca="false">IF(ABS(BL346-BL334)&lt;0.05,0,BL346-BL334)</f>
        <v>5.60624190476191</v>
      </c>
      <c r="BP346" s="155" t="n">
        <f aca="false">IF(ABS(BL346/BL334-1)&lt;0.0005,0,(BL346/BL334-1))</f>
        <v>0.193755026508631</v>
      </c>
      <c r="BQ346" s="191"/>
    </row>
    <row r="347" customFormat="false" ht="12.75" hidden="false" customHeight="true" outlineLevel="0" collapsed="false">
      <c r="A347" s="156" t="n">
        <v>42887</v>
      </c>
      <c r="B347" s="73" t="n">
        <v>2017</v>
      </c>
      <c r="C347" s="157" t="s">
        <v>64</v>
      </c>
      <c r="D347" s="189"/>
      <c r="E347" s="159" t="n">
        <v>124.956049209842</v>
      </c>
      <c r="F347" s="159" t="n">
        <v>115.548423451797</v>
      </c>
      <c r="G347" s="159" t="n">
        <v>117.536351</v>
      </c>
      <c r="H347" s="159" t="n">
        <v>35.731</v>
      </c>
      <c r="I347" s="159" t="n">
        <v>45.579841</v>
      </c>
      <c r="J347" s="178"/>
      <c r="K347" s="159" t="n">
        <v>71.2510400811281</v>
      </c>
      <c r="L347" s="159"/>
      <c r="M347" s="160" t="n">
        <f aca="false">G347-F347</f>
        <v>1.98792754820265</v>
      </c>
      <c r="N347" s="75"/>
      <c r="O347" s="190"/>
      <c r="P347" s="190"/>
      <c r="Q347" s="190"/>
      <c r="R347" s="191"/>
      <c r="S347" s="57" t="n">
        <f aca="false">IF(ABS(F347-F346)&lt;0.05,0,F347-F346)</f>
        <v>0</v>
      </c>
      <c r="T347" s="178" t="n">
        <f aca="false">IF((ABS(G347/G346-1))&lt;0.0005,0,(G347/G346-1))</f>
        <v>0.00117544235457601</v>
      </c>
      <c r="U347" s="163" t="n">
        <f aca="false">IF(ABS(F347-F335)&lt;0.05,0,F347-F335)</f>
        <v>4.58500943933538</v>
      </c>
      <c r="V347" s="164" t="n">
        <f aca="false">IF(ABS(F347/F335-1)&lt;0.0005,0,(F347/F335-1))</f>
        <v>0.0413200105651079</v>
      </c>
      <c r="W347" s="57" t="n">
        <f aca="false">(F347/1.2)-57.95</f>
        <v>38.3403528764978</v>
      </c>
      <c r="X347" s="163" t="n">
        <f aca="false">IF(ABS(W347-W346)&lt;0.05,0,W347-W346)</f>
        <v>0</v>
      </c>
      <c r="Y347" s="184" t="n">
        <f aca="false">IF(ABS(W347/W346-1)&lt;0.0005,0,(W347/W346-1))</f>
        <v>0.000592134181869319</v>
      </c>
      <c r="Z347" s="163" t="n">
        <f aca="false">IF(ABS(W347-W335)&lt;0.05,0,W347-W335)</f>
        <v>3.82084119944615</v>
      </c>
      <c r="AA347" s="155" t="n">
        <f aca="false">IF(ABS(W347/W335-1)&lt;0.0005,0,(W347/W335-1))</f>
        <v>0.110686420920207</v>
      </c>
      <c r="AB347" s="185"/>
      <c r="AC347" s="57" t="n">
        <f aca="false">IF(ABS(G347-G346)&lt;0.05,0,G347-G346)</f>
        <v>0.137995000000004</v>
      </c>
      <c r="AD347" s="164" t="n">
        <f aca="false">IF(ABS(G347/G346-1)&lt;0.0005,0,(G347/G346-1))</f>
        <v>0.00117544235457601</v>
      </c>
      <c r="AE347" s="163" t="n">
        <f aca="false">IF(ABS(G347-G335)&lt;0.05,0,G347-G335)</f>
        <v>5.67935800000001</v>
      </c>
      <c r="AF347" s="164" t="n">
        <f aca="false">IF(ABS(G347/G335-1)&lt;0.0005,0,(G347/G335-1))</f>
        <v>0.0507733834754525</v>
      </c>
      <c r="AG347" s="57" t="n">
        <f aca="false">(G347/1.2)-57.95</f>
        <v>39.9969591666667</v>
      </c>
      <c r="AH347" s="163" t="n">
        <f aca="false">IF(ABS(AG347-AG346)&lt;0.05,0,AG347-AG346)</f>
        <v>0.114995833333325</v>
      </c>
      <c r="AI347" s="164" t="n">
        <f aca="false">IF(ABS(AG347/AG346-1)&lt;0.0005,0,(AG347/AG346-1))</f>
        <v>0.00288340451978719</v>
      </c>
      <c r="AJ347" s="163" t="n">
        <f aca="false">IF(ABS(AG347-AG335)&lt;0.05,0,AG347-AG335)</f>
        <v>4.73279833333334</v>
      </c>
      <c r="AK347" s="155" t="n">
        <f aca="false">IF(ABS(AG347/AG335-1)&lt;0.0005,0,(AG347/AG335-1))</f>
        <v>0.134209866943996</v>
      </c>
      <c r="AL347" s="185"/>
      <c r="AM347" s="156" t="n">
        <f aca="false">IF(E347="..","",A347)</f>
        <v>42887</v>
      </c>
      <c r="AN347" s="57" t="n">
        <f aca="false">IF(ABS(E347-E346)&lt;0.05,0,E347-E346)</f>
        <v>-0.0512792558511705</v>
      </c>
      <c r="AO347" s="164" t="n">
        <f aca="false">IF(ABS(E347/E346-1)&lt;0.0005,0,(E347/E346-1))</f>
        <v>0</v>
      </c>
      <c r="AP347" s="163" t="n">
        <f aca="false">IF(ABS(E347-E335)&lt;0.05,0,E347-E335)</f>
        <v>5.24219343868769</v>
      </c>
      <c r="AQ347" s="164" t="n">
        <f aca="false">IF(ABS(E347/E335-1)&lt;0.0005,0,(E347/E335-1))</f>
        <v>0.0437893626006727</v>
      </c>
      <c r="AR347" s="57" t="n">
        <f aca="false">(E347/1.2)-57.95</f>
        <v>46.1800410082016</v>
      </c>
      <c r="AS347" s="163" t="n">
        <f aca="false">IF(ABS(AR347-AR346)&lt;0.05,0,AR347-AR346)</f>
        <v>0</v>
      </c>
      <c r="AT347" s="164" t="n">
        <f aca="false">IF(ABS(AR347/AR346-1)&lt;0.0005,0,(AR347/AR346-1))</f>
        <v>-0.000924494784039998</v>
      </c>
      <c r="AU347" s="163" t="n">
        <f aca="false">IF(ABS(AR347-AR335)&lt;0.05,0,AR347-AR335)</f>
        <v>4.36849453223975</v>
      </c>
      <c r="AV347" s="155" t="n">
        <f aca="false">IF(ABS(AR347/AR335-1)&lt;0.0005,0,(AR347/AR335-1))</f>
        <v>0.104480577745462</v>
      </c>
      <c r="AW347" s="185"/>
      <c r="AX347" s="163" t="n">
        <f aca="false">IF(ABS(H347-H346)&lt;0.05,0,H347-H346)</f>
        <v>-0.741</v>
      </c>
      <c r="AY347" s="164" t="n">
        <f aca="false">IF(ABS(H347/H346-1)&lt;0.0005,0,(H347/H346-1))</f>
        <v>-0.0203169554726914</v>
      </c>
      <c r="AZ347" s="163" t="n">
        <f aca="false">IF(ABS(H347-H335)&lt;0.05,0,H347-H335)</f>
        <v>3.726</v>
      </c>
      <c r="BA347" s="164" t="n">
        <f aca="false">IF(ABS(H347/H335-1)&lt;0.0005,0,(H347/H335-1))</f>
        <v>0.116419309482893</v>
      </c>
      <c r="BB347" s="57" t="n">
        <f aca="false">(H347/1.05)</f>
        <v>34.0295238095238</v>
      </c>
      <c r="BC347" s="163" t="n">
        <f aca="false">IF(ABS(BB347-BB346)&lt;0.05,0,BB347-BB346)</f>
        <v>-0.705714285714286</v>
      </c>
      <c r="BD347" s="164" t="n">
        <f aca="false">IF(ABS(BB347/BB346-1)&lt;0.0005,0,(BB347/BB346-1))</f>
        <v>-0.0203169554726914</v>
      </c>
      <c r="BE347" s="163" t="n">
        <f aca="false">IF(ABS(BB347-BB335)&lt;0.05,0,BB347-BB335)</f>
        <v>3.54857142857143</v>
      </c>
      <c r="BF347" s="155" t="n">
        <f aca="false">IF(ABS(BB347/BB335-1)&lt;0.0005,0,(BB347/BB335-1))</f>
        <v>0.116419309482893</v>
      </c>
      <c r="BG347" s="191"/>
      <c r="BH347" s="163" t="n">
        <f aca="false">IF(ABS(I347-I346)&lt;0.05,0,I347-I346)</f>
        <v>-2.38513900000001</v>
      </c>
      <c r="BI347" s="164" t="n">
        <f aca="false">IF(ABS(I347/I346-1)&lt;0.0005,0,(I347/I346-1))</f>
        <v>-0.0497266755870639</v>
      </c>
      <c r="BJ347" s="163" t="n">
        <f aca="false">IF(ABS(I347-I335)&lt;0.05,0,I347-I335)</f>
        <v>1.28053299999999</v>
      </c>
      <c r="BK347" s="164" t="n">
        <f aca="false">IF(ABS(I347/I335-1)&lt;0.0005,0,(I347/I335-1))</f>
        <v>0.0289063883345535</v>
      </c>
      <c r="BL347" s="57" t="n">
        <f aca="false">(I347/1.05)-11.14</f>
        <v>32.2693723809524</v>
      </c>
      <c r="BM347" s="163" t="n">
        <f aca="false">IF(ABS(BL347-BL346)&lt;0.05,0,BL347-BL346)</f>
        <v>-2.27156095238096</v>
      </c>
      <c r="BN347" s="164" t="n">
        <f aca="false">IF(ABS(BL347/BL346-1)&lt;0.0005,0,(BL347/BL346-1))</f>
        <v>-0.0657643188288956</v>
      </c>
      <c r="BO347" s="163" t="n">
        <f aca="false">IF(ABS(BL347-BL335)&lt;0.05,0,BL347-BL335)</f>
        <v>1.21955523809523</v>
      </c>
      <c r="BP347" s="155" t="n">
        <f aca="false">IF(ABS(BL347/BL335-1)&lt;0.0005,0,(BL347/BL335-1))</f>
        <v>0.0392773726326368</v>
      </c>
      <c r="BQ347" s="191"/>
    </row>
    <row r="348" customFormat="false" ht="12.75" hidden="false" customHeight="true" outlineLevel="0" collapsed="false">
      <c r="A348" s="156" t="n">
        <v>42917</v>
      </c>
      <c r="B348" s="73" t="n">
        <v>2017</v>
      </c>
      <c r="C348" s="157" t="s">
        <v>65</v>
      </c>
      <c r="D348" s="189"/>
      <c r="E348" s="159" t="n">
        <v>123.126399279856</v>
      </c>
      <c r="F348" s="159" t="n">
        <v>113.904538918027</v>
      </c>
      <c r="G348" s="159" t="n">
        <v>115.397125</v>
      </c>
      <c r="H348" s="159" t="n">
        <v>34.987</v>
      </c>
      <c r="I348" s="159" t="n">
        <v>46.466909</v>
      </c>
      <c r="J348" s="178"/>
      <c r="K348" s="159" t="n">
        <v>71.4889140532179</v>
      </c>
      <c r="L348" s="159"/>
      <c r="M348" s="160" t="n">
        <f aca="false">G348-F348</f>
        <v>1.49258608197314</v>
      </c>
      <c r="N348" s="75"/>
      <c r="O348" s="190"/>
      <c r="P348" s="190"/>
      <c r="Q348" s="190"/>
      <c r="R348" s="191"/>
      <c r="S348" s="57" t="n">
        <f aca="false">IF(ABS(F348-F347)&lt;0.05,0,F348-F347)</f>
        <v>-1.64388453377049</v>
      </c>
      <c r="T348" s="178" t="n">
        <f aca="false">IF((ABS(G348/G347-1))&lt;0.0005,0,(G348/G347-1))</f>
        <v>-0.018200548015992</v>
      </c>
      <c r="U348" s="163" t="n">
        <f aca="false">IF(ABS(F348-F336)&lt;0.05,0,F348-F336)</f>
        <v>2.24163355439728</v>
      </c>
      <c r="V348" s="164" t="n">
        <f aca="false">IF(ABS(F348/F336-1)&lt;0.0005,0,(F348/F336-1))</f>
        <v>0.0200750065305699</v>
      </c>
      <c r="W348" s="57" t="n">
        <f aca="false">(F348/1.2)-57.95</f>
        <v>36.9704490983557</v>
      </c>
      <c r="X348" s="163" t="n">
        <f aca="false">IF(ABS(W348-W347)&lt;0.05,0,W348-W347)</f>
        <v>-1.36990377814207</v>
      </c>
      <c r="Y348" s="184" t="n">
        <f aca="false">IF(ABS(W348/W347-1)&lt;0.0005,0,(W348/W347-1))</f>
        <v>-0.0357300774605497</v>
      </c>
      <c r="Z348" s="163" t="n">
        <f aca="false">IF(ABS(W348-W336)&lt;0.05,0,W348-W336)</f>
        <v>1.86802796199774</v>
      </c>
      <c r="AA348" s="155" t="n">
        <f aca="false">IF(ABS(W348/W336-1)&lt;0.0005,0,(W348/W336-1))</f>
        <v>0.0532164990768371</v>
      </c>
      <c r="AB348" s="185"/>
      <c r="AC348" s="57" t="n">
        <f aca="false">IF(ABS(G348-G347)&lt;0.05,0,G348-G347)</f>
        <v>-2.13922599999999</v>
      </c>
      <c r="AD348" s="164" t="n">
        <f aca="false">IF(ABS(G348/G347-1)&lt;0.0005,0,(G348/G347-1))</f>
        <v>-0.018200548015992</v>
      </c>
      <c r="AE348" s="163" t="n">
        <f aca="false">IF(ABS(G348-G336)&lt;0.05,0,G348-G336)</f>
        <v>2.74628</v>
      </c>
      <c r="AF348" s="164" t="n">
        <f aca="false">IF(ABS(G348/G336-1)&lt;0.0005,0,(G348/G336-1))</f>
        <v>0.0243786897470675</v>
      </c>
      <c r="AG348" s="57" t="n">
        <f aca="false">(G348/1.2)-57.95</f>
        <v>38.2142708333333</v>
      </c>
      <c r="AH348" s="163" t="n">
        <f aca="false">IF(ABS(AG348-AG347)&lt;0.05,0,AG348-AG347)</f>
        <v>-1.78268833333333</v>
      </c>
      <c r="AI348" s="164" t="n">
        <f aca="false">IF(ABS(AG348/AG347-1)&lt;0.0005,0,(AG348/AG347-1))</f>
        <v>-0.044570596627231</v>
      </c>
      <c r="AJ348" s="163" t="n">
        <f aca="false">IF(ABS(AG348-AG336)&lt;0.05,0,AG348-AG336)</f>
        <v>2.28856666666667</v>
      </c>
      <c r="AK348" s="155" t="n">
        <f aca="false">IF(ABS(AG348/AG336-1)&lt;0.0005,0,(AG348/AG336-1))</f>
        <v>0.0637027643508263</v>
      </c>
      <c r="AL348" s="185"/>
      <c r="AM348" s="156" t="n">
        <f aca="false">IF(E348="..","",A348)</f>
        <v>42917</v>
      </c>
      <c r="AN348" s="57" t="n">
        <f aca="false">IF(ABS(E348-E347)&lt;0.05,0,E348-E347)</f>
        <v>-1.82964992998596</v>
      </c>
      <c r="AO348" s="164" t="n">
        <f aca="false">IF(ABS(E348/E347-1)&lt;0.0005,0,(E348/E347-1))</f>
        <v>-0.014642347781926</v>
      </c>
      <c r="AP348" s="163" t="n">
        <f aca="false">IF(ABS(E348-E336)&lt;0.05,0,E348-E336)</f>
        <v>2.66964192838569</v>
      </c>
      <c r="AQ348" s="164" t="n">
        <f aca="false">IF(ABS(E348/E336-1)&lt;0.0005,0,(E348/E336-1))</f>
        <v>0.0221626580947731</v>
      </c>
      <c r="AR348" s="57" t="n">
        <f aca="false">(E348/1.2)-57.95</f>
        <v>44.6553327332133</v>
      </c>
      <c r="AS348" s="163" t="n">
        <f aca="false">IF(ABS(AR348-AR347)&lt;0.05,0,AR348-AR347)</f>
        <v>-1.5247082749883</v>
      </c>
      <c r="AT348" s="164" t="n">
        <f aca="false">IF(ABS(AR348/AR347-1)&lt;0.0005,0,(AR348/AR347-1))</f>
        <v>-0.0330166072117066</v>
      </c>
      <c r="AU348" s="163" t="n">
        <f aca="false">IF(ABS(AR348-AR336)&lt;0.05,0,AR348-AR336)</f>
        <v>2.22470160698808</v>
      </c>
      <c r="AV348" s="155" t="n">
        <f aca="false">IF(ABS(AR348/AR336-1)&lt;0.0005,0,(AR348/AR336-1))</f>
        <v>0.0524314993187327</v>
      </c>
      <c r="AW348" s="185"/>
      <c r="AX348" s="163" t="n">
        <f aca="false">IF(ABS(H348-H347)&lt;0.05,0,H348-H347)</f>
        <v>-0.744000000000007</v>
      </c>
      <c r="AY348" s="164" t="n">
        <f aca="false">IF(ABS(H348/H347-1)&lt;0.0005,0,(H348/H347-1))</f>
        <v>-0.0208222551845738</v>
      </c>
      <c r="AZ348" s="163" t="n">
        <f aca="false">IF(ABS(H348-H336)&lt;0.05,0,H348-H336)</f>
        <v>2.60399999999999</v>
      </c>
      <c r="BA348" s="164" t="n">
        <f aca="false">IF(ABS(H348/H336-1)&lt;0.0005,0,(H348/H336-1))</f>
        <v>0.0804125621468053</v>
      </c>
      <c r="BB348" s="57" t="n">
        <f aca="false">(H348/1.05)</f>
        <v>33.3209523809524</v>
      </c>
      <c r="BC348" s="163" t="n">
        <f aca="false">IF(ABS(BB348-BB347)&lt;0.05,0,BB348-BB347)</f>
        <v>-0.708571428571432</v>
      </c>
      <c r="BD348" s="164" t="n">
        <f aca="false">IF(ABS(BB348/BB347-1)&lt;0.0005,0,(BB348/BB347-1))</f>
        <v>-0.0208222551845737</v>
      </c>
      <c r="BE348" s="163" t="n">
        <f aca="false">IF(ABS(BB348-BB336)&lt;0.05,0,BB348-BB336)</f>
        <v>2.48</v>
      </c>
      <c r="BF348" s="155" t="n">
        <f aca="false">IF(ABS(BB348/BB336-1)&lt;0.0005,0,(BB348/BB336-1))</f>
        <v>0.0804125621468053</v>
      </c>
      <c r="BG348" s="191"/>
      <c r="BH348" s="163" t="n">
        <f aca="false">IF(ABS(I348-I347)&lt;0.05,0,I348-I347)</f>
        <v>0.887068000000014</v>
      </c>
      <c r="BI348" s="164" t="n">
        <f aca="false">IF(ABS(I348/I347-1)&lt;0.0005,0,(I348/I347-1))</f>
        <v>0.0194618493732792</v>
      </c>
      <c r="BJ348" s="163" t="n">
        <f aca="false">IF(ABS(I348-I336)&lt;0.05,0,I348-I336)</f>
        <v>1.97459700000001</v>
      </c>
      <c r="BK348" s="164" t="n">
        <f aca="false">IF(ABS(I348/I336-1)&lt;0.0005,0,(I348/I336-1))</f>
        <v>0.0443806336699251</v>
      </c>
      <c r="BL348" s="57" t="n">
        <f aca="false">(I348/1.05)-11.14</f>
        <v>33.1141990476191</v>
      </c>
      <c r="BM348" s="163" t="n">
        <f aca="false">IF(ABS(BL348-BL347)&lt;0.05,0,BL348-BL347)</f>
        <v>0.844826666666677</v>
      </c>
      <c r="BN348" s="164" t="n">
        <f aca="false">IF(ABS(BL348/BL347-1)&lt;0.0005,0,(BL348/BL347-1))</f>
        <v>0.0261804492722439</v>
      </c>
      <c r="BO348" s="163" t="n">
        <f aca="false">IF(ABS(BL348-BL336)&lt;0.05,0,BL348-BL336)</f>
        <v>1.88056857142858</v>
      </c>
      <c r="BP348" s="155" t="n">
        <f aca="false">IF(ABS(BL348/BL336-1)&lt;0.0005,0,(BL348/BL336-1))</f>
        <v>0.0602097336351004</v>
      </c>
      <c r="BQ348" s="191"/>
    </row>
    <row r="349" customFormat="false" ht="12.75" hidden="false" customHeight="true" outlineLevel="0" collapsed="false">
      <c r="A349" s="156" t="n">
        <v>42948</v>
      </c>
      <c r="B349" s="73" t="n">
        <v>2017</v>
      </c>
      <c r="C349" s="157" t="s">
        <v>66</v>
      </c>
      <c r="D349" s="189"/>
      <c r="E349" s="159" t="n">
        <v>125.180538107622</v>
      </c>
      <c r="F349" s="159" t="n">
        <v>115.64066330085</v>
      </c>
      <c r="G349" s="159" t="n">
        <v>117.346353</v>
      </c>
      <c r="H349" s="159" t="n">
        <v>36.915</v>
      </c>
      <c r="I349" s="159" t="n">
        <v>48.691034</v>
      </c>
      <c r="J349" s="178"/>
      <c r="K349" s="159" t="n">
        <v>76.962241104081</v>
      </c>
      <c r="L349" s="193"/>
      <c r="M349" s="160" t="n">
        <f aca="false">G349-F349</f>
        <v>1.70568969915017</v>
      </c>
      <c r="N349" s="192"/>
      <c r="O349" s="190"/>
      <c r="P349" s="190"/>
      <c r="Q349" s="190"/>
      <c r="R349" s="191"/>
      <c r="S349" s="57" t="n">
        <f aca="false">IF(ABS(F349-F348)&lt;0.05,0,F349-F348)</f>
        <v>1.73612438282298</v>
      </c>
      <c r="T349" s="178" t="n">
        <f aca="false">IF((ABS(G349/G348-1))&lt;0.0005,0,(G349/G348-1))</f>
        <v>0.0168914780155918</v>
      </c>
      <c r="U349" s="163" t="n">
        <f aca="false">IF(ABS(F349-F337)&lt;0.05,0,F349-F337)</f>
        <v>6.59105927899907</v>
      </c>
      <c r="V349" s="164" t="n">
        <f aca="false">IF(ABS(F349/F337-1)&lt;0.0005,0,(F349/F337-1))</f>
        <v>0.0604409281273355</v>
      </c>
      <c r="W349" s="57" t="n">
        <f aca="false">(F349/1.2)-57.95</f>
        <v>38.4172194173749</v>
      </c>
      <c r="X349" s="163" t="n">
        <f aca="false">IF(ABS(W349-W348)&lt;0.05,0,W349-W348)</f>
        <v>1.44677031901915</v>
      </c>
      <c r="Y349" s="184" t="n">
        <f aca="false">IF(ABS(W349/W348-1)&lt;0.0005,0,(W349/W348-1))</f>
        <v>0.039133155109103</v>
      </c>
      <c r="Z349" s="163" t="n">
        <f aca="false">IF(ABS(W349-W337)&lt;0.05,0,W349-W337)</f>
        <v>5.4925493991659</v>
      </c>
      <c r="AA349" s="155" t="n">
        <f aca="false">IF(ABS(W349/W337-1)&lt;0.0005,0,(W349/W337-1))</f>
        <v>0.16682169923429</v>
      </c>
      <c r="AB349" s="185"/>
      <c r="AC349" s="57" t="n">
        <f aca="false">IF(ABS(G349-G348)&lt;0.05,0,G349-G348)</f>
        <v>1.94922800000001</v>
      </c>
      <c r="AD349" s="164" t="n">
        <f aca="false">IF(ABS(G349/G348-1)&lt;0.0005,0,(G349/G348-1))</f>
        <v>0.0168914780155918</v>
      </c>
      <c r="AE349" s="163" t="n">
        <f aca="false">IF(ABS(G349-G337)&lt;0.05,0,G349-G337)</f>
        <v>6.66184300000002</v>
      </c>
      <c r="AF349" s="164" t="n">
        <f aca="false">IF(ABS(G349/G337-1)&lt;0.0005,0,(G349/G337-1))</f>
        <v>0.0601876721503309</v>
      </c>
      <c r="AG349" s="57" t="n">
        <f aca="false">(G349/1.2)-57.95</f>
        <v>39.8386275</v>
      </c>
      <c r="AH349" s="163" t="n">
        <f aca="false">IF(ABS(AG349-AG348)&lt;0.05,0,AG349-AG348)</f>
        <v>1.62435666666667</v>
      </c>
      <c r="AI349" s="164" t="n">
        <f aca="false">IF(ABS(AG349/AG348-1)&lt;0.0005,0,(AG349/AG348-1))</f>
        <v>0.042506546147409</v>
      </c>
      <c r="AJ349" s="163" t="n">
        <f aca="false">IF(ABS(AG349-AG337)&lt;0.05,0,AG349-AG337)</f>
        <v>5.55153583333335</v>
      </c>
      <c r="AK349" s="155" t="n">
        <f aca="false">IF(ABS(AG349/AG337-1)&lt;0.0005,0,(AG349/AG337-1))</f>
        <v>0.161913290497323</v>
      </c>
      <c r="AL349" s="185"/>
      <c r="AM349" s="156" t="n">
        <f aca="false">IF(E349="..","",A349)</f>
        <v>42948</v>
      </c>
      <c r="AN349" s="57" t="n">
        <f aca="false">IF(ABS(E349-E348)&lt;0.05,0,E349-E348)</f>
        <v>2.05413882776553</v>
      </c>
      <c r="AO349" s="164" t="n">
        <f aca="false">IF(ABS(E349/E348-1)&lt;0.0005,0,(E349/E348-1))</f>
        <v>0.0166831714382929</v>
      </c>
      <c r="AP349" s="163" t="n">
        <f aca="false">IF(ABS(E349-E337)&lt;0.05,0,E349-E337)</f>
        <v>6.82587317463494</v>
      </c>
      <c r="AQ349" s="164" t="n">
        <f aca="false">IF(ABS(E349/E337-1)&lt;0.0005,0,(E349/E337-1))</f>
        <v>0.0576730387306643</v>
      </c>
      <c r="AR349" s="57" t="n">
        <f aca="false">(E349/1.2)-57.95</f>
        <v>46.3671150896846</v>
      </c>
      <c r="AS349" s="163" t="n">
        <f aca="false">IF(ABS(AR349-AR348)&lt;0.05,0,AR349-AR348)</f>
        <v>1.71178235647128</v>
      </c>
      <c r="AT349" s="164" t="n">
        <f aca="false">IF(ABS(AR349/AR348-1)&lt;0.0005,0,(AR349/AR348-1))</f>
        <v>0.0383332124451534</v>
      </c>
      <c r="AU349" s="163" t="n">
        <f aca="false">IF(ABS(AR349-AR337)&lt;0.05,0,AR349-AR337)</f>
        <v>5.68822764552913</v>
      </c>
      <c r="AV349" s="155" t="n">
        <f aca="false">IF(ABS(AR349/AR337-1)&lt;0.0005,0,(AR349/AR337-1))</f>
        <v>0.139832429127714</v>
      </c>
      <c r="AW349" s="185"/>
      <c r="AX349" s="163" t="n">
        <f aca="false">IF(ABS(H349-H348)&lt;0.05,0,H349-H348)</f>
        <v>1.928</v>
      </c>
      <c r="AY349" s="164" t="n">
        <f aca="false">IF(ABS(H349/H348-1)&lt;0.0005,0,(H349/H348-1))</f>
        <v>0.0551061822962815</v>
      </c>
      <c r="AZ349" s="163" t="n">
        <f aca="false">IF(ABS(H349-H337)&lt;0.05,0,H349-H337)</f>
        <v>6.882</v>
      </c>
      <c r="BA349" s="164" t="n">
        <f aca="false">IF(ABS(H349/H337-1)&lt;0.0005,0,(H349/H337-1))</f>
        <v>0.229147937269004</v>
      </c>
      <c r="BB349" s="57" t="n">
        <f aca="false">(H349/1.05)</f>
        <v>35.1571428571429</v>
      </c>
      <c r="BC349" s="163" t="n">
        <f aca="false">IF(ABS(BB349-BB348)&lt;0.05,0,BB349-BB348)</f>
        <v>1.83619047619048</v>
      </c>
      <c r="BD349" s="164" t="n">
        <f aca="false">IF(ABS(BB349/BB348-1)&lt;0.0005,0,(BB349/BB348-1))</f>
        <v>0.0551061822962817</v>
      </c>
      <c r="BE349" s="163" t="n">
        <f aca="false">IF(ABS(BB349-BB337)&lt;0.05,0,BB349-BB337)</f>
        <v>6.55428571428572</v>
      </c>
      <c r="BF349" s="155" t="n">
        <f aca="false">IF(ABS(BB349/BB337-1)&lt;0.0005,0,(BB349/BB337-1))</f>
        <v>0.229147937269004</v>
      </c>
      <c r="BG349" s="191"/>
      <c r="BH349" s="163" t="n">
        <f aca="false">IF(ABS(I349-I348)&lt;0.05,0,I349-I348)</f>
        <v>2.22412499999999</v>
      </c>
      <c r="BI349" s="164" t="n">
        <f aca="false">IF(ABS(I349/I348-1)&lt;0.0005,0,(I349/I348-1))</f>
        <v>0.0478647073339866</v>
      </c>
      <c r="BJ349" s="163" t="n">
        <f aca="false">IF(ABS(I349-I337)&lt;0.05,0,I349-I337)</f>
        <v>4.94715</v>
      </c>
      <c r="BK349" s="164" t="n">
        <f aca="false">IF(ABS(I349/I337-1)&lt;0.0005,0,(I349/I337-1))</f>
        <v>0.113093524114137</v>
      </c>
      <c r="BL349" s="57" t="n">
        <f aca="false">(I349/1.05)-11.14</f>
        <v>35.2324133333333</v>
      </c>
      <c r="BM349" s="163" t="n">
        <f aca="false">IF(ABS(BL349-BL348)&lt;0.05,0,BL349-BL348)</f>
        <v>2.11821428571428</v>
      </c>
      <c r="BN349" s="164" t="n">
        <f aca="false">IF(ABS(BL349/BL348-1)&lt;0.0005,0,(BL349/BL348-1))</f>
        <v>0.0639669491225874</v>
      </c>
      <c r="BO349" s="163" t="n">
        <f aca="false">IF(ABS(BL349-BL337)&lt;0.05,0,BL349-BL337)</f>
        <v>4.71157142857143</v>
      </c>
      <c r="BP349" s="155" t="n">
        <f aca="false">IF(ABS(BL349/BL337-1)&lt;0.0005,0,(BL349/BL337-1))</f>
        <v>0.154372262838409</v>
      </c>
      <c r="BQ349" s="191"/>
    </row>
    <row r="350" customFormat="false" ht="12.75" hidden="false" customHeight="true" outlineLevel="0" collapsed="false">
      <c r="A350" s="156" t="n">
        <v>42979</v>
      </c>
      <c r="B350" s="73" t="n">
        <v>2017</v>
      </c>
      <c r="C350" s="157" t="s">
        <v>67</v>
      </c>
      <c r="D350" s="189"/>
      <c r="E350" s="159" t="n">
        <v>128.479475895179</v>
      </c>
      <c r="F350" s="159" t="n">
        <v>118.933812605153</v>
      </c>
      <c r="G350" s="159" t="n">
        <v>120.516535</v>
      </c>
      <c r="H350" s="159" t="n">
        <v>38.503</v>
      </c>
      <c r="I350" s="159" t="n">
        <v>50.593099</v>
      </c>
      <c r="J350" s="178"/>
      <c r="K350" s="159" t="n">
        <v>81.3148768125041</v>
      </c>
      <c r="L350" s="193"/>
      <c r="M350" s="160" t="n">
        <f aca="false">G350-F350</f>
        <v>1.5827223948467</v>
      </c>
      <c r="N350" s="192"/>
      <c r="O350" s="190"/>
      <c r="P350" s="190"/>
      <c r="Q350" s="190"/>
      <c r="R350" s="191"/>
      <c r="S350" s="57" t="n">
        <f aca="false">IF(ABS(F350-F349)&lt;0.05,0,F350-F349)</f>
        <v>3.29314930430346</v>
      </c>
      <c r="T350" s="178" t="n">
        <f aca="false">IF((ABS(G350/G349-1))&lt;0.0005,0,(G350/G349-1))</f>
        <v>0.027015598857171</v>
      </c>
      <c r="U350" s="163" t="n">
        <f aca="false">IF(ABS(F350-F338)&lt;0.05,0,F350-F338)</f>
        <v>7.72271292544288</v>
      </c>
      <c r="V350" s="164" t="n">
        <f aca="false">IF(ABS(F350/F338-1)&lt;0.0005,0,(F350/F338-1))</f>
        <v>0.0694419257401859</v>
      </c>
      <c r="W350" s="57" t="n">
        <f aca="false">(F350/1.2)-57.95</f>
        <v>41.1615105042944</v>
      </c>
      <c r="X350" s="163" t="n">
        <f aca="false">IF(ABS(W350-W349)&lt;0.05,0,W350-W349)</f>
        <v>2.74429108691955</v>
      </c>
      <c r="Y350" s="184" t="n">
        <f aca="false">IF(ABS(W350/W349-1)&lt;0.0005,0,(W350/W349-1))</f>
        <v>0.0714338811746065</v>
      </c>
      <c r="Z350" s="163" t="n">
        <f aca="false">IF(ABS(W350-W338)&lt;0.05,0,W350-W338)</f>
        <v>6.43559410453574</v>
      </c>
      <c r="AA350" s="155" t="n">
        <f aca="false">IF(ABS(W350/W338-1)&lt;0.0005,0,(W350/W338-1))</f>
        <v>0.1853253930134</v>
      </c>
      <c r="AB350" s="185"/>
      <c r="AC350" s="57" t="n">
        <f aca="false">IF(ABS(G350-G349)&lt;0.05,0,G350-G349)</f>
        <v>3.17018199999998</v>
      </c>
      <c r="AD350" s="164" t="n">
        <f aca="false">IF(ABS(G350/G349-1)&lt;0.0005,0,(G350/G349-1))</f>
        <v>0.027015598857171</v>
      </c>
      <c r="AE350" s="163" t="n">
        <f aca="false">IF(ABS(G350-G338)&lt;0.05,0,G350-G338)</f>
        <v>7.284795</v>
      </c>
      <c r="AF350" s="164" t="n">
        <f aca="false">IF(ABS(G350/G338-1)&lt;0.0005,0,(G350/G338-1))</f>
        <v>0.06433527383753</v>
      </c>
      <c r="AG350" s="57" t="n">
        <f aca="false">(G350/1.2)-57.95</f>
        <v>42.4804458333333</v>
      </c>
      <c r="AH350" s="163" t="n">
        <f aca="false">IF(ABS(AG350-AG349)&lt;0.05,0,AG350-AG349)</f>
        <v>2.64181833333332</v>
      </c>
      <c r="AI350" s="164" t="n">
        <f aca="false">IF(ABS(AG350/AG349-1)&lt;0.0005,0,(AG350/AG349-1))</f>
        <v>0.0663129856402136</v>
      </c>
      <c r="AJ350" s="163" t="n">
        <f aca="false">IF(ABS(AG350-AG338)&lt;0.05,0,AG350-AG338)</f>
        <v>6.0706625</v>
      </c>
      <c r="AK350" s="155" t="n">
        <f aca="false">IF(ABS(AG350/AG338-1)&lt;0.0005,0,(AG350/AG338-1))</f>
        <v>0.166731629365184</v>
      </c>
      <c r="AL350" s="185"/>
      <c r="AM350" s="156" t="n">
        <f aca="false">IF(E350="..","",A350)</f>
        <v>42979</v>
      </c>
      <c r="AN350" s="57" t="n">
        <f aca="false">IF(ABS(E350-E349)&lt;0.05,0,E350-E349)</f>
        <v>3.29893778755749</v>
      </c>
      <c r="AO350" s="164" t="n">
        <f aca="false">IF(ABS(E350/E349-1)&lt;0.0005,0,(E350/E349-1))</f>
        <v>0.0263534398991103</v>
      </c>
      <c r="AP350" s="163" t="n">
        <f aca="false">IF(ABS(E350-E338)&lt;0.05,0,E350-E338)</f>
        <v>8.35084816963391</v>
      </c>
      <c r="AQ350" s="164" t="n">
        <f aca="false">IF(ABS(E350/E338-1)&lt;0.0005,0,(E350/E338-1))</f>
        <v>0.0695158874928039</v>
      </c>
      <c r="AR350" s="57" t="n">
        <f aca="false">(E350/1.2)-57.95</f>
        <v>49.1162299126492</v>
      </c>
      <c r="AS350" s="163" t="n">
        <f aca="false">IF(ABS(AR350-AR349)&lt;0.05,0,AR350-AR349)</f>
        <v>2.74911482296457</v>
      </c>
      <c r="AT350" s="164" t="n">
        <f aca="false">IF(ABS(AR350/AR349-1)&lt;0.0005,0,(AR350/AR349-1))</f>
        <v>0.0592901848141114</v>
      </c>
      <c r="AU350" s="163" t="n">
        <f aca="false">IF(ABS(AR350-AR338)&lt;0.05,0,AR350-AR338)</f>
        <v>6.95904014136158</v>
      </c>
      <c r="AV350" s="155" t="n">
        <f aca="false">IF(ABS(AR350/AR338-1)&lt;0.0005,0,(AR350/AR338-1))</f>
        <v>0.165073625142377</v>
      </c>
      <c r="AW350" s="185"/>
      <c r="AX350" s="163" t="n">
        <f aca="false">IF(ABS(H350-H349)&lt;0.05,0,H350-H349)</f>
        <v>1.588</v>
      </c>
      <c r="AY350" s="164" t="n">
        <f aca="false">IF(ABS(H350/H349-1)&lt;0.0005,0,(H350/H349-1))</f>
        <v>0.0430177434647163</v>
      </c>
      <c r="AZ350" s="163" t="n">
        <f aca="false">IF(ABS(H350-H338)&lt;0.05,0,H350-H338)</f>
        <v>6.564</v>
      </c>
      <c r="BA350" s="164" t="n">
        <f aca="false">IF(ABS(H350/H338-1)&lt;0.0005,0,(H350/H338-1))</f>
        <v>0.205516766335828</v>
      </c>
      <c r="BB350" s="57" t="n">
        <f aca="false">(H350/1.05)</f>
        <v>36.6695238095238</v>
      </c>
      <c r="BC350" s="163" t="n">
        <f aca="false">IF(ABS(BB350-BB349)&lt;0.05,0,BB350-BB349)</f>
        <v>1.51238095238095</v>
      </c>
      <c r="BD350" s="164" t="n">
        <f aca="false">IF(ABS(BB350/BB349-1)&lt;0.0005,0,(BB350/BB349-1))</f>
        <v>0.0430177434647161</v>
      </c>
      <c r="BE350" s="163" t="n">
        <f aca="false">IF(ABS(BB350-BB338)&lt;0.05,0,BB350-BB338)</f>
        <v>6.25142857142858</v>
      </c>
      <c r="BF350" s="155" t="n">
        <f aca="false">IF(ABS(BB350/BB338-1)&lt;0.0005,0,(BB350/BB338-1))</f>
        <v>0.205516766335828</v>
      </c>
      <c r="BG350" s="191"/>
      <c r="BH350" s="163" t="n">
        <f aca="false">IF(ABS(I350-I349)&lt;0.05,0,I350-I349)</f>
        <v>1.902065</v>
      </c>
      <c r="BI350" s="164" t="n">
        <f aca="false">IF(ABS(I350/I349-1)&lt;0.0005,0,(I350/I349-1))</f>
        <v>0.039063968121934</v>
      </c>
      <c r="BJ350" s="163" t="n">
        <f aca="false">IF(ABS(I350-I338)&lt;0.05,0,I350-I338)</f>
        <v>6.109442</v>
      </c>
      <c r="BK350" s="164" t="n">
        <f aca="false">IF(ABS(I350/I338-1)&lt;0.0005,0,(I350/I338-1))</f>
        <v>0.137341271199893</v>
      </c>
      <c r="BL350" s="57" t="n">
        <f aca="false">(I350/1.05)-11.14</f>
        <v>37.0439038095238</v>
      </c>
      <c r="BM350" s="163" t="n">
        <f aca="false">IF(ABS(BL350-BL349)&lt;0.05,0,BL350-BL349)</f>
        <v>1.81149047619048</v>
      </c>
      <c r="BN350" s="164" t="n">
        <f aca="false">IF(ABS(BL350/BL349-1)&lt;0.0005,0,(BL350/BL349-1))</f>
        <v>0.0514154525564852</v>
      </c>
      <c r="BO350" s="163" t="n">
        <f aca="false">IF(ABS(BL350-BL338)&lt;0.05,0,BL350-BL338)</f>
        <v>5.8185161904762</v>
      </c>
      <c r="BP350" s="155" t="n">
        <f aca="false">IF(ABS(BL350/BL338-1)&lt;0.0005,0,(BL350/BL338-1))</f>
        <v>0.186339278200885</v>
      </c>
      <c r="BQ350" s="191"/>
    </row>
    <row r="351" customFormat="false" ht="12.75" hidden="false" customHeight="true" outlineLevel="0" collapsed="false">
      <c r="A351" s="156" t="n">
        <v>43009</v>
      </c>
      <c r="B351" s="73" t="n">
        <v>2017</v>
      </c>
      <c r="C351" s="157" t="s">
        <v>68</v>
      </c>
      <c r="D351" s="189"/>
      <c r="E351" s="159" t="n">
        <v>126.629021804361</v>
      </c>
      <c r="F351" s="159" t="n">
        <v>117.150042635907</v>
      </c>
      <c r="G351" s="159" t="n">
        <v>120.343684</v>
      </c>
      <c r="H351" s="159" t="n">
        <v>39.948</v>
      </c>
      <c r="I351" s="159" t="n">
        <v>51.687528</v>
      </c>
      <c r="J351" s="178"/>
      <c r="K351" s="159" t="n">
        <v>84.7077566774849</v>
      </c>
      <c r="L351" s="159"/>
      <c r="M351" s="160" t="n">
        <f aca="false">G351-F351</f>
        <v>3.19364136409327</v>
      </c>
      <c r="N351" s="75"/>
      <c r="O351" s="190"/>
      <c r="P351" s="190"/>
      <c r="Q351" s="190"/>
      <c r="R351" s="191"/>
      <c r="S351" s="57" t="n">
        <f aca="false">IF(ABS(F351-F350)&lt;0.05,0,F351-F350)</f>
        <v>-1.78376996924655</v>
      </c>
      <c r="T351" s="178" t="n">
        <f aca="false">IF((ABS(G351/G350-1))&lt;0.0005,0,(G351/G350-1))</f>
        <v>-0.00143425132493213</v>
      </c>
      <c r="U351" s="163" t="n">
        <f aca="false">IF(ABS(F351-F339)&lt;0.05,0,F351-F339)</f>
        <v>3.59491869358222</v>
      </c>
      <c r="V351" s="164" t="n">
        <f aca="false">IF(ABS(F351/F339-1)&lt;0.0005,0,(F351/F339-1))</f>
        <v>0.0316579170430751</v>
      </c>
      <c r="W351" s="57" t="n">
        <f aca="false">(F351/1.2)-57.95</f>
        <v>39.6750355299223</v>
      </c>
      <c r="X351" s="163" t="n">
        <f aca="false">IF(ABS(W351-W350)&lt;0.05,0,W351-W350)</f>
        <v>-1.48647497437213</v>
      </c>
      <c r="Y351" s="184" t="n">
        <f aca="false">IF(ABS(W351/W350-1)&lt;0.0005,0,(W351/W350-1))</f>
        <v>-0.0361132270453739</v>
      </c>
      <c r="Z351" s="163" t="n">
        <f aca="false">IF(ABS(W351-W339)&lt;0.05,0,W351-W339)</f>
        <v>2.99576557798518</v>
      </c>
      <c r="AA351" s="155" t="n">
        <f aca="false">IF(ABS(W351/W339-1)&lt;0.0005,0,(W351/W339-1))</f>
        <v>0.0816746238927519</v>
      </c>
      <c r="AB351" s="185"/>
      <c r="AC351" s="57" t="n">
        <f aca="false">IF(ABS(G351-G350)&lt;0.05,0,G351-G350)</f>
        <v>-0.17285099999998</v>
      </c>
      <c r="AD351" s="164" t="n">
        <f aca="false">IF(ABS(G351/G350-1)&lt;0.0005,0,(G351/G350-1))</f>
        <v>-0.00143425132493213</v>
      </c>
      <c r="AE351" s="163" t="n">
        <f aca="false">IF(ABS(G351-G339)&lt;0.05,0,G351-G339)</f>
        <v>4.70161600000002</v>
      </c>
      <c r="AF351" s="164" t="n">
        <f aca="false">IF(ABS(G351/G339-1)&lt;0.0005,0,(G351/G339-1))</f>
        <v>0.0406566233319177</v>
      </c>
      <c r="AG351" s="57" t="n">
        <f aca="false">(G351/1.2)-57.95</f>
        <v>42.3364033333334</v>
      </c>
      <c r="AH351" s="163" t="n">
        <f aca="false">IF(ABS(AG351-AG350)&lt;0.05,0,AG351-AG350)</f>
        <v>-0.144042499999983</v>
      </c>
      <c r="AI351" s="164" t="n">
        <f aca="false">IF(ABS(AG351/AG350-1)&lt;0.0005,0,(AG351/AG350-1))</f>
        <v>-0.0033907953924287</v>
      </c>
      <c r="AJ351" s="163" t="n">
        <f aca="false">IF(ABS(AG351-AG339)&lt;0.05,0,AG351-AG339)</f>
        <v>3.91801333333335</v>
      </c>
      <c r="AK351" s="155" t="n">
        <f aca="false">IF(ABS(AG351/AG339-1)&lt;0.0005,0,(AG351/AG339-1))</f>
        <v>0.101982757042483</v>
      </c>
      <c r="AL351" s="185"/>
      <c r="AM351" s="156" t="n">
        <f aca="false">IF(E351="..","",A351)</f>
        <v>43009</v>
      </c>
      <c r="AN351" s="57" t="n">
        <f aca="false">IF(ABS(E351-E350)&lt;0.05,0,E351-E350)</f>
        <v>-1.85045409081815</v>
      </c>
      <c r="AO351" s="164" t="n">
        <f aca="false">IF(ABS(E351/E350-1)&lt;0.0005,0,(E351/E350-1))</f>
        <v>-0.0144027213523805</v>
      </c>
      <c r="AP351" s="163" t="n">
        <f aca="false">IF(ABS(E351-E339)&lt;0.05,0,E351-E339)</f>
        <v>3.39962892578514</v>
      </c>
      <c r="AQ351" s="164" t="n">
        <f aca="false">IF(ABS(E351/E339-1)&lt;0.0005,0,(E351/E339-1))</f>
        <v>0.0275878087716863</v>
      </c>
      <c r="AR351" s="57" t="n">
        <f aca="false">(E351/1.2)-57.95</f>
        <v>47.5741848369674</v>
      </c>
      <c r="AS351" s="163" t="n">
        <f aca="false">IF(ABS(AR351-AR350)&lt;0.05,0,AR351-AR350)</f>
        <v>-1.54204507568178</v>
      </c>
      <c r="AT351" s="164" t="n">
        <f aca="false">IF(ABS(AR351/AR350-1)&lt;0.0005,0,(AR351/AR350-1))</f>
        <v>-0.0313958355196283</v>
      </c>
      <c r="AU351" s="163" t="n">
        <f aca="false">IF(ABS(AR351-AR339)&lt;0.05,0,AR351-AR339)</f>
        <v>2.83302410482095</v>
      </c>
      <c r="AV351" s="155" t="n">
        <f aca="false">IF(ABS(AR351/AR339-1)&lt;0.0005,0,(AR351/AR339-1))</f>
        <v>0.063320308603112</v>
      </c>
      <c r="AW351" s="185"/>
      <c r="AX351" s="163" t="n">
        <f aca="false">IF(ABS(H351-H350)&lt;0.05,0,H351-H350)</f>
        <v>1.445</v>
      </c>
      <c r="AY351" s="164" t="n">
        <f aca="false">IF(ABS(H351/H350-1)&lt;0.0005,0,(H351/H350-1))</f>
        <v>0.0375295431524816</v>
      </c>
      <c r="AZ351" s="163" t="n">
        <f aca="false">IF(ABS(H351-H339)&lt;0.05,0,H351-H339)</f>
        <v>2.503</v>
      </c>
      <c r="BA351" s="164" t="n">
        <f aca="false">IF(ABS(H351/H339-1)&lt;0.0005,0,(H351/H339-1))</f>
        <v>0.0668447055681667</v>
      </c>
      <c r="BB351" s="57" t="n">
        <f aca="false">(H351/1.05)</f>
        <v>38.0457142857143</v>
      </c>
      <c r="BC351" s="163" t="n">
        <f aca="false">IF(ABS(BB351-BB350)&lt;0.05,0,BB351-BB350)</f>
        <v>1.37619047619047</v>
      </c>
      <c r="BD351" s="164" t="n">
        <f aca="false">IF(ABS(BB351/BB350-1)&lt;0.0005,0,(BB351/BB350-1))</f>
        <v>0.0375295431524816</v>
      </c>
      <c r="BE351" s="163" t="n">
        <f aca="false">IF(ABS(BB351-BB339)&lt;0.05,0,BB351-BB339)</f>
        <v>2.38380952380953</v>
      </c>
      <c r="BF351" s="155" t="n">
        <f aca="false">IF(ABS(BB351/BB339-1)&lt;0.0005,0,(BB351/BB339-1))</f>
        <v>0.0668447055681667</v>
      </c>
      <c r="BG351" s="191"/>
      <c r="BH351" s="163" t="n">
        <f aca="false">IF(ABS(I351-I350)&lt;0.05,0,I351-I350)</f>
        <v>1.094429</v>
      </c>
      <c r="BI351" s="164" t="n">
        <f aca="false">IF(ABS(I351/I350-1)&lt;0.0005,0,(I351/I350-1))</f>
        <v>0.0216319818637716</v>
      </c>
      <c r="BJ351" s="163" t="n">
        <f aca="false">IF(ABS(I351-I339)&lt;0.05,0,I351-I339)</f>
        <v>1.436955</v>
      </c>
      <c r="BK351" s="164" t="n">
        <f aca="false">IF(ABS(I351/I339-1)&lt;0.0005,0,(I351/I339-1))</f>
        <v>0.0285957933255805</v>
      </c>
      <c r="BL351" s="57" t="n">
        <f aca="false">(I351/1.05)-11.14</f>
        <v>38.0862171428571</v>
      </c>
      <c r="BM351" s="163" t="n">
        <f aca="false">IF(ABS(BL351-BL350)&lt;0.05,0,BL351-BL350)</f>
        <v>1.04231333333333</v>
      </c>
      <c r="BN351" s="164" t="n">
        <f aca="false">IF(ABS(BL351/BL350-1)&lt;0.0005,0,(BL351/BL350-1))</f>
        <v>0.0281372432747045</v>
      </c>
      <c r="BO351" s="163" t="n">
        <f aca="false">IF(ABS(BL351-BL339)&lt;0.05,0,BL351-BL339)</f>
        <v>1.36852857142856</v>
      </c>
      <c r="BP351" s="155" t="n">
        <f aca="false">IF(ABS(BL351/BL339-1)&lt;0.0005,0,(BL351/BL339-1))</f>
        <v>0.0372716427605813</v>
      </c>
      <c r="BQ351" s="191"/>
    </row>
    <row r="352" customFormat="false" ht="12.75" hidden="false" customHeight="true" outlineLevel="0" collapsed="false">
      <c r="A352" s="156" t="n">
        <v>43040</v>
      </c>
      <c r="B352" s="73" t="n">
        <v>2017</v>
      </c>
      <c r="C352" s="157" t="s">
        <v>69</v>
      </c>
      <c r="D352" s="189"/>
      <c r="E352" s="159" t="n">
        <v>128.711281256251</v>
      </c>
      <c r="F352" s="159" t="n">
        <v>119.124860651794</v>
      </c>
      <c r="G352" s="159" t="n">
        <v>122.716241</v>
      </c>
      <c r="H352" s="159" t="n">
        <v>43.43</v>
      </c>
      <c r="I352" s="159" t="n">
        <v>54.172714</v>
      </c>
      <c r="J352" s="178"/>
      <c r="K352" s="159" t="n">
        <v>91.1902768429152</v>
      </c>
      <c r="L352" s="159"/>
      <c r="M352" s="160" t="n">
        <f aca="false">G352-F352</f>
        <v>3.59138034820609</v>
      </c>
      <c r="N352" s="75"/>
      <c r="O352" s="190"/>
      <c r="P352" s="190"/>
      <c r="Q352" s="190"/>
      <c r="R352" s="191"/>
      <c r="S352" s="57" t="n">
        <f aca="false">IF(ABS(F352-F351)&lt;0.05,0,F352-F351)</f>
        <v>1.97481801588718</v>
      </c>
      <c r="T352" s="178" t="n">
        <f aca="false">IF((ABS(G352/G351-1))&lt;0.0005,0,(G352/G351-1))</f>
        <v>0.0197148443619193</v>
      </c>
      <c r="U352" s="163" t="n">
        <f aca="false">IF(ABS(F352-F340)&lt;0.05,0,F352-F340)</f>
        <v>3.24044438987394</v>
      </c>
      <c r="V352" s="164" t="n">
        <f aca="false">IF(ABS(F352/F340-1)&lt;0.0005,0,(F352/F340-1))</f>
        <v>0.0279627278144969</v>
      </c>
      <c r="W352" s="57" t="n">
        <f aca="false">(F352/1.2)-57.95</f>
        <v>41.3207172098283</v>
      </c>
      <c r="X352" s="163" t="n">
        <f aca="false">IF(ABS(W352-W351)&lt;0.05,0,W352-W351)</f>
        <v>1.64568167990599</v>
      </c>
      <c r="Y352" s="184" t="n">
        <f aca="false">IF(ABS(W352/W351-1)&lt;0.0005,0,(W352/W351-1))</f>
        <v>0.0414790222094406</v>
      </c>
      <c r="Z352" s="163" t="n">
        <f aca="false">IF(ABS(W352-W340)&lt;0.05,0,W352-W340)</f>
        <v>2.70037032489496</v>
      </c>
      <c r="AA352" s="155" t="n">
        <f aca="false">IF(ABS(W352/W340-1)&lt;0.0005,0,(W352/W340-1))</f>
        <v>0.0699209236245477</v>
      </c>
      <c r="AB352" s="185"/>
      <c r="AC352" s="57" t="n">
        <f aca="false">IF(ABS(G352-G351)&lt;0.05,0,G352-G351)</f>
        <v>2.372557</v>
      </c>
      <c r="AD352" s="164" t="n">
        <f aca="false">IF(ABS(G352/G351-1)&lt;0.0005,0,(G352/G351-1))</f>
        <v>0.0197148443619193</v>
      </c>
      <c r="AE352" s="163" t="n">
        <f aca="false">IF(ABS(G352-G340)&lt;0.05,0,G352-G340)</f>
        <v>4.35596200000001</v>
      </c>
      <c r="AF352" s="164" t="n">
        <f aca="false">IF(ABS(G352/G340-1)&lt;0.0005,0,(G352/G340-1))</f>
        <v>0.0368025661717137</v>
      </c>
      <c r="AG352" s="57" t="n">
        <f aca="false">(G352/1.2)-57.95</f>
        <v>44.3135341666667</v>
      </c>
      <c r="AH352" s="163" t="n">
        <f aca="false">IF(ABS(AG352-AG351)&lt;0.05,0,AG352-AG351)</f>
        <v>1.97713083333333</v>
      </c>
      <c r="AI352" s="164" t="n">
        <f aca="false">IF(ABS(AG352/AG351-1)&lt;0.0005,0,(AG352/AG351-1))</f>
        <v>0.0467004912478395</v>
      </c>
      <c r="AJ352" s="163" t="n">
        <f aca="false">IF(ABS(AG352-AG340)&lt;0.05,0,AG352-AG340)</f>
        <v>3.62996833333334</v>
      </c>
      <c r="AK352" s="155" t="n">
        <f aca="false">IF(ABS(AG352/AG340-1)&lt;0.0005,0,(AG352/AG340-1))</f>
        <v>0.0892244388853247</v>
      </c>
      <c r="AL352" s="185"/>
      <c r="AM352" s="156" t="n">
        <f aca="false">IF(E352="..","",A352)</f>
        <v>43040</v>
      </c>
      <c r="AN352" s="57" t="n">
        <f aca="false">IF(ABS(E352-E351)&lt;0.05,0,E352-E351)</f>
        <v>2.08225945189037</v>
      </c>
      <c r="AO352" s="164" t="n">
        <f aca="false">IF(ABS(E352/E351-1)&lt;0.0005,0,(E352/E351-1))</f>
        <v>0.0164437774391673</v>
      </c>
      <c r="AP352" s="163" t="n">
        <f aca="false">IF(ABS(E352-E340)&lt;0.05,0,E352-E340)</f>
        <v>2.97192938587719</v>
      </c>
      <c r="AQ352" s="164" t="n">
        <f aca="false">IF(ABS(E352/E340-1)&lt;0.0005,0,(E352/E340-1))</f>
        <v>0.0236356346813444</v>
      </c>
      <c r="AR352" s="57" t="n">
        <f aca="false">(E352/1.2)-57.95</f>
        <v>49.309401046876</v>
      </c>
      <c r="AS352" s="163" t="n">
        <f aca="false">IF(ABS(AR352-AR351)&lt;0.05,0,AR352-AR351)</f>
        <v>1.73521620990863</v>
      </c>
      <c r="AT352" s="164" t="n">
        <f aca="false">IF(ABS(AR352/AR351-1)&lt;0.0005,0,(AR352/AR351-1))</f>
        <v>0.0364739031442172</v>
      </c>
      <c r="AU352" s="163" t="n">
        <f aca="false">IF(ABS(AR352-AR340)&lt;0.05,0,AR352-AR340)</f>
        <v>2.47660782156432</v>
      </c>
      <c r="AV352" s="155" t="n">
        <f aca="false">IF(ABS(AR352/AR340-1)&lt;0.0005,0,(AR352/AR340-1))</f>
        <v>0.0528819156621601</v>
      </c>
      <c r="AW352" s="185"/>
      <c r="AX352" s="163" t="n">
        <f aca="false">IF(ABS(H352-H351)&lt;0.05,0,H352-H351)</f>
        <v>3.482</v>
      </c>
      <c r="AY352" s="164" t="n">
        <f aca="false">IF(ABS(H352/H351-1)&lt;0.0005,0,(H352/H351-1))</f>
        <v>0.0871633123059978</v>
      </c>
      <c r="AZ352" s="163" t="n">
        <f aca="false">IF(ABS(H352-H340)&lt;0.05,0,H352-H340)</f>
        <v>8.184</v>
      </c>
      <c r="BA352" s="164" t="n">
        <f aca="false">IF(ABS(H352/H340-1)&lt;0.0005,0,(H352/H340-1))</f>
        <v>0.232196561311922</v>
      </c>
      <c r="BB352" s="57" t="n">
        <f aca="false">(H352/1.05)</f>
        <v>41.3619047619048</v>
      </c>
      <c r="BC352" s="163" t="n">
        <f aca="false">IF(ABS(BB352-BB351)&lt;0.05,0,BB352-BB351)</f>
        <v>3.31619047619048</v>
      </c>
      <c r="BD352" s="164" t="n">
        <f aca="false">IF(ABS(BB352/BB351-1)&lt;0.0005,0,(BB352/BB351-1))</f>
        <v>0.0871633123059978</v>
      </c>
      <c r="BE352" s="163" t="n">
        <f aca="false">IF(ABS(BB352-BB340)&lt;0.05,0,BB352-BB340)</f>
        <v>7.79428571428571</v>
      </c>
      <c r="BF352" s="155" t="n">
        <f aca="false">IF(ABS(BB352/BB340-1)&lt;0.0005,0,(BB352/BB340-1))</f>
        <v>0.232196561311922</v>
      </c>
      <c r="BG352" s="191"/>
      <c r="BH352" s="163" t="n">
        <f aca="false">IF(ABS(I352-I351)&lt;0.05,0,I352-I351)</f>
        <v>2.485186</v>
      </c>
      <c r="BI352" s="164" t="n">
        <f aca="false">IF(ABS(I352/I351-1)&lt;0.0005,0,(I352/I351-1))</f>
        <v>0.0480809606526356</v>
      </c>
      <c r="BJ352" s="163" t="n">
        <f aca="false">IF(ABS(I352-I340)&lt;0.05,0,I352-I340)</f>
        <v>8.07031199999999</v>
      </c>
      <c r="BK352" s="164" t="n">
        <f aca="false">IF(ABS(I352/I340-1)&lt;0.0005,0,(I352/I340-1))</f>
        <v>0.175051876906544</v>
      </c>
      <c r="BL352" s="57" t="n">
        <f aca="false">(I352/1.05)-11.14</f>
        <v>40.453060952381</v>
      </c>
      <c r="BM352" s="163" t="n">
        <f aca="false">IF(ABS(BL352-BL351)&lt;0.05,0,BL352-BL351)</f>
        <v>2.36684380952381</v>
      </c>
      <c r="BN352" s="164" t="n">
        <f aca="false">IF(ABS(BL352/BL351-1)&lt;0.0005,0,(BL352/BL351-1))</f>
        <v>0.0621443657858183</v>
      </c>
      <c r="BO352" s="163" t="n">
        <f aca="false">IF(ABS(BL352-BL340)&lt;0.05,0,BL352-BL340)</f>
        <v>7.68601142857143</v>
      </c>
      <c r="BP352" s="155" t="n">
        <f aca="false">IF(ABS(BL352/BL340-1)&lt;0.0005,0,(BL352/BL340-1))</f>
        <v>0.234565258095226</v>
      </c>
      <c r="BQ352" s="191"/>
    </row>
    <row r="353" customFormat="false" ht="12.75" hidden="false" customHeight="true" outlineLevel="0" collapsed="false">
      <c r="A353" s="156" t="n">
        <v>43070</v>
      </c>
      <c r="B353" s="73" t="n">
        <v>2017</v>
      </c>
      <c r="C353" s="157" t="s">
        <v>70</v>
      </c>
      <c r="D353" s="189"/>
      <c r="E353" s="159" t="n">
        <v>129.527452</v>
      </c>
      <c r="F353" s="159" t="n">
        <v>119.993958481641</v>
      </c>
      <c r="G353" s="159" t="n">
        <v>123.513769</v>
      </c>
      <c r="H353" s="159" t="n">
        <v>43.588</v>
      </c>
      <c r="I353" s="159" t="n">
        <v>53.110375</v>
      </c>
      <c r="J353" s="178"/>
      <c r="K353" s="159" t="n">
        <v>92.8956492043739</v>
      </c>
      <c r="L353" s="159"/>
      <c r="M353" s="160" t="n">
        <f aca="false">G353-F353</f>
        <v>3.51981051835924</v>
      </c>
      <c r="N353" s="75"/>
      <c r="O353" s="190"/>
      <c r="P353" s="190"/>
      <c r="Q353" s="190"/>
      <c r="R353" s="191"/>
      <c r="S353" s="57" t="n">
        <f aca="false">IF(ABS(F353-F352)&lt;0.05,0,F353-F352)</f>
        <v>0.869097829846879</v>
      </c>
      <c r="T353" s="178" t="n">
        <f aca="false">IF((ABS(G353/G352-1))&lt;0.0005,0,(G353/G352-1))</f>
        <v>0.00649896047581855</v>
      </c>
      <c r="U353" s="163" t="n">
        <f aca="false">IF(ABS(F353-F341)&lt;0.05,0,F353-F341)</f>
        <v>5.92157885984054</v>
      </c>
      <c r="V353" s="164" t="n">
        <f aca="false">IF(ABS(F353/F341-1)&lt;0.0005,0,(F353/F341-1))</f>
        <v>0.0519107156304897</v>
      </c>
      <c r="W353" s="57" t="n">
        <f aca="false">(F353/1.2)-57.95</f>
        <v>42.0449654013674</v>
      </c>
      <c r="X353" s="163" t="n">
        <f aca="false">IF(ABS(W353-W352)&lt;0.05,0,W353-W352)</f>
        <v>0.724248191539061</v>
      </c>
      <c r="Y353" s="184" t="n">
        <f aca="false">IF(ABS(W353/W352-1)&lt;0.0005,0,(W353/W352-1))</f>
        <v>0.0175274835589445</v>
      </c>
      <c r="Z353" s="163" t="n">
        <f aca="false">IF(ABS(W353-W341)&lt;0.05,0,W353-W341)</f>
        <v>4.93464904986712</v>
      </c>
      <c r="AA353" s="155" t="n">
        <f aca="false">IF(ABS(W353/W341-1)&lt;0.0005,0,(W353/W341-1))</f>
        <v>0.132972432870884</v>
      </c>
      <c r="AB353" s="185"/>
      <c r="AC353" s="57" t="n">
        <f aca="false">IF(ABS(G353-G352)&lt;0.05,0,G353-G352)</f>
        <v>0.797528000000028</v>
      </c>
      <c r="AD353" s="164" t="n">
        <f aca="false">IF(ABS(G353/G352-1)&lt;0.0005,0,(G353/G352-1))</f>
        <v>0.00649896047581855</v>
      </c>
      <c r="AE353" s="163" t="n">
        <f aca="false">IF(ABS(G353-G341)&lt;0.05,0,G353-G341)</f>
        <v>6.35349400000004</v>
      </c>
      <c r="AF353" s="164" t="n">
        <f aca="false">IF(ABS(G353/G341-1)&lt;0.0005,0,(G353/G341-1))</f>
        <v>0.0542290806333463</v>
      </c>
      <c r="AG353" s="57" t="n">
        <f aca="false">(G353/1.2)-57.95</f>
        <v>44.9781408333334</v>
      </c>
      <c r="AH353" s="163" t="n">
        <f aca="false">IF(ABS(AG353-AG352)&lt;0.05,0,AG353-AG352)</f>
        <v>0.6646066666667</v>
      </c>
      <c r="AI353" s="164" t="n">
        <f aca="false">IF(ABS(AG353/AG352-1)&lt;0.0005,0,(AG353/AG352-1))</f>
        <v>0.0149978258147287</v>
      </c>
      <c r="AJ353" s="163" t="n">
        <f aca="false">IF(ABS(AG353-AG341)&lt;0.05,0,AG353-AG341)</f>
        <v>5.29457833333338</v>
      </c>
      <c r="AK353" s="155" t="n">
        <f aca="false">IF(ABS(AG353/AG341-1)&lt;0.0005,0,(AG353/AG341-1))</f>
        <v>0.133419935101174</v>
      </c>
      <c r="AL353" s="185"/>
      <c r="AM353" s="156" t="n">
        <f aca="false">IF(E353="..","",A353)</f>
        <v>43070</v>
      </c>
      <c r="AN353" s="57" t="n">
        <f aca="false">IF(ABS(E353-E352)&lt;0.05,0,E353-E352)</f>
        <v>0.816170743748785</v>
      </c>
      <c r="AO353" s="164" t="n">
        <f aca="false">IF(ABS(E353/E352-1)&lt;0.0005,0,(E353/E352-1))</f>
        <v>0.00634109718886156</v>
      </c>
      <c r="AP353" s="163" t="n">
        <f aca="false">IF(ABS(E353-E341)&lt;0.05,0,E353-E341)</f>
        <v>5.88499650890178</v>
      </c>
      <c r="AQ353" s="164" t="n">
        <f aca="false">IF(ABS(E353/E341-1)&lt;0.0005,0,(E353/E341-1))</f>
        <v>0.0475968912581608</v>
      </c>
      <c r="AR353" s="57" t="n">
        <f aca="false">(E353/1.2)-57.95</f>
        <v>49.9895433333333</v>
      </c>
      <c r="AS353" s="163" t="n">
        <f aca="false">IF(ABS(AR353-AR352)&lt;0.05,0,AR353-AR352)</f>
        <v>0.680142286457325</v>
      </c>
      <c r="AT353" s="164" t="n">
        <f aca="false">IF(ABS(AR353/AR352-1)&lt;0.0005,0,(AR353/AR352-1))</f>
        <v>0.0137933593192654</v>
      </c>
      <c r="AU353" s="163" t="n">
        <f aca="false">IF(ABS(AR353-AR341)&lt;0.05,0,AR353-AR341)</f>
        <v>4.90416375741815</v>
      </c>
      <c r="AV353" s="155" t="n">
        <f aca="false">IF(ABS(AR353/AR341-1)&lt;0.0005,0,(AR353/AR341-1))</f>
        <v>0.108775035356206</v>
      </c>
      <c r="AW353" s="185"/>
      <c r="AX353" s="163" t="n">
        <f aca="false">IF(ABS(H353-H352)&lt;0.05,0,H353-H352)</f>
        <v>0.157999999999994</v>
      </c>
      <c r="AY353" s="164" t="n">
        <f aca="false">IF(ABS(H353/H352-1)&lt;0.0005,0,(H353/H352-1))</f>
        <v>0.00363803822242681</v>
      </c>
      <c r="AZ353" s="163" t="n">
        <f aca="false">IF(ABS(H353-H341)&lt;0.05,0,H353-H341)</f>
        <v>4.953</v>
      </c>
      <c r="BA353" s="164" t="n">
        <f aca="false">IF(ABS(H353/H341-1)&lt;0.0005,0,(H353/H341-1))</f>
        <v>0.128199818817135</v>
      </c>
      <c r="BB353" s="57" t="n">
        <f aca="false">(H353/1.05)</f>
        <v>41.5123809523809</v>
      </c>
      <c r="BC353" s="163" t="n">
        <f aca="false">IF(ABS(BB353-BB352)&lt;0.05,0,BB353-BB352)</f>
        <v>0.150476190476184</v>
      </c>
      <c r="BD353" s="164" t="n">
        <f aca="false">IF(ABS(BB353/BB352-1)&lt;0.0005,0,(BB353/BB352-1))</f>
        <v>0.00363803822242681</v>
      </c>
      <c r="BE353" s="163" t="n">
        <f aca="false">IF(ABS(BB353-BB341)&lt;0.05,0,BB353-BB341)</f>
        <v>4.71714285714285</v>
      </c>
      <c r="BF353" s="155" t="n">
        <f aca="false">IF(ABS(BB353/BB341-1)&lt;0.0005,0,(BB353/BB341-1))</f>
        <v>0.128199818817135</v>
      </c>
      <c r="BG353" s="191"/>
      <c r="BH353" s="163" t="n">
        <f aca="false">IF(ABS(I353-I352)&lt;0.05,0,I353-I352)</f>
        <v>-1.06233899999999</v>
      </c>
      <c r="BI353" s="164" t="n">
        <f aca="false">IF(ABS(I353/I352-1)&lt;0.0005,0,(I353/I352-1))</f>
        <v>-0.0196102229620616</v>
      </c>
      <c r="BJ353" s="163" t="n">
        <f aca="false">IF(ABS(I353-I341)&lt;0.05,0,I353-I341)</f>
        <v>3.098044</v>
      </c>
      <c r="BK353" s="164" t="n">
        <f aca="false">IF(ABS(I353/I341-1)&lt;0.0005,0,(I353/I341-1))</f>
        <v>0.0619456029753942</v>
      </c>
      <c r="BL353" s="57" t="n">
        <f aca="false">(I353/1.05)-11.14</f>
        <v>39.4413095238095</v>
      </c>
      <c r="BM353" s="163" t="n">
        <f aca="false">IF(ABS(BL353-BL352)&lt;0.05,0,BL353-BL352)</f>
        <v>-1.01175142857143</v>
      </c>
      <c r="BN353" s="164" t="n">
        <f aca="false">IF(ABS(BL353/BL352-1)&lt;0.0005,0,(BL353/BL352-1))</f>
        <v>-0.0250105036492148</v>
      </c>
      <c r="BO353" s="163" t="n">
        <f aca="false">IF(ABS(BL353-BL341)&lt;0.05,0,BL353-BL341)</f>
        <v>2.9505180952381</v>
      </c>
      <c r="BP353" s="155" t="n">
        <f aca="false">IF(ABS(BL353/BL341-1)&lt;0.0005,0,(BL353/BL341-1))</f>
        <v>0.0808565114575155</v>
      </c>
      <c r="BQ353" s="191"/>
    </row>
    <row r="354" customFormat="false" ht="12.75" hidden="false" customHeight="true" outlineLevel="0" collapsed="false">
      <c r="A354" s="156" t="n">
        <v>43101</v>
      </c>
      <c r="B354" s="73" t="n">
        <v>2018</v>
      </c>
      <c r="C354" s="157" t="s">
        <v>59</v>
      </c>
      <c r="D354" s="189"/>
      <c r="E354" s="159" t="n">
        <v>130.512359</v>
      </c>
      <c r="F354" s="159" t="n">
        <v>121.161150175854</v>
      </c>
      <c r="G354" s="159" t="n">
        <v>124.553892</v>
      </c>
      <c r="H354" s="159" t="n">
        <v>45.919</v>
      </c>
      <c r="I354" s="159" t="n">
        <v>55.511189</v>
      </c>
      <c r="J354" s="178"/>
      <c r="K354" s="159" t="n">
        <v>96.8840326361417</v>
      </c>
      <c r="L354" s="159"/>
      <c r="M354" s="160" t="n">
        <f aca="false">G354-F354</f>
        <v>3.392741824146</v>
      </c>
      <c r="N354" s="75"/>
      <c r="O354" s="190"/>
      <c r="P354" s="190"/>
      <c r="Q354" s="190"/>
      <c r="R354" s="191"/>
      <c r="S354" s="57" t="n">
        <f aca="false">IF(ABS(F354-F353)&lt;0.05,0,F354-F353)</f>
        <v>1.1671916942132</v>
      </c>
      <c r="T354" s="178" t="n">
        <f aca="false">IF((ABS(G354/G353-1))&lt;0.0005,0,(G354/G353-1))</f>
        <v>0.00842110971449639</v>
      </c>
      <c r="U354" s="163" t="n">
        <f aca="false">IF(ABS(F354-F342)&lt;0.05,0,F354-F342)</f>
        <v>2.46616819542263</v>
      </c>
      <c r="V354" s="164" t="n">
        <f aca="false">IF(ABS(F354/F342-1)&lt;0.0005,0,(F354/F342-1))</f>
        <v>0.0207773585224456</v>
      </c>
      <c r="W354" s="57" t="n">
        <f aca="false">(F354/1.2)-57.95</f>
        <v>43.017625146545</v>
      </c>
      <c r="X354" s="163" t="n">
        <f aca="false">IF(ABS(W354-W353)&lt;0.05,0,W354-W353)</f>
        <v>0.972659745177666</v>
      </c>
      <c r="Y354" s="184" t="n">
        <f aca="false">IF(ABS(W354/W353-1)&lt;0.0005,0,(W354/W353-1))</f>
        <v>0.0231337982060995</v>
      </c>
      <c r="Z354" s="163" t="n">
        <f aca="false">IF(ABS(W354-W342)&lt;0.05,0,W354-W342)</f>
        <v>2.05514016285218</v>
      </c>
      <c r="AA354" s="155" t="n">
        <f aca="false">IF(ABS(W354/W342-1)&lt;0.0005,0,(W354/W342-1))</f>
        <v>0.0501712765636737</v>
      </c>
      <c r="AB354" s="185"/>
      <c r="AC354" s="57" t="n">
        <f aca="false">IF(ABS(G354-G353)&lt;0.05,0,G354-G353)</f>
        <v>1.04012299999997</v>
      </c>
      <c r="AD354" s="164" t="n">
        <f aca="false">IF(ABS(G354/G353-1)&lt;0.0005,0,(G354/G353-1))</f>
        <v>0.00842110971449639</v>
      </c>
      <c r="AE354" s="163" t="n">
        <f aca="false">IF(ABS(G354-G342)&lt;0.05,0,G354-G342)</f>
        <v>2.56238</v>
      </c>
      <c r="AF354" s="164" t="n">
        <f aca="false">IF(ABS(G354/G342-1)&lt;0.0005,0,(G354/G342-1))</f>
        <v>0.0210045761216569</v>
      </c>
      <c r="AG354" s="57" t="n">
        <f aca="false">(G354/1.2)-57.95</f>
        <v>45.84491</v>
      </c>
      <c r="AH354" s="163" t="n">
        <f aca="false">IF(ABS(AG354-AG353)&lt;0.05,0,AG354-AG353)</f>
        <v>0.866769166666629</v>
      </c>
      <c r="AI354" s="164" t="n">
        <f aca="false">IF(ABS(AG354/AG353-1)&lt;0.0005,0,(AG354/AG353-1))</f>
        <v>0.0192708980542002</v>
      </c>
      <c r="AJ354" s="163" t="n">
        <f aca="false">IF(ABS(AG354-AG342)&lt;0.05,0,AG354-AG342)</f>
        <v>2.13531666666667</v>
      </c>
      <c r="AK354" s="155" t="n">
        <f aca="false">IF(ABS(AG354/AG342-1)&lt;0.0005,0,(AG354/AG342-1))</f>
        <v>0.0488523572018287</v>
      </c>
      <c r="AL354" s="185"/>
      <c r="AM354" s="156" t="n">
        <f aca="false">IF(E354="..","",A354)</f>
        <v>43101</v>
      </c>
      <c r="AN354" s="57" t="n">
        <f aca="false">IF(ABS(E354-E353)&lt;0.05,0,E354-E353)</f>
        <v>0.984906999999993</v>
      </c>
      <c r="AO354" s="164" t="n">
        <f aca="false">IF(ABS(E354/E353-1)&lt;0.0005,0,(E354/E353-1))</f>
        <v>0.00760384756121035</v>
      </c>
      <c r="AP354" s="163" t="n">
        <f aca="false">IF(ABS(E354-E342)&lt;0.05,0,E354-E342)</f>
        <v>2.65767106241249</v>
      </c>
      <c r="AQ354" s="164" t="n">
        <f aca="false">IF(ABS(E354/E342-1)&lt;0.0005,0,(E354/E342-1))</f>
        <v>0.0207866532333163</v>
      </c>
      <c r="AR354" s="57" t="n">
        <f aca="false">(E354/1.2)-57.95</f>
        <v>50.8102991666667</v>
      </c>
      <c r="AS354" s="163" t="n">
        <f aca="false">IF(ABS(AR354-AR353)&lt;0.05,0,AR354-AR353)</f>
        <v>0.820755833333323</v>
      </c>
      <c r="AT354" s="164" t="n">
        <f aca="false">IF(ABS(AR354/AR353-1)&lt;0.0005,0,(AR354/AR353-1))</f>
        <v>0.016418550332826</v>
      </c>
      <c r="AU354" s="163" t="n">
        <f aca="false">IF(ABS(AR354-AR342)&lt;0.05,0,AR354-AR342)</f>
        <v>2.21472588534374</v>
      </c>
      <c r="AV354" s="155" t="n">
        <f aca="false">IF(ABS(AR354/AR342-1)&lt;0.0005,0,(AR354/AR342-1))</f>
        <v>0.0455746426227457</v>
      </c>
      <c r="AW354" s="185"/>
      <c r="AX354" s="163" t="n">
        <f aca="false">IF(ABS(H354-H353)&lt;0.05,0,H354-H353)</f>
        <v>2.331</v>
      </c>
      <c r="AY354" s="164" t="n">
        <f aca="false">IF(ABS(H354/H353-1)&lt;0.0005,0,(H354/H353-1))</f>
        <v>0.0534780214738002</v>
      </c>
      <c r="AZ354" s="163" t="n">
        <f aca="false">IF(ABS(H354-H342)&lt;0.05,0,H354-H342)</f>
        <v>5.239</v>
      </c>
      <c r="BA354" s="164" t="n">
        <f aca="false">IF(ABS(H354/H342-1)&lt;0.0005,0,(H354/H342-1))</f>
        <v>0.128785644051131</v>
      </c>
      <c r="BB354" s="57" t="n">
        <f aca="false">(H354/1.05)</f>
        <v>43.732380952381</v>
      </c>
      <c r="BC354" s="163" t="n">
        <f aca="false">IF(ABS(BB354-BB353)&lt;0.05,0,BB354-BB353)</f>
        <v>2.22000000000001</v>
      </c>
      <c r="BD354" s="164" t="n">
        <f aca="false">IF(ABS(BB354/BB353-1)&lt;0.0005,0,(BB354/BB353-1))</f>
        <v>0.0534780214738002</v>
      </c>
      <c r="BE354" s="163" t="n">
        <f aca="false">IF(ABS(BB354-BB342)&lt;0.05,0,BB354-BB342)</f>
        <v>4.98952380952381</v>
      </c>
      <c r="BF354" s="155" t="n">
        <f aca="false">IF(ABS(BB354/BB342-1)&lt;0.0005,0,(BB354/BB342-1))</f>
        <v>0.128785644051131</v>
      </c>
      <c r="BG354" s="191"/>
      <c r="BH354" s="163" t="n">
        <f aca="false">IF(ABS(I354-I353)&lt;0.05,0,I354-I353)</f>
        <v>2.40081399999999</v>
      </c>
      <c r="BI354" s="164" t="n">
        <f aca="false">IF(ABS(I354/I353-1)&lt;0.0005,0,(I354/I353-1))</f>
        <v>0.0452042374018258</v>
      </c>
      <c r="BJ354" s="163" t="n">
        <f aca="false">IF(ABS(I354-I342)&lt;0.05,0,I354-I342)</f>
        <v>3.524162</v>
      </c>
      <c r="BK354" s="164" t="n">
        <f aca="false">IF(ABS(I354/I342-1)&lt;0.0005,0,(I354/I342-1))</f>
        <v>0.0677892582701449</v>
      </c>
      <c r="BL354" s="57" t="n">
        <f aca="false">(I354/1.05)-11.14</f>
        <v>41.727799047619</v>
      </c>
      <c r="BM354" s="163" t="n">
        <f aca="false">IF(ABS(BL354-BL353)&lt;0.05,0,BL354-BL353)</f>
        <v>2.28648952380951</v>
      </c>
      <c r="BN354" s="164" t="n">
        <f aca="false">IF(ABS(BL354/BL353-1)&lt;0.0005,0,(BL354/BL353-1))</f>
        <v>0.0579719474686617</v>
      </c>
      <c r="BO354" s="163" t="n">
        <f aca="false">IF(ABS(BL354-BL342)&lt;0.05,0,BL354-BL342)</f>
        <v>3.35634476190476</v>
      </c>
      <c r="BP354" s="155" t="n">
        <f aca="false">IF(ABS(BL354/BL342-1)&lt;0.0005,0,(BL354/BL342-1))</f>
        <v>0.0874698346566012</v>
      </c>
      <c r="BQ354" s="191"/>
    </row>
    <row r="355" customFormat="false" ht="12.75" hidden="false" customHeight="true" outlineLevel="0" collapsed="false">
      <c r="A355" s="156" t="n">
        <v>43132</v>
      </c>
      <c r="B355" s="73" t="n">
        <v>2018</v>
      </c>
      <c r="C355" s="157" t="s">
        <v>60</v>
      </c>
      <c r="D355" s="189"/>
      <c r="E355" s="159" t="n">
        <v>131.135352</v>
      </c>
      <c r="F355" s="159" t="n">
        <v>121.441740878315</v>
      </c>
      <c r="G355" s="159" t="n">
        <v>124.662084</v>
      </c>
      <c r="H355" s="159" t="n">
        <v>42.871</v>
      </c>
      <c r="I355" s="159" t="n">
        <v>51.935263</v>
      </c>
      <c r="J355" s="178"/>
      <c r="K355" s="159" t="n">
        <v>92.6929895782105</v>
      </c>
      <c r="L355" s="159"/>
      <c r="M355" s="160" t="n">
        <f aca="false">G355-F355</f>
        <v>3.22034312168503</v>
      </c>
      <c r="N355" s="75"/>
      <c r="O355" s="190"/>
      <c r="P355" s="190"/>
      <c r="Q355" s="190"/>
      <c r="R355" s="191"/>
      <c r="S355" s="57" t="n">
        <f aca="false">IF(ABS(F355-F354)&lt;0.05,0,F355-F354)</f>
        <v>0.280590702460955</v>
      </c>
      <c r="T355" s="178" t="n">
        <f aca="false">IF((ABS(G355/G354-1))&lt;0.0005,0,(G355/G354-1))</f>
        <v>0.000868636043906079</v>
      </c>
      <c r="U355" s="163" t="n">
        <f aca="false">IF(ABS(F355-F343)&lt;0.05,0,F355-F343)</f>
        <v>1.57924722363599</v>
      </c>
      <c r="V355" s="164" t="n">
        <f aca="false">IF(ABS(F355/F343-1)&lt;0.0005,0,(F355/F343-1))</f>
        <v>0.013175491143925</v>
      </c>
      <c r="W355" s="57" t="n">
        <f aca="false">(F355/1.2)-57.95</f>
        <v>43.2514507319291</v>
      </c>
      <c r="X355" s="163" t="n">
        <f aca="false">IF(ABS(W355-W354)&lt;0.05,0,W355-W354)</f>
        <v>0.233825585384125</v>
      </c>
      <c r="Y355" s="184" t="n">
        <f aca="false">IF(ABS(W355/W354-1)&lt;0.0005,0,(W355/W354-1))</f>
        <v>0.00543557633847902</v>
      </c>
      <c r="Z355" s="163" t="n">
        <f aca="false">IF(ABS(W355-W343)&lt;0.05,0,W355-W343)</f>
        <v>1.31603935302998</v>
      </c>
      <c r="AA355" s="155" t="n">
        <f aca="false">IF(ABS(W355/W343-1)&lt;0.0005,0,(W355/W343-1))</f>
        <v>0.0313825311295783</v>
      </c>
      <c r="AB355" s="185"/>
      <c r="AC355" s="57" t="n">
        <f aca="false">IF(ABS(G355-G354)&lt;0.05,0,G355-G354)</f>
        <v>0.108191999999988</v>
      </c>
      <c r="AD355" s="164" t="n">
        <f aca="false">IF(ABS(G355/G354-1)&lt;0.0005,0,(G355/G354-1))</f>
        <v>0.000868636043906079</v>
      </c>
      <c r="AE355" s="163" t="n">
        <f aca="false">IF(ABS(G355-G343)&lt;0.05,0,G355-G343)</f>
        <v>1.86313</v>
      </c>
      <c r="AF355" s="164" t="n">
        <f aca="false">IF(ABS(G355/G343-1)&lt;0.0005,0,(G355/G343-1))</f>
        <v>0.0151721976394033</v>
      </c>
      <c r="AG355" s="57" t="n">
        <f aca="false">(G355/1.2)-57.95</f>
        <v>45.93507</v>
      </c>
      <c r="AH355" s="163" t="n">
        <f aca="false">IF(ABS(AG355-AG354)&lt;0.05,0,AG355-AG354)</f>
        <v>0.0901599999999974</v>
      </c>
      <c r="AI355" s="164" t="n">
        <f aca="false">IF(ABS(AG355/AG354-1)&lt;0.0005,0,(AG355/AG354-1))</f>
        <v>0.00196663053761026</v>
      </c>
      <c r="AJ355" s="163" t="n">
        <f aca="false">IF(ABS(AG355-AG343)&lt;0.05,0,AG355-AG343)</f>
        <v>1.55260833333334</v>
      </c>
      <c r="AK355" s="155" t="n">
        <f aca="false">IF(ABS(AG355/AG343-1)&lt;0.0005,0,(AG355/AG343-1))</f>
        <v>0.0349824744962135</v>
      </c>
      <c r="AL355" s="185"/>
      <c r="AM355" s="156" t="n">
        <f aca="false">IF(E355="..","",A355)</f>
        <v>43132</v>
      </c>
      <c r="AN355" s="57" t="n">
        <f aca="false">IF(ABS(E355-E354)&lt;0.05,0,E355-E354)</f>
        <v>0.622993000000008</v>
      </c>
      <c r="AO355" s="164" t="n">
        <f aca="false">IF(ABS(E355/E354-1)&lt;0.0005,0,(E355/E354-1))</f>
        <v>0.00477344065170104</v>
      </c>
      <c r="AP355" s="163" t="n">
        <f aca="false">IF(ABS(E355-E343)&lt;0.05,0,E355-E343)</f>
        <v>2.27005193998801</v>
      </c>
      <c r="AQ355" s="164" t="n">
        <f aca="false">IF(ABS(E355/E343-1)&lt;0.0005,0,(E355/E343-1))</f>
        <v>0.0176156959160523</v>
      </c>
      <c r="AR355" s="57" t="n">
        <f aca="false">(E355/1.2)-57.95</f>
        <v>51.32946</v>
      </c>
      <c r="AS355" s="163" t="n">
        <f aca="false">IF(ABS(AR355-AR354)&lt;0.05,0,AR355-AR354)</f>
        <v>0.519160833333345</v>
      </c>
      <c r="AT355" s="164" t="n">
        <f aca="false">IF(ABS(AR355/AR354-1)&lt;0.0005,0,(AR355/AR354-1))</f>
        <v>0.0102176299263739</v>
      </c>
      <c r="AU355" s="163" t="n">
        <f aca="false">IF(ABS(AR355-AR343)&lt;0.05,0,AR355-AR343)</f>
        <v>1.89170994999</v>
      </c>
      <c r="AV355" s="155" t="n">
        <f aca="false">IF(ABS(AR355/AR343-1)&lt;0.0005,0,(AR355/AR343-1))</f>
        <v>0.0382644830736916</v>
      </c>
      <c r="AW355" s="185"/>
      <c r="AX355" s="163" t="n">
        <f aca="false">IF(ABS(H355-H354)&lt;0.05,0,H355-H354)</f>
        <v>-3.048</v>
      </c>
      <c r="AY355" s="164" t="n">
        <f aca="false">IF(ABS(H355/H354-1)&lt;0.0005,0,(H355/H354-1))</f>
        <v>-0.0663777521287485</v>
      </c>
      <c r="AZ355" s="163" t="n">
        <f aca="false">IF(ABS(H355-H343)&lt;0.05,0,H355-H343)</f>
        <v>2.45099999999999</v>
      </c>
      <c r="BA355" s="164" t="n">
        <f aca="false">IF(ABS(H355/H343-1)&lt;0.0005,0,(H355/H343-1))</f>
        <v>0.0606382978723403</v>
      </c>
      <c r="BB355" s="57" t="n">
        <f aca="false">(H355/1.05)</f>
        <v>40.8295238095238</v>
      </c>
      <c r="BC355" s="163" t="n">
        <f aca="false">IF(ABS(BB355-BB354)&lt;0.05,0,BB355-BB354)</f>
        <v>-2.90285714285714</v>
      </c>
      <c r="BD355" s="164" t="n">
        <f aca="false">IF(ABS(BB355/BB354-1)&lt;0.0005,0,(BB355/BB354-1))</f>
        <v>-0.0663777521287485</v>
      </c>
      <c r="BE355" s="163" t="n">
        <f aca="false">IF(ABS(BB355-BB343)&lt;0.05,0,BB355-BB343)</f>
        <v>2.33428571428571</v>
      </c>
      <c r="BF355" s="155" t="n">
        <f aca="false">IF(ABS(BB355/BB343-1)&lt;0.0005,0,(BB355/BB343-1))</f>
        <v>0.0606382978723403</v>
      </c>
      <c r="BG355" s="191"/>
      <c r="BH355" s="163" t="n">
        <f aca="false">IF(ABS(I355-I354)&lt;0.05,0,I355-I354)</f>
        <v>-3.575926</v>
      </c>
      <c r="BI355" s="164" t="n">
        <f aca="false">IF(ABS(I355/I354-1)&lt;0.0005,0,(I355/I354-1))</f>
        <v>-0.0644181121755473</v>
      </c>
      <c r="BJ355" s="163" t="n">
        <f aca="false">IF(ABS(I355-I343)&lt;0.05,0,I355-I343)</f>
        <v>0.289339999999989</v>
      </c>
      <c r="BK355" s="164" t="n">
        <f aca="false">IF(ABS(I355/I343-1)&lt;0.0005,0,(I355/I343-1))</f>
        <v>0.00560237833294197</v>
      </c>
      <c r="BL355" s="57" t="n">
        <f aca="false">(I355/1.05)-11.14</f>
        <v>38.3221552380952</v>
      </c>
      <c r="BM355" s="163" t="n">
        <f aca="false">IF(ABS(BL355-BL354)&lt;0.05,0,BL355-BL354)</f>
        <v>-3.40564380952381</v>
      </c>
      <c r="BN355" s="164" t="n">
        <f aca="false">IF(ABS(BL355/BL354-1)&lt;0.0005,0,(BL355/BL354-1))</f>
        <v>-0.0816157067291603</v>
      </c>
      <c r="BO355" s="163" t="n">
        <f aca="false">IF(ABS(BL355-BL343)&lt;0.05,0,BL355-BL343)</f>
        <v>0.275561904761894</v>
      </c>
      <c r="BP355" s="155" t="n">
        <f aca="false">IF(ABS(BL355/BL343-1)&lt;0.0005,0,(BL355/BL343-1))</f>
        <v>0.00724274844655981</v>
      </c>
      <c r="BQ355" s="191"/>
    </row>
    <row r="356" customFormat="false" ht="12.75" hidden="false" customHeight="true" outlineLevel="0" collapsed="false">
      <c r="A356" s="156" t="n">
        <v>43160</v>
      </c>
      <c r="B356" s="73" t="n">
        <v>2018</v>
      </c>
      <c r="C356" s="157" t="s">
        <v>61</v>
      </c>
      <c r="D356" s="189"/>
      <c r="E356" s="159" t="n">
        <v>128.961472</v>
      </c>
      <c r="F356" s="159" t="n">
        <v>119.10934065825</v>
      </c>
      <c r="G356" s="159" t="n">
        <v>122.794673</v>
      </c>
      <c r="H356" s="159" t="n">
        <v>44.197</v>
      </c>
      <c r="I356" s="159" t="n">
        <v>52.507655</v>
      </c>
      <c r="J356" s="178"/>
      <c r="K356" s="159" t="n">
        <v>92.1027920727904</v>
      </c>
      <c r="L356" s="159"/>
      <c r="M356" s="160" t="n">
        <f aca="false">G356-F356</f>
        <v>3.68533234174953</v>
      </c>
      <c r="N356" s="75"/>
      <c r="O356" s="190"/>
      <c r="P356" s="190"/>
      <c r="Q356" s="190"/>
      <c r="R356" s="191"/>
      <c r="S356" s="57" t="n">
        <f aca="false">IF(ABS(F356-F355)&lt;0.05,0,F356-F355)</f>
        <v>-2.33240022006449</v>
      </c>
      <c r="T356" s="178" t="n">
        <f aca="false">IF((ABS(G356/G355-1))&lt;0.0005,0,(G356/G355-1))</f>
        <v>-0.014979783267541</v>
      </c>
      <c r="U356" s="163" t="n">
        <f aca="false">IF(ABS(F356-F344)&lt;0.05,0,F356-F344)</f>
        <v>-0.280659341749512</v>
      </c>
      <c r="V356" s="164" t="n">
        <f aca="false">IF(ABS(F356/F344-1)&lt;0.0005,0,(F356/F344-1))</f>
        <v>-0.00235077763421987</v>
      </c>
      <c r="W356" s="57" t="n">
        <f aca="false">(F356/1.2)-57.95</f>
        <v>41.3077838818754</v>
      </c>
      <c r="X356" s="163" t="n">
        <f aca="false">IF(ABS(W356-W355)&lt;0.05,0,W356-W355)</f>
        <v>-1.94366685005373</v>
      </c>
      <c r="Y356" s="184" t="n">
        <f aca="false">IF(ABS(W356/W355-1)&lt;0.0005,0,(W356/W355-1))</f>
        <v>-0.0449387666115642</v>
      </c>
      <c r="Z356" s="163" t="n">
        <f aca="false">IF(ABS(W356-W344)&lt;0.05,0,W356-W344)</f>
        <v>-0.233882784791263</v>
      </c>
      <c r="AA356" s="155" t="n">
        <f aca="false">IF(ABS(W356/W344-1)&lt;0.0005,0,(W356/W344-1))</f>
        <v>-0.0056300770661889</v>
      </c>
      <c r="AB356" s="185"/>
      <c r="AC356" s="57" t="n">
        <f aca="false">IF(ABS(G356-G355)&lt;0.05,0,G356-G355)</f>
        <v>-1.86741099999999</v>
      </c>
      <c r="AD356" s="164" t="n">
        <f aca="false">IF(ABS(G356/G355-1)&lt;0.0005,0,(G356/G355-1))</f>
        <v>-0.014979783267541</v>
      </c>
      <c r="AE356" s="163" t="n">
        <f aca="false">IF(ABS(G356-G344)&lt;0.05,0,G356-G344)</f>
        <v>0.454673000000014</v>
      </c>
      <c r="AF356" s="164" t="n">
        <f aca="false">IF(ABS(G356/G344-1)&lt;0.0005,0,(G356/G344-1))</f>
        <v>0.00371647049207136</v>
      </c>
      <c r="AG356" s="57" t="n">
        <f aca="false">(G356/1.2)-57.95</f>
        <v>44.3788941666667</v>
      </c>
      <c r="AH356" s="163" t="n">
        <f aca="false">IF(ABS(AG356-AG355)&lt;0.05,0,AG356-AG355)</f>
        <v>-1.55617583333333</v>
      </c>
      <c r="AI356" s="164" t="n">
        <f aca="false">IF(ABS(AG356/AG355-1)&lt;0.0005,0,(AG356/AG355-1))</f>
        <v>-0.0338777285706395</v>
      </c>
      <c r="AJ356" s="163" t="n">
        <f aca="false">IF(ABS(AG356-AG344)&lt;0.05,0,AG356-AG344)</f>
        <v>0.378894166666683</v>
      </c>
      <c r="AK356" s="155" t="n">
        <f aca="false">IF(ABS(AG356/AG344-1)&lt;0.0005,0,(AG356/AG344-1))</f>
        <v>0.00861123106060635</v>
      </c>
      <c r="AL356" s="185"/>
      <c r="AM356" s="156" t="n">
        <f aca="false">IF(E356="..","",A356)</f>
        <v>43160</v>
      </c>
      <c r="AN356" s="57" t="n">
        <f aca="false">IF(ABS(E356-E355)&lt;0.05,0,E356-E355)</f>
        <v>-2.17388000000003</v>
      </c>
      <c r="AO356" s="164" t="n">
        <f aca="false">IF(ABS(E356/E355-1)&lt;0.0005,0,(E356/E355-1))</f>
        <v>-0.0165773757178768</v>
      </c>
      <c r="AP356" s="163" t="n">
        <f aca="false">IF(ABS(E356-E344)&lt;0.05,0,E356-E344)</f>
        <v>0.561471999999981</v>
      </c>
      <c r="AQ356" s="164" t="n">
        <f aca="false">IF(ABS(E356/E344-1)&lt;0.0005,0,(E356/E344-1))</f>
        <v>0.00437283489096552</v>
      </c>
      <c r="AR356" s="57" t="n">
        <f aca="false">(E356/1.2)-57.95</f>
        <v>49.5178933333333</v>
      </c>
      <c r="AS356" s="163" t="n">
        <f aca="false">IF(ABS(AR356-AR355)&lt;0.05,0,AR356-AR355)</f>
        <v>-1.81156666666669</v>
      </c>
      <c r="AT356" s="164" t="n">
        <f aca="false">IF(ABS(AR356/AR355-1)&lt;0.0005,0,(AR356/AR355-1))</f>
        <v>-0.0352929227517043</v>
      </c>
      <c r="AU356" s="163" t="n">
        <f aca="false">IF(ABS(AR356-AR344)&lt;0.05,0,AR356-AR344)</f>
        <v>0.467893333333308</v>
      </c>
      <c r="AV356" s="155" t="n">
        <f aca="false">IF(ABS(AR356/AR344-1)&lt;0.0005,0,(AR356/AR344-1))</f>
        <v>0.00953910975195327</v>
      </c>
      <c r="AW356" s="185"/>
      <c r="AX356" s="163" t="n">
        <f aca="false">IF(ABS(H356-H355)&lt;0.05,0,H356-H355)</f>
        <v>1.32600000000001</v>
      </c>
      <c r="AY356" s="164" t="n">
        <f aca="false">IF(ABS(H356/H355-1)&lt;0.0005,0,(H356/H355-1))</f>
        <v>0.0309299993002266</v>
      </c>
      <c r="AZ356" s="163" t="n">
        <f aca="false">IF(ABS(H356-H344)&lt;0.05,0,H356-H344)</f>
        <v>4.61700000000001</v>
      </c>
      <c r="BA356" s="164" t="n">
        <f aca="false">IF(ABS(H356/H344-1)&lt;0.0005,0,(H356/H344-1))</f>
        <v>0.116649823143002</v>
      </c>
      <c r="BB356" s="57" t="n">
        <f aca="false">(H356/1.05)</f>
        <v>42.092380952381</v>
      </c>
      <c r="BC356" s="163" t="n">
        <f aca="false">IF(ABS(BB356-BB355)&lt;0.05,0,BB356-BB355)</f>
        <v>1.26285714285715</v>
      </c>
      <c r="BD356" s="164" t="n">
        <f aca="false">IF(ABS(BB356/BB355-1)&lt;0.0005,0,(BB356/BB355-1))</f>
        <v>0.0309299993002266</v>
      </c>
      <c r="BE356" s="163" t="n">
        <f aca="false">IF(ABS(BB356-BB344)&lt;0.05,0,BB356-BB344)</f>
        <v>4.39714285714287</v>
      </c>
      <c r="BF356" s="155" t="n">
        <f aca="false">IF(ABS(BB356/BB344-1)&lt;0.0005,0,(BB356/BB344-1))</f>
        <v>0.116649823143002</v>
      </c>
      <c r="BG356" s="191"/>
      <c r="BH356" s="163" t="n">
        <f aca="false">IF(ABS(I356-I355)&lt;0.05,0,I356-I355)</f>
        <v>0.572392000000001</v>
      </c>
      <c r="BI356" s="164" t="n">
        <f aca="false">IF(ABS(I356/I355-1)&lt;0.0005,0,(I356/I355-1))</f>
        <v>0.0110212592935171</v>
      </c>
      <c r="BJ356" s="163" t="n">
        <f aca="false">IF(ABS(I356-I344)&lt;0.05,0,I356-I344)</f>
        <v>0.297654999999992</v>
      </c>
      <c r="BK356" s="164" t="n">
        <f aca="false">IF(ABS(I356/I344-1)&lt;0.0005,0,(I356/I344-1))</f>
        <v>0.00570111089829517</v>
      </c>
      <c r="BL356" s="57" t="n">
        <f aca="false">(I356/1.05)-11.14</f>
        <v>38.8672904761905</v>
      </c>
      <c r="BM356" s="163" t="n">
        <f aca="false">IF(ABS(BL356-BL355)&lt;0.05,0,BL356-BL355)</f>
        <v>0.545135238095241</v>
      </c>
      <c r="BN356" s="164" t="n">
        <f aca="false">IF(ABS(BL356/BL355-1)&lt;0.0005,0,(BL356/BL355-1))</f>
        <v>0.0142250673196307</v>
      </c>
      <c r="BO356" s="163" t="n">
        <f aca="false">IF(ABS(BL356-BL344)&lt;0.05,0,BL356-BL344)</f>
        <v>0.283480952380948</v>
      </c>
      <c r="BP356" s="155" t="n">
        <f aca="false">IF(ABS(BL356/BL344-1)&lt;0.0005,0,(BL356/BL344-1))</f>
        <v>0.00734714782909185</v>
      </c>
      <c r="BQ356" s="191"/>
    </row>
    <row r="357" customFormat="false" ht="12.75" hidden="false" customHeight="true" outlineLevel="0" collapsed="false">
      <c r="A357" s="156" t="n">
        <v>43191</v>
      </c>
      <c r="B357" s="73" t="n">
        <v>2018</v>
      </c>
      <c r="C357" s="157" t="s">
        <v>62</v>
      </c>
      <c r="D357" s="189"/>
      <c r="E357" s="159" t="n">
        <v>130.0443</v>
      </c>
      <c r="F357" s="159" t="n">
        <v>120.574023209783</v>
      </c>
      <c r="G357" s="159" t="n">
        <v>124.158995</v>
      </c>
      <c r="H357" s="159" t="n">
        <v>45.933</v>
      </c>
      <c r="I357" s="159" t="n">
        <v>55.431076</v>
      </c>
      <c r="J357" s="178"/>
      <c r="K357" s="159" t="n">
        <v>97.0488558836222</v>
      </c>
      <c r="L357" s="159"/>
      <c r="M357" s="160" t="n">
        <f aca="false">G357-F357</f>
        <v>3.58497179021701</v>
      </c>
      <c r="N357" s="75"/>
      <c r="O357" s="190"/>
      <c r="P357" s="190"/>
      <c r="Q357" s="190"/>
      <c r="R357" s="191"/>
      <c r="S357" s="57" t="n">
        <f aca="false">IF(ABS(F357-F356)&lt;0.05,0,F357-F356)</f>
        <v>1.46468255153252</v>
      </c>
      <c r="T357" s="178" t="n">
        <f aca="false">IF((ABS(G357/G356-1))&lt;0.0005,0,(G357/G356-1))</f>
        <v>0.0111105959783777</v>
      </c>
      <c r="U357" s="163" t="n">
        <f aca="false">IF(ABS(F357-F345)&lt;0.05,0,F357-F345)</f>
        <v>3.27240391420368</v>
      </c>
      <c r="V357" s="164" t="n">
        <f aca="false">IF(ABS(F357/F345-1)&lt;0.0005,0,(F357/F345-1))</f>
        <v>0.0278973464633749</v>
      </c>
      <c r="W357" s="57" t="n">
        <f aca="false">(F357/1.2)-57.95</f>
        <v>42.5283526748192</v>
      </c>
      <c r="X357" s="163" t="n">
        <f aca="false">IF(ABS(W357-W356)&lt;0.05,0,W357-W356)</f>
        <v>1.22056879294377</v>
      </c>
      <c r="Y357" s="184" t="n">
        <f aca="false">IF(ABS(W357/W356-1)&lt;0.0005,0,(W357/W356-1))</f>
        <v>0.0295481548086465</v>
      </c>
      <c r="Z357" s="163" t="n">
        <f aca="false">IF(ABS(W357-W345)&lt;0.05,0,W357-W345)</f>
        <v>2.7270032618364</v>
      </c>
      <c r="AA357" s="155" t="n">
        <f aca="false">IF(ABS(W357/W345-1)&lt;0.0005,0,(W357/W345-1))</f>
        <v>0.0685153468929092</v>
      </c>
      <c r="AB357" s="185"/>
      <c r="AC357" s="57" t="n">
        <f aca="false">IF(ABS(G357-G356)&lt;0.05,0,G357-G356)</f>
        <v>1.364322</v>
      </c>
      <c r="AD357" s="164" t="n">
        <f aca="false">IF(ABS(G357/G356-1)&lt;0.0005,0,(G357/G356-1))</f>
        <v>0.0111105959783777</v>
      </c>
      <c r="AE357" s="163" t="n">
        <f aca="false">IF(ABS(G357-G345)&lt;0.05,0,G357-G345)</f>
        <v>4.267027</v>
      </c>
      <c r="AF357" s="164" t="n">
        <f aca="false">IF(ABS(G357/G345-1)&lt;0.0005,0,(G357/G345-1))</f>
        <v>0.035590599363587</v>
      </c>
      <c r="AG357" s="57" t="n">
        <f aca="false">(G357/1.2)-57.95</f>
        <v>45.5158291666667</v>
      </c>
      <c r="AH357" s="163" t="n">
        <f aca="false">IF(ABS(AG357-AG356)&lt;0.05,0,AG357-AG356)</f>
        <v>1.13693499999999</v>
      </c>
      <c r="AI357" s="164" t="n">
        <f aca="false">IF(ABS(AG357/AG356-1)&lt;0.0005,0,(AG357/AG356-1))</f>
        <v>0.02561882222054</v>
      </c>
      <c r="AJ357" s="163" t="n">
        <f aca="false">IF(ABS(AG357-AG345)&lt;0.05,0,AG357-AG345)</f>
        <v>3.55585583333333</v>
      </c>
      <c r="AK357" s="155" t="n">
        <f aca="false">IF(ABS(AG357/AG345-1)&lt;0.0005,0,(AG357/AG345-1))</f>
        <v>0.0847439965007919</v>
      </c>
      <c r="AL357" s="185"/>
      <c r="AM357" s="156" t="n">
        <f aca="false">IF(E357="..","",A357)</f>
        <v>43191</v>
      </c>
      <c r="AN357" s="57" t="n">
        <f aca="false">IF(ABS(E357-E356)&lt;0.05,0,E357-E356)</f>
        <v>1.08282800000003</v>
      </c>
      <c r="AO357" s="164" t="n">
        <f aca="false">IF(ABS(E357/E356-1)&lt;0.0005,0,(E357/E356-1))</f>
        <v>0.00839652326549145</v>
      </c>
      <c r="AP357" s="163" t="n">
        <f aca="false">IF(ABS(E357-E345)&lt;0.05,0,E357-E345)</f>
        <v>3.33364886977397</v>
      </c>
      <c r="AQ357" s="164" t="n">
        <f aca="false">IF(ABS(E357/E345-1)&lt;0.0005,0,(E357/E345-1))</f>
        <v>0.0263091448117321</v>
      </c>
      <c r="AR357" s="57" t="n">
        <f aca="false">(E357/1.2)-57.95</f>
        <v>50.42025</v>
      </c>
      <c r="AS357" s="163" t="n">
        <f aca="false">IF(ABS(AR357-AR356)&lt;0.05,0,AR357-AR356)</f>
        <v>0.902356666666705</v>
      </c>
      <c r="AT357" s="164" t="n">
        <f aca="false">IF(ABS(AR357/AR356-1)&lt;0.0005,0,(AR357/AR356-1))</f>
        <v>0.0182228403900875</v>
      </c>
      <c r="AU357" s="163" t="n">
        <f aca="false">IF(ABS(AR357-AR345)&lt;0.05,0,AR357-AR345)</f>
        <v>2.77804072481165</v>
      </c>
      <c r="AV357" s="155" t="n">
        <f aca="false">IF(ABS(AR357/AR345-1)&lt;0.0005,0,(AR357/AR345-1))</f>
        <v>0.0583104933015444</v>
      </c>
      <c r="AW357" s="185"/>
      <c r="AX357" s="163" t="n">
        <f aca="false">IF(ABS(H357-H356)&lt;0.05,0,H357-H356)</f>
        <v>1.73599999999998</v>
      </c>
      <c r="AY357" s="164" t="n">
        <f aca="false">IF(ABS(H357/H356-1)&lt;0.0005,0,(H357/H356-1))</f>
        <v>0.0392786840735793</v>
      </c>
      <c r="AZ357" s="163" t="n">
        <f aca="false">IF(ABS(H357-H345)&lt;0.05,0,H357-H345)</f>
        <v>6.16099999999999</v>
      </c>
      <c r="BA357" s="164" t="n">
        <f aca="false">IF(ABS(H357/H345-1)&lt;0.0005,0,(H357/H345-1))</f>
        <v>0.154907975460123</v>
      </c>
      <c r="BB357" s="57" t="n">
        <f aca="false">(H357/1.05)</f>
        <v>43.7457142857143</v>
      </c>
      <c r="BC357" s="163" t="n">
        <f aca="false">IF(ABS(BB357-BB356)&lt;0.05,0,BB357-BB356)</f>
        <v>1.65333333333332</v>
      </c>
      <c r="BD357" s="164" t="n">
        <f aca="false">IF(ABS(BB357/BB356-1)&lt;0.0005,0,(BB357/BB356-1))</f>
        <v>0.0392786840735795</v>
      </c>
      <c r="BE357" s="163" t="n">
        <f aca="false">IF(ABS(BB357-BB345)&lt;0.05,0,BB357-BB345)</f>
        <v>5.86761904761904</v>
      </c>
      <c r="BF357" s="155" t="n">
        <f aca="false">IF(ABS(BB357/BB345-1)&lt;0.0005,0,(BB357/BB345-1))</f>
        <v>0.154907975460123</v>
      </c>
      <c r="BG357" s="191"/>
      <c r="BH357" s="163" t="n">
        <f aca="false">IF(ABS(I357-I356)&lt;0.05,0,I357-I356)</f>
        <v>2.923421</v>
      </c>
      <c r="BI357" s="164" t="n">
        <f aca="false">IF(ABS(I357/I356-1)&lt;0.0005,0,(I357/I356-1))</f>
        <v>0.0556760914194321</v>
      </c>
      <c r="BJ357" s="163" t="n">
        <f aca="false">IF(ABS(I357-I345)&lt;0.05,0,I357-I345)</f>
        <v>4.01020799999999</v>
      </c>
      <c r="BK357" s="164" t="n">
        <f aca="false">IF(ABS(I357/I345-1)&lt;0.0005,0,(I357/I345-1))</f>
        <v>0.0779879483948034</v>
      </c>
      <c r="BL357" s="57" t="n">
        <f aca="false">(I357/1.05)-11.14</f>
        <v>41.6515009523809</v>
      </c>
      <c r="BM357" s="163" t="n">
        <f aca="false">IF(ABS(BL357-BL356)&lt;0.05,0,BL357-BL356)</f>
        <v>2.78421047619047</v>
      </c>
      <c r="BN357" s="164" t="n">
        <f aca="false">IF(ABS(BL357/BL356-1)&lt;0.0005,0,(BL357/BL356-1))</f>
        <v>0.0716337681911745</v>
      </c>
      <c r="BO357" s="163" t="n">
        <f aca="false">IF(ABS(BL357-BL345)&lt;0.05,0,BL357-BL345)</f>
        <v>3.81924571428571</v>
      </c>
      <c r="BP357" s="155" t="n">
        <f aca="false">IF(ABS(BL357/BL345-1)&lt;0.0005,0,(BL357/BL345-1))</f>
        <v>0.100952102650225</v>
      </c>
      <c r="BQ357" s="191"/>
    </row>
    <row r="358" customFormat="false" ht="12.75" hidden="false" customHeight="true" outlineLevel="0" collapsed="false">
      <c r="A358" s="156" t="n">
        <v>43221</v>
      </c>
      <c r="B358" s="73" t="n">
        <v>2018</v>
      </c>
      <c r="C358" s="157" t="s">
        <v>63</v>
      </c>
      <c r="D358" s="189"/>
      <c r="E358" s="159" t="n">
        <v>134.331914</v>
      </c>
      <c r="F358" s="159" t="n">
        <v>124.669525962045</v>
      </c>
      <c r="G358" s="159" t="n">
        <v>128.290196</v>
      </c>
      <c r="H358" s="159" t="n">
        <v>49.49</v>
      </c>
      <c r="I358" s="159" t="n">
        <v>60.610683</v>
      </c>
      <c r="J358" s="178"/>
      <c r="K358" s="159" t="n">
        <v>110.187354842519</v>
      </c>
      <c r="L358" s="159"/>
      <c r="M358" s="160" t="n">
        <f aca="false">G358-F358</f>
        <v>3.62067003795492</v>
      </c>
      <c r="N358" s="75"/>
      <c r="O358" s="190"/>
      <c r="P358" s="190"/>
      <c r="Q358" s="190"/>
      <c r="R358" s="191"/>
      <c r="S358" s="57" t="n">
        <f aca="false">IF(ABS(F358-F357)&lt;0.05,0,F358-F357)</f>
        <v>4.09550275226208</v>
      </c>
      <c r="T358" s="178" t="n">
        <f aca="false">IF((ABS(G358/G357-1))&lt;0.0005,0,(G358/G357-1))</f>
        <v>0.0332734732590256</v>
      </c>
      <c r="U358" s="163" t="n">
        <f aca="false">IF(ABS(F358-F346)&lt;0.05,0,F358-F346)</f>
        <v>9.14832954836751</v>
      </c>
      <c r="V358" s="164" t="n">
        <f aca="false">IF(ABS(F358/F346-1)&lt;0.0005,0,(F358/F346-1))</f>
        <v>0.0791917832603435</v>
      </c>
      <c r="W358" s="57" t="n">
        <f aca="false">(F358/1.2)-57.95</f>
        <v>45.9412716350376</v>
      </c>
      <c r="X358" s="163" t="n">
        <f aca="false">IF(ABS(W358-W357)&lt;0.05,0,W358-W357)</f>
        <v>3.41291896021839</v>
      </c>
      <c r="Y358" s="184" t="n">
        <f aca="false">IF(ABS(W358/W357-1)&lt;0.0005,0,(W358/W357-1))</f>
        <v>0.0802504387205942</v>
      </c>
      <c r="Z358" s="163" t="n">
        <f aca="false">IF(ABS(W358-W346)&lt;0.05,0,W358-W346)</f>
        <v>7.62360795697292</v>
      </c>
      <c r="AA358" s="155" t="n">
        <f aca="false">IF(ABS(W358/W346-1)&lt;0.0005,0,(W358/W346-1))</f>
        <v>0.198958058117127</v>
      </c>
      <c r="AB358" s="185"/>
      <c r="AC358" s="57" t="n">
        <f aca="false">IF(ABS(G358-G357)&lt;0.05,0,G358-G357)</f>
        <v>4.13120099999999</v>
      </c>
      <c r="AD358" s="164" t="n">
        <f aca="false">IF(ABS(G358/G357-1)&lt;0.0005,0,(G358/G357-1))</f>
        <v>0.0332734732590256</v>
      </c>
      <c r="AE358" s="163" t="n">
        <f aca="false">IF(ABS(G358-G346)&lt;0.05,0,G358-G346)</f>
        <v>10.89184</v>
      </c>
      <c r="AF358" s="164" t="n">
        <f aca="false">IF(ABS(G358/G346-1)&lt;0.0005,0,(G358/G346-1))</f>
        <v>0.0927767676746683</v>
      </c>
      <c r="AG358" s="57" t="n">
        <f aca="false">(G358/1.2)-57.95</f>
        <v>48.9584966666667</v>
      </c>
      <c r="AH358" s="163" t="n">
        <f aca="false">IF(ABS(AG358-AG357)&lt;0.05,0,AG358-AG357)</f>
        <v>3.4426675</v>
      </c>
      <c r="AI358" s="164" t="n">
        <f aca="false">IF(ABS(AG358/AG357-1)&lt;0.0005,0,(AG358/AG357-1))</f>
        <v>0.0756367084381542</v>
      </c>
      <c r="AJ358" s="163" t="n">
        <f aca="false">IF(ABS(AG358-AG346)&lt;0.05,0,AG358-AG346)</f>
        <v>9.07653333333333</v>
      </c>
      <c r="AK358" s="155" t="n">
        <f aca="false">IF(ABS(AG358/AG346-1)&lt;0.0005,0,(AG358/AG346-1))</f>
        <v>0.227584917459346</v>
      </c>
      <c r="AL358" s="185"/>
      <c r="AM358" s="156" t="n">
        <f aca="false">IF(E358="..","",A358)</f>
        <v>43221</v>
      </c>
      <c r="AN358" s="57" t="n">
        <f aca="false">IF(ABS(E358-E357)&lt;0.05,0,E358-E357)</f>
        <v>4.28761399999999</v>
      </c>
      <c r="AO358" s="164" t="n">
        <f aca="false">IF(ABS(E358/E357-1)&lt;0.0005,0,(E358/E357-1))</f>
        <v>0.0329704108523019</v>
      </c>
      <c r="AP358" s="163" t="n">
        <f aca="false">IF(ABS(E358-E346)&lt;0.05,0,E358-E346)</f>
        <v>9.32458553430689</v>
      </c>
      <c r="AQ358" s="164" t="n">
        <f aca="false">IF(ABS(E358/E346-1)&lt;0.0005,0,(E358/E346-1))</f>
        <v>0.0745923110969124</v>
      </c>
      <c r="AR358" s="57" t="n">
        <f aca="false">(E358/1.2)-57.95</f>
        <v>53.9932616666667</v>
      </c>
      <c r="AS358" s="163" t="n">
        <f aca="false">IF(ABS(AR358-AR357)&lt;0.05,0,AR358-AR357)</f>
        <v>3.57301166666666</v>
      </c>
      <c r="AT358" s="164" t="n">
        <f aca="false">IF(ABS(AR358/AR357-1)&lt;0.0005,0,(AR358/AR357-1))</f>
        <v>0.0708646162338873</v>
      </c>
      <c r="AU358" s="163" t="n">
        <f aca="false">IF(ABS(AR358-AR346)&lt;0.05,0,AR358-AR346)</f>
        <v>7.77048794525575</v>
      </c>
      <c r="AV358" s="155" t="n">
        <f aca="false">IF(ABS(AR358/AR346-1)&lt;0.0005,0,(AR358/AR346-1))</f>
        <v>0.16810951225232</v>
      </c>
      <c r="AW358" s="185"/>
      <c r="AX358" s="163" t="n">
        <f aca="false">IF(ABS(H358-H357)&lt;0.05,0,H358-H357)</f>
        <v>3.55700000000001</v>
      </c>
      <c r="AY358" s="164" t="n">
        <f aca="false">IF(ABS(H358/H357-1)&lt;0.0005,0,(H358/H357-1))</f>
        <v>0.0774388783663165</v>
      </c>
      <c r="AZ358" s="163" t="n">
        <f aca="false">IF(ABS(H358-H346)&lt;0.05,0,H358-H346)</f>
        <v>13.018</v>
      </c>
      <c r="BA358" s="164" t="n">
        <f aca="false">IF(ABS(H358/H346-1)&lt;0.0005,0,(H358/H346-1))</f>
        <v>0.356931344593113</v>
      </c>
      <c r="BB358" s="57" t="n">
        <f aca="false">(H358/1.05)</f>
        <v>47.1333333333333</v>
      </c>
      <c r="BC358" s="163" t="n">
        <f aca="false">IF(ABS(BB358-BB357)&lt;0.05,0,BB358-BB357)</f>
        <v>3.38761904761905</v>
      </c>
      <c r="BD358" s="164" t="n">
        <f aca="false">IF(ABS(BB358/BB357-1)&lt;0.0005,0,(BB358/BB357-1))</f>
        <v>0.0774388783663162</v>
      </c>
      <c r="BE358" s="163" t="n">
        <f aca="false">IF(ABS(BB358-BB346)&lt;0.05,0,BB358-BB346)</f>
        <v>12.3980952380952</v>
      </c>
      <c r="BF358" s="155" t="n">
        <f aca="false">IF(ABS(BB358/BB346-1)&lt;0.0005,0,(BB358/BB346-1))</f>
        <v>0.356931344593113</v>
      </c>
      <c r="BG358" s="191"/>
      <c r="BH358" s="163" t="n">
        <f aca="false">IF(ABS(I358-I357)&lt;0.05,0,I358-I357)</f>
        <v>5.17960700000001</v>
      </c>
      <c r="BI358" s="164" t="n">
        <f aca="false">IF(ABS(I358/I357-1)&lt;0.0005,0,(I358/I357-1))</f>
        <v>0.0934422957981189</v>
      </c>
      <c r="BJ358" s="163" t="n">
        <f aca="false">IF(ABS(I358-I346)&lt;0.05,0,I358-I346)</f>
        <v>12.645703</v>
      </c>
      <c r="BK358" s="164" t="n">
        <f aca="false">IF(ABS(I358/I346-1)&lt;0.0005,0,(I358/I346-1))</f>
        <v>0.263644496463878</v>
      </c>
      <c r="BL358" s="57" t="n">
        <f aca="false">(I358/1.05)-11.14</f>
        <v>46.58446</v>
      </c>
      <c r="BM358" s="163" t="n">
        <f aca="false">IF(ABS(BL358-BL357)&lt;0.05,0,BL358-BL357)</f>
        <v>4.93295904761906</v>
      </c>
      <c r="BN358" s="164" t="n">
        <f aca="false">IF(ABS(BL358/BL357-1)&lt;0.0005,0,(BL358/BL357-1))</f>
        <v>0.118434124457094</v>
      </c>
      <c r="BO358" s="163" t="n">
        <f aca="false">IF(ABS(BL358-BL346)&lt;0.05,0,BL358-BL346)</f>
        <v>12.0435266666667</v>
      </c>
      <c r="BP358" s="155" t="n">
        <f aca="false">IF(ABS(BL358/BL346-1)&lt;0.0005,0,(BL358/BL346-1))</f>
        <v>0.348674036987999</v>
      </c>
      <c r="BQ358" s="191"/>
    </row>
    <row r="359" customFormat="false" ht="12.75" hidden="false" customHeight="true" outlineLevel="0" collapsed="false">
      <c r="A359" s="156" t="n">
        <v>43252</v>
      </c>
      <c r="B359" s="73" t="n">
        <v>2018</v>
      </c>
      <c r="C359" s="157" t="s">
        <v>64</v>
      </c>
      <c r="D359" s="189"/>
      <c r="E359" s="159" t="n">
        <v>138.252613</v>
      </c>
      <c r="F359" s="159" t="n">
        <v>127.944978939909</v>
      </c>
      <c r="G359" s="159" t="n">
        <v>131.876316</v>
      </c>
      <c r="H359" s="159" t="n">
        <v>48.934</v>
      </c>
      <c r="I359" s="159" t="n">
        <v>60.878897</v>
      </c>
      <c r="J359" s="178"/>
      <c r="K359" s="159" t="n">
        <v>109.638553339869</v>
      </c>
      <c r="L359" s="159"/>
      <c r="M359" s="160" t="n">
        <f aca="false">G359-F359</f>
        <v>3.93133706009077</v>
      </c>
      <c r="N359" s="75"/>
      <c r="O359" s="190"/>
      <c r="P359" s="190"/>
      <c r="Q359" s="190"/>
      <c r="R359" s="191"/>
      <c r="S359" s="57" t="n">
        <f aca="false">IF(ABS(F359-F358)&lt;0.05,0,F359-F358)</f>
        <v>3.27545297786418</v>
      </c>
      <c r="T359" s="178" t="n">
        <f aca="false">IF((ABS(G359/G358-1))&lt;0.0005,0,(G359/G358-1))</f>
        <v>0.0279531882545414</v>
      </c>
      <c r="U359" s="163" t="n">
        <f aca="false">IF(ABS(F359-F347)&lt;0.05,0,F359-F347)</f>
        <v>12.3965554881119</v>
      </c>
      <c r="V359" s="164" t="n">
        <f aca="false">IF(ABS(F359/F347-1)&lt;0.0005,0,(F359/F347-1))</f>
        <v>0.107284505645231</v>
      </c>
      <c r="W359" s="57" t="n">
        <f aca="false">(F359/1.2)-57.95</f>
        <v>48.6708157832577</v>
      </c>
      <c r="X359" s="163" t="n">
        <f aca="false">IF(ABS(W359-W358)&lt;0.05,0,W359-W358)</f>
        <v>2.72954414822016</v>
      </c>
      <c r="Y359" s="184" t="n">
        <f aca="false">IF(ABS(W359/W358-1)&lt;0.0005,0,(W359/W358-1))</f>
        <v>0.0594137700389303</v>
      </c>
      <c r="Z359" s="163" t="n">
        <f aca="false">IF(ABS(W359-W347)&lt;0.05,0,W359-W347)</f>
        <v>10.3304629067599</v>
      </c>
      <c r="AA359" s="155" t="n">
        <f aca="false">IF(ABS(W359/W347-1)&lt;0.0005,0,(W359/W347-1))</f>
        <v>0.269440997062194</v>
      </c>
      <c r="AB359" s="185"/>
      <c r="AC359" s="57" t="n">
        <f aca="false">IF(ABS(G359-G358)&lt;0.05,0,G359-G358)</f>
        <v>3.58612000000002</v>
      </c>
      <c r="AD359" s="164" t="n">
        <f aca="false">IF(ABS(G359/G358-1)&lt;0.0005,0,(G359/G358-1))</f>
        <v>0.0279531882545414</v>
      </c>
      <c r="AE359" s="163" t="n">
        <f aca="false">IF(ABS(G359-G347)&lt;0.05,0,G359-G347)</f>
        <v>14.339965</v>
      </c>
      <c r="AF359" s="164" t="n">
        <f aca="false">IF(ABS(G359/G347-1)&lt;0.0005,0,(G359/G347-1))</f>
        <v>0.122004510757698</v>
      </c>
      <c r="AG359" s="57" t="n">
        <f aca="false">(G359/1.2)-57.95</f>
        <v>51.94693</v>
      </c>
      <c r="AH359" s="163" t="n">
        <f aca="false">IF(ABS(AG359-AG358)&lt;0.05,0,AG359-AG358)</f>
        <v>2.98843333333335</v>
      </c>
      <c r="AI359" s="164" t="n">
        <f aca="false">IF(ABS(AG359/AG358-1)&lt;0.0005,0,(AG359/AG358-1))</f>
        <v>0.061040136785246</v>
      </c>
      <c r="AJ359" s="163" t="n">
        <f aca="false">IF(ABS(AG359-AG347)&lt;0.05,0,AG359-AG347)</f>
        <v>11.9499708333334</v>
      </c>
      <c r="AK359" s="155" t="n">
        <f aca="false">IF(ABS(AG359/AG347-1)&lt;0.0005,0,(AG359/AG347-1))</f>
        <v>0.298771983728513</v>
      </c>
      <c r="AL359" s="185"/>
      <c r="AM359" s="156" t="n">
        <f aca="false">IF(E359="..","",A359)</f>
        <v>43252</v>
      </c>
      <c r="AN359" s="57" t="n">
        <f aca="false">IF(ABS(E359-E358)&lt;0.05,0,E359-E358)</f>
        <v>3.92069900000001</v>
      </c>
      <c r="AO359" s="164" t="n">
        <f aca="false">IF(ABS(E359/E358-1)&lt;0.0005,0,(E359/E358-1))</f>
        <v>0.0291866532922327</v>
      </c>
      <c r="AP359" s="163" t="n">
        <f aca="false">IF(ABS(E359-E347)&lt;0.05,0,E359-E347)</f>
        <v>13.2965637901581</v>
      </c>
      <c r="AQ359" s="164" t="n">
        <f aca="false">IF(ABS(E359/E347-1)&lt;0.0005,0,(E359/E347-1))</f>
        <v>0.106409924723443</v>
      </c>
      <c r="AR359" s="57" t="n">
        <f aca="false">(E359/1.2)-57.95</f>
        <v>57.2605108333334</v>
      </c>
      <c r="AS359" s="163" t="n">
        <f aca="false">IF(ABS(AR359-AR358)&lt;0.05,0,AR359-AR358)</f>
        <v>3.26724916666667</v>
      </c>
      <c r="AT359" s="164" t="n">
        <f aca="false">IF(ABS(AR359/AR358-1)&lt;0.0005,0,(AR359/AR358-1))</f>
        <v>0.0605121651445582</v>
      </c>
      <c r="AU359" s="163" t="n">
        <f aca="false">IF(ABS(AR359-AR347)&lt;0.05,0,AR359-AR347)</f>
        <v>11.0804698251317</v>
      </c>
      <c r="AV359" s="155" t="n">
        <f aca="false">IF(ABS(AR359/AR347-1)&lt;0.0005,0,(AR359/AR347-1))</f>
        <v>0.239940666643493</v>
      </c>
      <c r="AW359" s="185"/>
      <c r="AX359" s="163" t="n">
        <f aca="false">IF(ABS(H359-H358)&lt;0.05,0,H359-H358)</f>
        <v>-0.556000000000005</v>
      </c>
      <c r="AY359" s="164" t="n">
        <f aca="false">IF(ABS(H359/H358-1)&lt;0.0005,0,(H359/H358-1))</f>
        <v>-0.0112345928470399</v>
      </c>
      <c r="AZ359" s="163" t="n">
        <f aca="false">IF(ABS(H359-H347)&lt;0.05,0,H359-H347)</f>
        <v>13.203</v>
      </c>
      <c r="BA359" s="164" t="n">
        <f aca="false">IF(ABS(H359/H347-1)&lt;0.0005,0,(H359/H347-1))</f>
        <v>0.369511068819792</v>
      </c>
      <c r="BB359" s="57" t="n">
        <f aca="false">(H359/1.05)</f>
        <v>46.6038095238095</v>
      </c>
      <c r="BC359" s="163" t="n">
        <f aca="false">IF(ABS(BB359-BB358)&lt;0.05,0,BB359-BB358)</f>
        <v>-0.529523809523816</v>
      </c>
      <c r="BD359" s="164" t="n">
        <f aca="false">IF(ABS(BB359/BB358-1)&lt;0.0005,0,(BB359/BB358-1))</f>
        <v>-0.01123459284704</v>
      </c>
      <c r="BE359" s="163" t="n">
        <f aca="false">IF(ABS(BB359-BB347)&lt;0.05,0,BB359-BB347)</f>
        <v>12.5742857142857</v>
      </c>
      <c r="BF359" s="155" t="n">
        <f aca="false">IF(ABS(BB359/BB347-1)&lt;0.0005,0,(BB359/BB347-1))</f>
        <v>0.369511068819792</v>
      </c>
      <c r="BG359" s="191"/>
      <c r="BH359" s="163" t="n">
        <f aca="false">IF(ABS(I359-I358)&lt;0.05,0,I359-I358)</f>
        <v>0.268213999999993</v>
      </c>
      <c r="BI359" s="164" t="n">
        <f aca="false">IF(ABS(I359/I358-1)&lt;0.0005,0,(I359/I358-1))</f>
        <v>0.00442519349270487</v>
      </c>
      <c r="BJ359" s="163" t="n">
        <f aca="false">IF(ABS(I359-I347)&lt;0.05,0,I359-I347)</f>
        <v>15.299056</v>
      </c>
      <c r="BK359" s="164" t="n">
        <f aca="false">IF(ABS(I359/I347-1)&lt;0.0005,0,(I359/I347-1))</f>
        <v>0.33565400107473</v>
      </c>
      <c r="BL359" s="57" t="n">
        <f aca="false">(I359/1.05)-11.14</f>
        <v>46.8399019047619</v>
      </c>
      <c r="BM359" s="163" t="n">
        <f aca="false">IF(ABS(BL359-BL358)&lt;0.05,0,BL359-BL358)</f>
        <v>0.255441904761895</v>
      </c>
      <c r="BN359" s="164" t="n">
        <f aca="false">IF(ABS(BL359/BL358-1)&lt;0.0005,0,(BL359/BL358-1))</f>
        <v>0.00548341452840484</v>
      </c>
      <c r="BO359" s="163" t="n">
        <f aca="false">IF(ABS(BL359-BL347)&lt;0.05,0,BL359-BL347)</f>
        <v>14.5705295238095</v>
      </c>
      <c r="BP359" s="155" t="n">
        <f aca="false">IF(ABS(BL359/BL347-1)&lt;0.0005,0,(BL359/BL347-1))</f>
        <v>0.451528134845599</v>
      </c>
      <c r="BQ359" s="191"/>
    </row>
    <row r="360" customFormat="false" ht="12.75" hidden="false" customHeight="true" outlineLevel="0" collapsed="false">
      <c r="A360" s="156" t="n">
        <v>43282</v>
      </c>
      <c r="B360" s="73" t="n">
        <v>2018</v>
      </c>
      <c r="C360" s="157" t="s">
        <v>65</v>
      </c>
      <c r="D360" s="189"/>
      <c r="E360" s="159" t="n">
        <v>137.727928</v>
      </c>
      <c r="F360" s="159" t="n">
        <v>127.617834946552</v>
      </c>
      <c r="G360" s="159" t="n">
        <v>131.79739</v>
      </c>
      <c r="H360" s="159" t="n">
        <v>48.464</v>
      </c>
      <c r="I360" s="159" t="n">
        <v>60.911133</v>
      </c>
      <c r="J360" s="178"/>
      <c r="K360" s="159" t="n">
        <v>109.174609160379</v>
      </c>
      <c r="L360" s="159"/>
      <c r="M360" s="160" t="n">
        <f aca="false">G360-F360</f>
        <v>4.17955505344783</v>
      </c>
      <c r="N360" s="75"/>
      <c r="O360" s="190"/>
      <c r="P360" s="190"/>
      <c r="Q360" s="190"/>
      <c r="R360" s="191"/>
      <c r="S360" s="57" t="n">
        <f aca="false">IF(ABS(F360-F359)&lt;0.05,0,F360-F359)</f>
        <v>-0.327143993357026</v>
      </c>
      <c r="T360" s="178" t="n">
        <f aca="false">IF((ABS(G360/G359-1))&lt;0.0005,0,(G360/G359-1))</f>
        <v>-0.000598485022890394</v>
      </c>
      <c r="U360" s="163" t="n">
        <f aca="false">IF(ABS(F360-F348)&lt;0.05,0,F360-F348)</f>
        <v>13.7132960285254</v>
      </c>
      <c r="V360" s="164" t="n">
        <f aca="false">IF(ABS(F360/F348-1)&lt;0.0005,0,(F360/F348-1))</f>
        <v>0.120392884768133</v>
      </c>
      <c r="W360" s="57" t="n">
        <f aca="false">(F360/1.2)-57.95</f>
        <v>48.3981957887935</v>
      </c>
      <c r="X360" s="163" t="n">
        <f aca="false">IF(ABS(W360-W359)&lt;0.05,0,W360-W359)</f>
        <v>-0.272619994464193</v>
      </c>
      <c r="Y360" s="184" t="n">
        <f aca="false">IF(ABS(W360/W359-1)&lt;0.0005,0,(W360/W359-1))</f>
        <v>-0.00560130316447194</v>
      </c>
      <c r="Z360" s="163" t="n">
        <f aca="false">IF(ABS(W360-W348)&lt;0.05,0,W360-W348)</f>
        <v>11.4277466904378</v>
      </c>
      <c r="AA360" s="155" t="n">
        <f aca="false">IF(ABS(W360/W348-1)&lt;0.0005,0,(W360/W348-1))</f>
        <v>0.309104892397589</v>
      </c>
      <c r="AB360" s="185"/>
      <c r="AC360" s="57" t="n">
        <f aca="false">IF(ABS(G360-G359)&lt;0.05,0,G360-G359)</f>
        <v>-0.0789259999999672</v>
      </c>
      <c r="AD360" s="164" t="n">
        <f aca="false">IF(ABS(G360/G359-1)&lt;0.0005,0,(G360/G359-1))</f>
        <v>-0.000598485022890394</v>
      </c>
      <c r="AE360" s="163" t="n">
        <f aca="false">IF(ABS(G360-G348)&lt;0.05,0,G360-G348)</f>
        <v>16.400265</v>
      </c>
      <c r="AF360" s="164" t="n">
        <f aca="false">IF(ABS(G360/G348-1)&lt;0.0005,0,(G360/G348-1))</f>
        <v>0.142120221799287</v>
      </c>
      <c r="AG360" s="57" t="n">
        <f aca="false">(G360/1.2)-57.95</f>
        <v>51.8811583333334</v>
      </c>
      <c r="AH360" s="163" t="n">
        <f aca="false">IF(ABS(AG360-AG359)&lt;0.05,0,AG360-AG359)</f>
        <v>-0.0657716666666346</v>
      </c>
      <c r="AI360" s="164" t="n">
        <f aca="false">IF(ABS(AG360/AG359-1)&lt;0.0005,0,(AG360/AG359-1))</f>
        <v>-0.00126613192861702</v>
      </c>
      <c r="AJ360" s="163" t="n">
        <f aca="false">IF(ABS(AG360-AG348)&lt;0.05,0,AG360-AG348)</f>
        <v>13.6668875</v>
      </c>
      <c r="AK360" s="155" t="n">
        <f aca="false">IF(ABS(AG360/AG348-1)&lt;0.0005,0,(AG360/AG348-1))</f>
        <v>0.357638316837352</v>
      </c>
      <c r="AL360" s="185"/>
      <c r="AM360" s="156" t="n">
        <f aca="false">IF(E360="..","",A360)</f>
        <v>43282</v>
      </c>
      <c r="AN360" s="57" t="n">
        <f aca="false">IF(ABS(E360-E359)&lt;0.05,0,E360-E359)</f>
        <v>-0.524685000000034</v>
      </c>
      <c r="AO360" s="164" t="n">
        <f aca="false">IF(ABS(E360/E359-1)&lt;0.0005,0,(E360/E359-1))</f>
        <v>-0.00379511814362621</v>
      </c>
      <c r="AP360" s="163" t="n">
        <f aca="false">IF(ABS(E360-E348)&lt;0.05,0,E360-E348)</f>
        <v>14.601528720144</v>
      </c>
      <c r="AQ360" s="164" t="n">
        <f aca="false">IF(ABS(E360/E348-1)&lt;0.0005,0,(E360/E348-1))</f>
        <v>0.118589748466175</v>
      </c>
      <c r="AR360" s="57" t="n">
        <f aca="false">(E360/1.2)-57.95</f>
        <v>56.8232733333333</v>
      </c>
      <c r="AS360" s="163" t="n">
        <f aca="false">IF(ABS(AR360-AR359)&lt;0.05,0,AR360-AR359)</f>
        <v>-0.437237500000023</v>
      </c>
      <c r="AT360" s="164" t="n">
        <f aca="false">IF(ABS(AR360/AR359-1)&lt;0.0005,0,(AR360/AR359-1))</f>
        <v>-0.00763593432256793</v>
      </c>
      <c r="AU360" s="163" t="n">
        <f aca="false">IF(ABS(AR360-AR348)&lt;0.05,0,AR360-AR348)</f>
        <v>12.16794060012</v>
      </c>
      <c r="AV360" s="155" t="n">
        <f aca="false">IF(ABS(AR360/AR348-1)&lt;0.0005,0,(AR360/AR348-1))</f>
        <v>0.272485722429067</v>
      </c>
      <c r="AW360" s="185"/>
      <c r="AX360" s="163" t="n">
        <f aca="false">IF(ABS(H360-H359)&lt;0.05,0,H360-H359)</f>
        <v>-0.469999999999999</v>
      </c>
      <c r="AY360" s="164" t="n">
        <f aca="false">IF(ABS(H360/H359-1)&lt;0.0005,0,(H360/H359-1))</f>
        <v>-0.00960477377692404</v>
      </c>
      <c r="AZ360" s="163" t="n">
        <f aca="false">IF(ABS(H360-H348)&lt;0.05,0,H360-H348)</f>
        <v>13.477</v>
      </c>
      <c r="BA360" s="164" t="n">
        <f aca="false">IF(ABS(H360/H348-1)&lt;0.0005,0,(H360/H348-1))</f>
        <v>0.38520021722354</v>
      </c>
      <c r="BB360" s="57" t="n">
        <f aca="false">(H360/1.05)</f>
        <v>46.1561904761905</v>
      </c>
      <c r="BC360" s="163" t="n">
        <f aca="false">IF(ABS(BB360-BB359)&lt;0.05,0,BB360-BB359)</f>
        <v>-0.447619047619043</v>
      </c>
      <c r="BD360" s="164" t="n">
        <f aca="false">IF(ABS(BB360/BB359-1)&lt;0.0005,0,(BB360/BB359-1))</f>
        <v>-0.00960477377692393</v>
      </c>
      <c r="BE360" s="163" t="n">
        <f aca="false">IF(ABS(BB360-BB348)&lt;0.05,0,BB360-BB348)</f>
        <v>12.8352380952381</v>
      </c>
      <c r="BF360" s="155" t="n">
        <f aca="false">IF(ABS(BB360/BB348-1)&lt;0.0005,0,(BB360/BB348-1))</f>
        <v>0.38520021722354</v>
      </c>
      <c r="BG360" s="191"/>
      <c r="BH360" s="163" t="n">
        <f aca="false">IF(ABS(I360-I359)&lt;0.05,0,I360-I359)</f>
        <v>0</v>
      </c>
      <c r="BI360" s="164" t="n">
        <f aca="false">IF(ABS(I360/I359-1)&lt;0.0005,0,(I360/I359-1))</f>
        <v>0.00052951025048964</v>
      </c>
      <c r="BJ360" s="163" t="n">
        <f aca="false">IF(ABS(I360-I348)&lt;0.05,0,I360-I348)</f>
        <v>14.444224</v>
      </c>
      <c r="BK360" s="164" t="n">
        <f aca="false">IF(ABS(I360/I348-1)&lt;0.0005,0,(I360/I348-1))</f>
        <v>0.310849684449637</v>
      </c>
      <c r="BL360" s="57" t="n">
        <f aca="false">(I360/1.05)-11.14</f>
        <v>46.8706028571429</v>
      </c>
      <c r="BM360" s="163" t="n">
        <f aca="false">IF(ABS(BL360-BL359)&lt;0.05,0,BL360-BL359)</f>
        <v>0</v>
      </c>
      <c r="BN360" s="164" t="n">
        <f aca="false">IF(ABS(BL360/BL359-1)&lt;0.0005,0,(BL360/BL359-1))</f>
        <v>0.000655444420942342</v>
      </c>
      <c r="BO360" s="163" t="n">
        <f aca="false">IF(ABS(BL360-BL348)&lt;0.05,0,BL360-BL348)</f>
        <v>13.7564038095238</v>
      </c>
      <c r="BP360" s="155" t="n">
        <f aca="false">IF(ABS(BL360/BL348-1)&lt;0.0005,0,(BL360/BL348-1))</f>
        <v>0.415423117730909</v>
      </c>
      <c r="BQ360" s="191"/>
    </row>
    <row r="361" customFormat="false" ht="12.75" hidden="false" customHeight="true" outlineLevel="0" collapsed="false">
      <c r="A361" s="156" t="n">
        <v>43313</v>
      </c>
      <c r="B361" s="73" t="n">
        <v>2018</v>
      </c>
      <c r="C361" s="157" t="s">
        <v>66</v>
      </c>
      <c r="D361" s="189"/>
      <c r="E361" s="159" t="n">
        <v>138.687571</v>
      </c>
      <c r="F361" s="159" t="n">
        <v>128.616075564462</v>
      </c>
      <c r="G361" s="159" t="n">
        <v>132.490182</v>
      </c>
      <c r="H361" s="159" t="n">
        <v>49.099</v>
      </c>
      <c r="I361" s="159" t="n">
        <v>61.818066</v>
      </c>
      <c r="J361" s="178"/>
      <c r="K361" s="159" t="n">
        <v>110.415724158067</v>
      </c>
      <c r="L361" s="159"/>
      <c r="M361" s="160" t="n">
        <f aca="false">G361-F361</f>
        <v>3.87410643553829</v>
      </c>
      <c r="N361" s="75"/>
      <c r="O361" s="190"/>
      <c r="P361" s="190"/>
      <c r="Q361" s="190"/>
      <c r="R361" s="191"/>
      <c r="S361" s="57" t="n">
        <f aca="false">IF(ABS(F361-F360)&lt;0.05,0,F361-F360)</f>
        <v>0.998240617909502</v>
      </c>
      <c r="T361" s="178" t="n">
        <f aca="false">IF((ABS(G361/G360-1))&lt;0.0005,0,(G361/G360-1))</f>
        <v>0.00525649256028493</v>
      </c>
      <c r="U361" s="163" t="n">
        <f aca="false">IF(ABS(F361-F349)&lt;0.05,0,F361-F349)</f>
        <v>12.9754122636119</v>
      </c>
      <c r="V361" s="164" t="n">
        <f aca="false">IF(ABS(F361/F349-1)&lt;0.0005,0,(F361/F349-1))</f>
        <v>0.112204581790189</v>
      </c>
      <c r="W361" s="57" t="n">
        <f aca="false">(F361/1.2)-57.95</f>
        <v>49.2300629703848</v>
      </c>
      <c r="X361" s="163" t="n">
        <f aca="false">IF(ABS(W361-W360)&lt;0.05,0,W361-W360)</f>
        <v>0.83186718159125</v>
      </c>
      <c r="Y361" s="184" t="n">
        <f aca="false">IF(ABS(W361/W360-1)&lt;0.0005,0,(W361/W360-1))</f>
        <v>0.0171879791804939</v>
      </c>
      <c r="Z361" s="163" t="n">
        <f aca="false">IF(ABS(W361-W349)&lt;0.05,0,W361-W349)</f>
        <v>10.8128435530099</v>
      </c>
      <c r="AA361" s="155" t="n">
        <f aca="false">IF(ABS(W361/W349-1)&lt;0.0005,0,(W361/W349-1))</f>
        <v>0.281458255360345</v>
      </c>
      <c r="AB361" s="185"/>
      <c r="AC361" s="57" t="n">
        <f aca="false">IF(ABS(G361-G360)&lt;0.05,0,G361-G360)</f>
        <v>0.692791999999969</v>
      </c>
      <c r="AD361" s="164" t="n">
        <f aca="false">IF(ABS(G361/G360-1)&lt;0.0005,0,(G361/G360-1))</f>
        <v>0.00525649256028493</v>
      </c>
      <c r="AE361" s="163" t="n">
        <f aca="false">IF(ABS(G361-G349)&lt;0.05,0,G361-G349)</f>
        <v>15.143829</v>
      </c>
      <c r="AF361" s="164" t="n">
        <f aca="false">IF(ABS(G361/G349-1)&lt;0.0005,0,(G361/G349-1))</f>
        <v>0.129052404381072</v>
      </c>
      <c r="AG361" s="57" t="n">
        <f aca="false">(G361/1.2)-57.95</f>
        <v>52.458485</v>
      </c>
      <c r="AH361" s="163" t="n">
        <f aca="false">IF(ABS(AG361-AG360)&lt;0.05,0,AG361-AG360)</f>
        <v>0.577326666666636</v>
      </c>
      <c r="AI361" s="164" t="n">
        <f aca="false">IF(ABS(AG361/AG360-1)&lt;0.0005,0,(AG361/AG360-1))</f>
        <v>0.0111278677117683</v>
      </c>
      <c r="AJ361" s="163" t="n">
        <f aca="false">IF(ABS(AG361-AG349)&lt;0.05,0,AG361-AG349)</f>
        <v>12.6198575</v>
      </c>
      <c r="AK361" s="155" t="n">
        <f aca="false">IF(ABS(AG361/AG349-1)&lt;0.0005,0,(AG361/AG349-1))</f>
        <v>0.31677440443951</v>
      </c>
      <c r="AL361" s="185"/>
      <c r="AM361" s="156" t="n">
        <f aca="false">IF(E361="..","",A361)</f>
        <v>43313</v>
      </c>
      <c r="AN361" s="57" t="n">
        <f aca="false">IF(ABS(E361-E360)&lt;0.05,0,E361-E360)</f>
        <v>0.959643000000028</v>
      </c>
      <c r="AO361" s="164" t="n">
        <f aca="false">IF(ABS(E361/E360-1)&lt;0.0005,0,(E361/E360-1))</f>
        <v>0.00696767180001445</v>
      </c>
      <c r="AP361" s="163" t="n">
        <f aca="false">IF(ABS(E361-E349)&lt;0.05,0,E361-E349)</f>
        <v>13.5070328923785</v>
      </c>
      <c r="AQ361" s="164" t="n">
        <f aca="false">IF(ABS(E361/E349-1)&lt;0.0005,0,(E361/E349-1))</f>
        <v>0.107900422034982</v>
      </c>
      <c r="AR361" s="57" t="n">
        <f aca="false">(E361/1.2)-57.95</f>
        <v>57.6229758333334</v>
      </c>
      <c r="AS361" s="163" t="n">
        <f aca="false">IF(ABS(AR361-AR360)&lt;0.05,0,AR361-AR360)</f>
        <v>0.799702500000024</v>
      </c>
      <c r="AT361" s="164" t="n">
        <f aca="false">IF(ABS(AR361/AR360-1)&lt;0.0005,0,(AR361/AR360-1))</f>
        <v>0.0140735028640264</v>
      </c>
      <c r="AU361" s="163" t="n">
        <f aca="false">IF(ABS(AR361-AR349)&lt;0.05,0,AR361-AR349)</f>
        <v>11.2558607436488</v>
      </c>
      <c r="AV361" s="155" t="n">
        <f aca="false">IF(ABS(AR361/AR349-1)&lt;0.0005,0,(AR361/AR349-1))</f>
        <v>0.242755252766478</v>
      </c>
      <c r="AW361" s="185"/>
      <c r="AX361" s="163" t="n">
        <f aca="false">IF(ABS(H361-H360)&lt;0.05,0,H361-H360)</f>
        <v>0.634999999999998</v>
      </c>
      <c r="AY361" s="164" t="n">
        <f aca="false">IF(ABS(H361/H360-1)&lt;0.0005,0,(H361/H360-1))</f>
        <v>0.0131025090789039</v>
      </c>
      <c r="AZ361" s="163" t="n">
        <f aca="false">IF(ABS(H361-H349)&lt;0.05,0,H361-H349)</f>
        <v>12.184</v>
      </c>
      <c r="BA361" s="164" t="n">
        <f aca="false">IF(ABS(H361/H349-1)&lt;0.0005,0,(H361/H349-1))</f>
        <v>0.330055532981173</v>
      </c>
      <c r="BB361" s="57" t="n">
        <f aca="false">(H361/1.05)</f>
        <v>46.7609523809524</v>
      </c>
      <c r="BC361" s="163" t="n">
        <f aca="false">IF(ABS(BB361-BB360)&lt;0.05,0,BB361-BB360)</f>
        <v>0.604761904761901</v>
      </c>
      <c r="BD361" s="164" t="n">
        <f aca="false">IF(ABS(BB361/BB360-1)&lt;0.0005,0,(BB361/BB360-1))</f>
        <v>0.0131025090789039</v>
      </c>
      <c r="BE361" s="163" t="n">
        <f aca="false">IF(ABS(BB361-BB349)&lt;0.05,0,BB361-BB349)</f>
        <v>11.6038095238095</v>
      </c>
      <c r="BF361" s="155" t="n">
        <f aca="false">IF(ABS(BB361/BB349-1)&lt;0.0005,0,(BB361/BB349-1))</f>
        <v>0.330055532981173</v>
      </c>
      <c r="BG361" s="191"/>
      <c r="BH361" s="163" t="n">
        <f aca="false">IF(ABS(I361-I360)&lt;0.05,0,I361-I360)</f>
        <v>0.906933000000002</v>
      </c>
      <c r="BI361" s="164" t="n">
        <f aca="false">IF(ABS(I361/I360-1)&lt;0.0005,0,(I361/I360-1))</f>
        <v>0.0148894455796775</v>
      </c>
      <c r="BJ361" s="163" t="n">
        <f aca="false">IF(ABS(I361-I349)&lt;0.05,0,I361-I349)</f>
        <v>13.127032</v>
      </c>
      <c r="BK361" s="164" t="n">
        <f aca="false">IF(ABS(I361/I349-1)&lt;0.0005,0,(I361/I349-1))</f>
        <v>0.269598546623594</v>
      </c>
      <c r="BL361" s="57" t="n">
        <f aca="false">(I361/1.05)-11.14</f>
        <v>47.7343485714286</v>
      </c>
      <c r="BM361" s="163" t="n">
        <f aca="false">IF(ABS(BL361-BL360)&lt;0.05,0,BL361-BL360)</f>
        <v>0.863745714285713</v>
      </c>
      <c r="BN361" s="164" t="n">
        <f aca="false">IF(ABS(BL361/BL360-1)&lt;0.0005,0,(BL361/BL360-1))</f>
        <v>0.0184283039183073</v>
      </c>
      <c r="BO361" s="163" t="n">
        <f aca="false">IF(ABS(BL361-BL349)&lt;0.05,0,BL361-BL349)</f>
        <v>12.5019352380952</v>
      </c>
      <c r="BP361" s="155" t="n">
        <f aca="false">IF(ABS(BL361/BL349-1)&lt;0.0005,0,(BL361/BL349-1))</f>
        <v>0.354841864501719</v>
      </c>
      <c r="BQ361" s="191"/>
    </row>
    <row r="362" customFormat="false" ht="12.75" hidden="false" customHeight="true" outlineLevel="0" collapsed="false">
      <c r="A362" s="156" t="n">
        <v>43344</v>
      </c>
      <c r="B362" s="73" t="n">
        <v>2018</v>
      </c>
      <c r="C362" s="157" t="s">
        <v>67</v>
      </c>
      <c r="D362" s="189"/>
      <c r="E362" s="159" t="n">
        <v>140.893879</v>
      </c>
      <c r="F362" s="159" t="n">
        <v>130.751244391759</v>
      </c>
      <c r="G362" s="159" t="n">
        <v>134.48279</v>
      </c>
      <c r="H362" s="159" t="n">
        <v>51.298</v>
      </c>
      <c r="I362" s="159" t="n">
        <v>63.797068</v>
      </c>
      <c r="J362" s="178"/>
      <c r="K362" s="159" t="n">
        <v>115.210658377494</v>
      </c>
      <c r="L362" s="159"/>
      <c r="M362" s="160" t="n">
        <f aca="false">G362-F362</f>
        <v>3.73154560824099</v>
      </c>
      <c r="N362" s="75"/>
      <c r="O362" s="190"/>
      <c r="P362" s="190"/>
      <c r="Q362" s="190"/>
      <c r="R362" s="191"/>
      <c r="S362" s="57" t="n">
        <f aca="false">IF(ABS(F362-F361)&lt;0.05,0,F362-F361)</f>
        <v>2.13516882729729</v>
      </c>
      <c r="T362" s="178" t="n">
        <f aca="false">IF((ABS(G362/G361-1))&lt;0.0005,0,(G362/G361-1))</f>
        <v>0.0150396653542222</v>
      </c>
      <c r="U362" s="163" t="n">
        <f aca="false">IF(ABS(F362-F350)&lt;0.05,0,F362-F350)</f>
        <v>11.8174317866057</v>
      </c>
      <c r="V362" s="164" t="n">
        <f aca="false">IF(ABS(F362/F350-1)&lt;0.0005,0,(F362/F350-1))</f>
        <v>0.0993614139474217</v>
      </c>
      <c r="W362" s="57" t="n">
        <f aca="false">(F362/1.2)-57.95</f>
        <v>51.0093703264659</v>
      </c>
      <c r="X362" s="163" t="n">
        <f aca="false">IF(ABS(W362-W361)&lt;0.05,0,W362-W361)</f>
        <v>1.77930735608108</v>
      </c>
      <c r="Y362" s="184" t="n">
        <f aca="false">IF(ABS(W362/W361-1)&lt;0.0005,0,(W362/W361-1))</f>
        <v>0.036142699170453</v>
      </c>
      <c r="Z362" s="163" t="n">
        <f aca="false">IF(ABS(W362-W350)&lt;0.05,0,W362-W350)</f>
        <v>9.84785982217143</v>
      </c>
      <c r="AA362" s="155" t="n">
        <f aca="false">IF(ABS(W362/W350-1)&lt;0.0005,0,(W362/W350-1))</f>
        <v>0.239249233118984</v>
      </c>
      <c r="AB362" s="185"/>
      <c r="AC362" s="57" t="n">
        <f aca="false">IF(ABS(G362-G361)&lt;0.05,0,G362-G361)</f>
        <v>1.99260799999999</v>
      </c>
      <c r="AD362" s="164" t="n">
        <f aca="false">IF(ABS(G362/G361-1)&lt;0.0005,0,(G362/G361-1))</f>
        <v>0.0150396653542222</v>
      </c>
      <c r="AE362" s="163" t="n">
        <f aca="false">IF(ABS(G362-G350)&lt;0.05,0,G362-G350)</f>
        <v>13.966255</v>
      </c>
      <c r="AF362" s="164" t="n">
        <f aca="false">IF(ABS(G362/G350-1)&lt;0.0005,0,(G362/G350-1))</f>
        <v>0.115886629166695</v>
      </c>
      <c r="AG362" s="57" t="n">
        <f aca="false">(G362/1.2)-57.95</f>
        <v>54.1189916666667</v>
      </c>
      <c r="AH362" s="163" t="n">
        <f aca="false">IF(ABS(AG362-AG361)&lt;0.05,0,AG362-AG361)</f>
        <v>1.66050666666666</v>
      </c>
      <c r="AI362" s="164" t="n">
        <f aca="false">IF(ABS(AG362/AG361-1)&lt;0.0005,0,(AG362/AG361-1))</f>
        <v>0.0316537289757159</v>
      </c>
      <c r="AJ362" s="163" t="n">
        <f aca="false">IF(ABS(AG362-AG350)&lt;0.05,0,AG362-AG350)</f>
        <v>11.6385458333334</v>
      </c>
      <c r="AK362" s="155" t="n">
        <f aca="false">IF(ABS(AG362/AG350-1)&lt;0.0005,0,(AG362/AG350-1))</f>
        <v>0.273974192243549</v>
      </c>
      <c r="AL362" s="185"/>
      <c r="AM362" s="156" t="n">
        <f aca="false">IF(E362="..","",A362)</f>
        <v>43344</v>
      </c>
      <c r="AN362" s="57" t="n">
        <f aca="false">IF(ABS(E362-E361)&lt;0.05,0,E362-E361)</f>
        <v>2.20630800000001</v>
      </c>
      <c r="AO362" s="164" t="n">
        <f aca="false">IF(ABS(E362/E361-1)&lt;0.0005,0,(E362/E361-1))</f>
        <v>0.0159084767588871</v>
      </c>
      <c r="AP362" s="163" t="n">
        <f aca="false">IF(ABS(E362-E350)&lt;0.05,0,E362-E350)</f>
        <v>12.414403104821</v>
      </c>
      <c r="AQ362" s="164" t="n">
        <f aca="false">IF(ABS(E362/E350-1)&lt;0.0005,0,(E362/E350-1))</f>
        <v>0.0966255739940083</v>
      </c>
      <c r="AR362" s="57" t="n">
        <f aca="false">(E362/1.2)-57.95</f>
        <v>59.4615658333334</v>
      </c>
      <c r="AS362" s="163" t="n">
        <f aca="false">IF(ABS(AR362-AR361)&lt;0.05,0,AR362-AR361)</f>
        <v>1.83859</v>
      </c>
      <c r="AT362" s="164" t="n">
        <f aca="false">IF(ABS(AR362/AR361-1)&lt;0.0005,0,(AR362/AR361-1))</f>
        <v>0.0319072379274175</v>
      </c>
      <c r="AU362" s="163" t="n">
        <f aca="false">IF(ABS(AR362-AR350)&lt;0.05,0,AR362-AR350)</f>
        <v>10.3453359206842</v>
      </c>
      <c r="AV362" s="155" t="n">
        <f aca="false">IF(ABS(AR362/AR350-1)&lt;0.0005,0,(AR362/AR350-1))</f>
        <v>0.210629682674807</v>
      </c>
      <c r="AW362" s="185"/>
      <c r="AX362" s="163" t="n">
        <f aca="false">IF(ABS(H362-H361)&lt;0.05,0,H362-H361)</f>
        <v>2.19900000000001</v>
      </c>
      <c r="AY362" s="164" t="n">
        <f aca="false">IF(ABS(H362/H361-1)&lt;0.0005,0,(H362/H361-1))</f>
        <v>0.044787062872971</v>
      </c>
      <c r="AZ362" s="163" t="n">
        <f aca="false">IF(ABS(H362-H350)&lt;0.05,0,H362-H350)</f>
        <v>12.795</v>
      </c>
      <c r="BA362" s="164" t="n">
        <f aca="false">IF(ABS(H362/H350-1)&lt;0.0005,0,(H362/H350-1))</f>
        <v>0.332311767914189</v>
      </c>
      <c r="BB362" s="57" t="n">
        <f aca="false">(H362/1.05)</f>
        <v>48.8552380952381</v>
      </c>
      <c r="BC362" s="163" t="n">
        <f aca="false">IF(ABS(BB362-BB361)&lt;0.05,0,BB362-BB361)</f>
        <v>2.09428571428572</v>
      </c>
      <c r="BD362" s="164" t="n">
        <f aca="false">IF(ABS(BB362/BB361-1)&lt;0.0005,0,(BB362/BB361-1))</f>
        <v>0.044787062872971</v>
      </c>
      <c r="BE362" s="163" t="n">
        <f aca="false">IF(ABS(BB362-BB350)&lt;0.05,0,BB362-BB350)</f>
        <v>12.1857142857143</v>
      </c>
      <c r="BF362" s="155" t="n">
        <f aca="false">IF(ABS(BB362/BB350-1)&lt;0.0005,0,(BB362/BB350-1))</f>
        <v>0.332311767914189</v>
      </c>
      <c r="BG362" s="191"/>
      <c r="BH362" s="163" t="n">
        <f aca="false">IF(ABS(I362-I361)&lt;0.05,0,I362-I361)</f>
        <v>1.97900199999999</v>
      </c>
      <c r="BI362" s="164" t="n">
        <f aca="false">IF(ABS(I362/I361-1)&lt;0.0005,0,(I362/I361-1))</f>
        <v>0.0320133276249697</v>
      </c>
      <c r="BJ362" s="163" t="n">
        <f aca="false">IF(ABS(I362-I350)&lt;0.05,0,I362-I350)</f>
        <v>13.203969</v>
      </c>
      <c r="BK362" s="164" t="n">
        <f aca="false">IF(ABS(I362/I350-1)&lt;0.0005,0,(I362/I350-1))</f>
        <v>0.260983597782773</v>
      </c>
      <c r="BL362" s="57" t="n">
        <f aca="false">(I362/1.05)-11.14</f>
        <v>49.6191123809524</v>
      </c>
      <c r="BM362" s="163" t="n">
        <f aca="false">IF(ABS(BL362-BL361)&lt;0.05,0,BL362-BL361)</f>
        <v>1.8847638095238</v>
      </c>
      <c r="BN362" s="164" t="n">
        <f aca="false">IF(ABS(BL362/BL361-1)&lt;0.0005,0,(BL362/BL361-1))</f>
        <v>0.0394844355465225</v>
      </c>
      <c r="BO362" s="163" t="n">
        <f aca="false">IF(ABS(BL362-BL350)&lt;0.05,0,BL362-BL350)</f>
        <v>12.5752085714286</v>
      </c>
      <c r="BP362" s="155" t="n">
        <f aca="false">IF(ABS(BL362/BL350-1)&lt;0.0005,0,(BL362/BL350-1))</f>
        <v>0.339467693148354</v>
      </c>
      <c r="BQ362" s="191"/>
    </row>
    <row r="363" customFormat="false" ht="12.75" hidden="false" customHeight="true" outlineLevel="0" collapsed="false">
      <c r="A363" s="156" t="n">
        <v>43374</v>
      </c>
      <c r="B363" s="73" t="n">
        <v>2018</v>
      </c>
      <c r="C363" s="157" t="s">
        <v>68</v>
      </c>
      <c r="D363" s="189"/>
      <c r="E363" s="159" t="n">
        <v>141.371228</v>
      </c>
      <c r="F363" s="159" t="n">
        <v>130.881560367331</v>
      </c>
      <c r="G363" s="159" t="n">
        <v>136.616613</v>
      </c>
      <c r="H363" s="159" t="n">
        <v>53.597</v>
      </c>
      <c r="I363" s="159" t="n">
        <v>66.463596</v>
      </c>
      <c r="J363" s="178"/>
      <c r="K363" s="159" t="n">
        <v>121.015895214842</v>
      </c>
      <c r="L363" s="159"/>
      <c r="M363" s="160" t="n">
        <f aca="false">G363-F363</f>
        <v>5.73505263266884</v>
      </c>
      <c r="N363" s="75"/>
      <c r="O363" s="190"/>
      <c r="P363" s="190"/>
      <c r="Q363" s="190"/>
      <c r="R363" s="191"/>
      <c r="S363" s="57" t="n">
        <f aca="false">IF(ABS(F363-F362)&lt;0.05,0,F363-F362)</f>
        <v>0.130315975572131</v>
      </c>
      <c r="T363" s="178" t="n">
        <f aca="false">IF((ABS(G363/G362-1))&lt;0.0005,0,(G363/G362-1))</f>
        <v>0.0158668852720856</v>
      </c>
      <c r="U363" s="163" t="n">
        <f aca="false">IF(ABS(F363-F351)&lt;0.05,0,F363-F351)</f>
        <v>13.7315177314244</v>
      </c>
      <c r="V363" s="164" t="n">
        <f aca="false">IF(ABS(F363/F351-1)&lt;0.0005,0,(F363/F351-1))</f>
        <v>0.117213083516332</v>
      </c>
      <c r="W363" s="57" t="n">
        <f aca="false">(F363/1.2)-57.95</f>
        <v>51.117966972776</v>
      </c>
      <c r="X363" s="163" t="n">
        <f aca="false">IF(ABS(W363-W362)&lt;0.05,0,W363-W362)</f>
        <v>0.108596646310119</v>
      </c>
      <c r="Y363" s="184" t="n">
        <f aca="false">IF(ABS(W363/W362-1)&lt;0.0005,0,(W363/W362-1))</f>
        <v>0.00212895484917941</v>
      </c>
      <c r="Z363" s="163" t="n">
        <f aca="false">IF(ABS(W363-W351)&lt;0.05,0,W363-W351)</f>
        <v>11.4429314428537</v>
      </c>
      <c r="AA363" s="155" t="n">
        <f aca="false">IF(ABS(W363/W351-1)&lt;0.0005,0,(W363/W351-1))</f>
        <v>0.288416413243628</v>
      </c>
      <c r="AB363" s="185"/>
      <c r="AC363" s="57" t="n">
        <f aca="false">IF(ABS(G363-G362)&lt;0.05,0,G363-G362)</f>
        <v>2.13382299999998</v>
      </c>
      <c r="AD363" s="164" t="n">
        <f aca="false">IF(ABS(G363/G362-1)&lt;0.0005,0,(G363/G362-1))</f>
        <v>0.0158668852720856</v>
      </c>
      <c r="AE363" s="163" t="n">
        <f aca="false">IF(ABS(G363-G351)&lt;0.05,0,G363-G351)</f>
        <v>16.272929</v>
      </c>
      <c r="AF363" s="164" t="n">
        <f aca="false">IF(ABS(G363/G351-1)&lt;0.0005,0,(G363/G351-1))</f>
        <v>0.135220465745423</v>
      </c>
      <c r="AG363" s="57" t="n">
        <f aca="false">(G363/1.2)-57.95</f>
        <v>55.8971775</v>
      </c>
      <c r="AH363" s="163" t="n">
        <f aca="false">IF(ABS(AG363-AG362)&lt;0.05,0,AG363-AG362)</f>
        <v>1.77818583333331</v>
      </c>
      <c r="AI363" s="164" t="n">
        <f aca="false">IF(ABS(AG363/AG362-1)&lt;0.0005,0,(AG363/AG362-1))</f>
        <v>0.0328569653382611</v>
      </c>
      <c r="AJ363" s="163" t="n">
        <f aca="false">IF(ABS(AG363-AG351)&lt;0.05,0,AG363-AG351)</f>
        <v>13.5607741666666</v>
      </c>
      <c r="AK363" s="155" t="n">
        <f aca="false">IF(ABS(AG363/AG351-1)&lt;0.0005,0,(AG363/AG351-1))</f>
        <v>0.320310019249785</v>
      </c>
      <c r="AL363" s="185"/>
      <c r="AM363" s="156" t="n">
        <f aca="false">IF(E363="..","",A363)</f>
        <v>43374</v>
      </c>
      <c r="AN363" s="57" t="n">
        <f aca="false">IF(ABS(E363-E362)&lt;0.05,0,E363-E362)</f>
        <v>0.477348999999975</v>
      </c>
      <c r="AO363" s="164" t="n">
        <f aca="false">IF(ABS(E363/E362-1)&lt;0.0005,0,(E363/E362-1))</f>
        <v>0.00338800381810755</v>
      </c>
      <c r="AP363" s="163" t="n">
        <f aca="false">IF(ABS(E363-E351)&lt;0.05,0,E363-E351)</f>
        <v>14.7422061956391</v>
      </c>
      <c r="AQ363" s="164" t="n">
        <f aca="false">IF(ABS(E363/E351-1)&lt;0.0005,0,(E363/E351-1))</f>
        <v>0.116420438107905</v>
      </c>
      <c r="AR363" s="57" t="n">
        <f aca="false">(E363/1.2)-57.95</f>
        <v>59.8593566666667</v>
      </c>
      <c r="AS363" s="163" t="n">
        <f aca="false">IF(ABS(AR363-AR362)&lt;0.05,0,AR363-AR362)</f>
        <v>0.397790833333318</v>
      </c>
      <c r="AT363" s="164" t="n">
        <f aca="false">IF(ABS(AR363/AR362-1)&lt;0.0005,0,(AR363/AR362-1))</f>
        <v>0.00668988156901706</v>
      </c>
      <c r="AU363" s="163" t="n">
        <f aca="false">IF(ABS(AR363-AR351)&lt;0.05,0,AR363-AR351)</f>
        <v>12.2851718296993</v>
      </c>
      <c r="AV363" s="155" t="n">
        <f aca="false">IF(ABS(AR363/AR351-1)&lt;0.0005,0,(AR363/AR351-1))</f>
        <v>0.258231893448085</v>
      </c>
      <c r="AW363" s="185"/>
      <c r="AX363" s="163" t="n">
        <f aca="false">IF(ABS(H363-H362)&lt;0.05,0,H363-H362)</f>
        <v>2.299</v>
      </c>
      <c r="AY363" s="164" t="n">
        <f aca="false">IF(ABS(H363/H362-1)&lt;0.0005,0,(H363/H362-1))</f>
        <v>0.0448165620492027</v>
      </c>
      <c r="AZ363" s="163" t="n">
        <f aca="false">IF(ABS(H363-H351)&lt;0.05,0,H363-H351)</f>
        <v>13.649</v>
      </c>
      <c r="BA363" s="164" t="n">
        <f aca="false">IF(ABS(H363/H351-1)&lt;0.0005,0,(H363/H351-1))</f>
        <v>0.341669169920897</v>
      </c>
      <c r="BB363" s="57" t="n">
        <f aca="false">(H363/1.05)</f>
        <v>51.0447619047619</v>
      </c>
      <c r="BC363" s="163" t="n">
        <f aca="false">IF(ABS(BB363-BB362)&lt;0.05,0,BB363-BB362)</f>
        <v>2.18952380952381</v>
      </c>
      <c r="BD363" s="164" t="n">
        <f aca="false">IF(ABS(BB363/BB362-1)&lt;0.0005,0,(BB363/BB362-1))</f>
        <v>0.0448165620492027</v>
      </c>
      <c r="BE363" s="163" t="n">
        <f aca="false">IF(ABS(BB363-BB351)&lt;0.05,0,BB363-BB351)</f>
        <v>12.9990476190476</v>
      </c>
      <c r="BF363" s="155" t="n">
        <f aca="false">IF(ABS(BB363/BB351-1)&lt;0.0005,0,(BB363/BB351-1))</f>
        <v>0.341669169920897</v>
      </c>
      <c r="BG363" s="191"/>
      <c r="BH363" s="163" t="n">
        <f aca="false">IF(ABS(I363-I362)&lt;0.05,0,I363-I362)</f>
        <v>2.666528</v>
      </c>
      <c r="BI363" s="164" t="n">
        <f aca="false">IF(ABS(I363/I362-1)&lt;0.0005,0,(I363/I362-1))</f>
        <v>0.0417970305469211</v>
      </c>
      <c r="BJ363" s="163" t="n">
        <f aca="false">IF(ABS(I363-I351)&lt;0.05,0,I363-I351)</f>
        <v>14.776068</v>
      </c>
      <c r="BK363" s="164" t="n">
        <f aca="false">IF(ABS(I363/I351-1)&lt;0.0005,0,(I363/I351-1))</f>
        <v>0.285872986612941</v>
      </c>
      <c r="BL363" s="57" t="n">
        <f aca="false">(I363/1.05)-11.14</f>
        <v>52.1586628571429</v>
      </c>
      <c r="BM363" s="163" t="n">
        <f aca="false">IF(ABS(BL363-BL362)&lt;0.05,0,BL363-BL362)</f>
        <v>2.53955047619048</v>
      </c>
      <c r="BN363" s="164" t="n">
        <f aca="false">IF(ABS(BL363/BL362-1)&lt;0.0005,0,(BL363/BL362-1))</f>
        <v>0.0511808928925006</v>
      </c>
      <c r="BO363" s="163" t="n">
        <f aca="false">IF(ABS(BL363-BL351)&lt;0.05,0,BL363-BL351)</f>
        <v>14.0724457142857</v>
      </c>
      <c r="BP363" s="155" t="n">
        <f aca="false">IF(ABS(BL363/BL351-1)&lt;0.0005,0,(BL363/BL351-1))</f>
        <v>0.369489195041386</v>
      </c>
      <c r="BQ363" s="191"/>
    </row>
    <row r="364" customFormat="false" ht="12.75" hidden="false" customHeight="true" outlineLevel="0" collapsed="false">
      <c r="A364" s="156" t="n">
        <v>43405</v>
      </c>
      <c r="B364" s="73" t="n">
        <v>2018</v>
      </c>
      <c r="C364" s="157" t="s">
        <v>69</v>
      </c>
      <c r="D364" s="189"/>
      <c r="E364" s="159" t="n">
        <v>138.934761</v>
      </c>
      <c r="F364" s="159" t="n">
        <v>128.611092689589</v>
      </c>
      <c r="G364" s="159" t="n">
        <v>137.058654</v>
      </c>
      <c r="H364" s="159" t="n">
        <v>51.558</v>
      </c>
      <c r="I364" s="159" t="n">
        <v>63.818389</v>
      </c>
      <c r="J364" s="178"/>
      <c r="K364" s="159" t="n">
        <v>103.900357273359</v>
      </c>
      <c r="L364" s="159"/>
      <c r="M364" s="160" t="n">
        <f aca="false">G364-F364</f>
        <v>8.44756131041129</v>
      </c>
      <c r="N364" s="75"/>
      <c r="O364" s="190"/>
      <c r="P364" s="190"/>
      <c r="Q364" s="190"/>
      <c r="R364" s="191"/>
      <c r="S364" s="57" t="n">
        <f aca="false">IF(ABS(F364-F363)&lt;0.05,0,F364-F363)</f>
        <v>-2.27046767774243</v>
      </c>
      <c r="T364" s="178" t="n">
        <f aca="false">IF((ABS(G364/G363-1))&lt;0.0005,0,(G364/G363-1))</f>
        <v>0.00323563137961869</v>
      </c>
      <c r="U364" s="163" t="n">
        <f aca="false">IF(ABS(F364-F352)&lt;0.05,0,F364-F352)</f>
        <v>9.48623203779479</v>
      </c>
      <c r="V364" s="164" t="n">
        <f aca="false">IF(ABS(F364/F352-1)&lt;0.0005,0,(F364/F352-1))</f>
        <v>0.0796326810868084</v>
      </c>
      <c r="W364" s="57" t="n">
        <f aca="false">(F364/1.2)-57.95</f>
        <v>49.2259105746573</v>
      </c>
      <c r="X364" s="163" t="n">
        <f aca="false">IF(ABS(W364-W363)&lt;0.05,0,W364-W363)</f>
        <v>-1.8920563981187</v>
      </c>
      <c r="Y364" s="184" t="n">
        <f aca="false">IF(ABS(W364/W363-1)&lt;0.0005,0,(W364/W363-1))</f>
        <v>-0.037013529883267</v>
      </c>
      <c r="Z364" s="163" t="n">
        <f aca="false">IF(ABS(W364-W352)&lt;0.05,0,W364-W352)</f>
        <v>7.90519336482899</v>
      </c>
      <c r="AA364" s="155" t="n">
        <f aca="false">IF(ABS(W364/W352-1)&lt;0.0005,0,(W364/W352-1))</f>
        <v>0.191313072439815</v>
      </c>
      <c r="AB364" s="185"/>
      <c r="AC364" s="57" t="n">
        <f aca="false">IF(ABS(G364-G363)&lt;0.05,0,G364-G363)</f>
        <v>0.442041000000017</v>
      </c>
      <c r="AD364" s="164" t="n">
        <f aca="false">IF(ABS(G364/G363-1)&lt;0.0005,0,(G364/G363-1))</f>
        <v>0.00323563137961869</v>
      </c>
      <c r="AE364" s="163" t="n">
        <f aca="false">IF(ABS(G364-G352)&lt;0.05,0,G364-G352)</f>
        <v>14.342413</v>
      </c>
      <c r="AF364" s="164" t="n">
        <f aca="false">IF(ABS(G364/G352-1)&lt;0.0005,0,(G364/G352-1))</f>
        <v>0.116874611568325</v>
      </c>
      <c r="AG364" s="57" t="n">
        <f aca="false">(G364/1.2)-57.95</f>
        <v>56.265545</v>
      </c>
      <c r="AH364" s="163" t="n">
        <f aca="false">IF(ABS(AG364-AG363)&lt;0.05,0,AG364-AG363)</f>
        <v>0.368367500000019</v>
      </c>
      <c r="AI364" s="164" t="n">
        <f aca="false">IF(ABS(AG364/AG363-1)&lt;0.0005,0,(AG364/AG363-1))</f>
        <v>0.00659009124387389</v>
      </c>
      <c r="AJ364" s="163" t="n">
        <f aca="false">IF(ABS(AG364-AG352)&lt;0.05,0,AG364-AG352)</f>
        <v>11.9520108333333</v>
      </c>
      <c r="AK364" s="155" t="n">
        <f aca="false">IF(ABS(AG364/AG352-1)&lt;0.0005,0,(AG364/AG352-1))</f>
        <v>0.269714683292488</v>
      </c>
      <c r="AL364" s="185"/>
      <c r="AM364" s="156" t="n">
        <f aca="false">IF(E364="..","",A364)</f>
        <v>43405</v>
      </c>
      <c r="AN364" s="57" t="n">
        <f aca="false">IF(ABS(E364-E363)&lt;0.05,0,E364-E363)</f>
        <v>-2.43646699999999</v>
      </c>
      <c r="AO364" s="164" t="n">
        <f aca="false">IF(ABS(E364/E363-1)&lt;0.0005,0,(E364/E363-1))</f>
        <v>-0.0172345323335523</v>
      </c>
      <c r="AP364" s="163" t="n">
        <f aca="false">IF(ABS(E364-E352)&lt;0.05,0,E364-E352)</f>
        <v>10.2234797437488</v>
      </c>
      <c r="AQ364" s="164" t="n">
        <f aca="false">IF(ABS(E364/E352-1)&lt;0.0005,0,(E364/E352-1))</f>
        <v>0.0794295546121933</v>
      </c>
      <c r="AR364" s="57" t="n">
        <f aca="false">(E364/1.2)-57.95</f>
        <v>57.8289675</v>
      </c>
      <c r="AS364" s="163" t="n">
        <f aca="false">IF(ABS(AR364-AR363)&lt;0.05,0,AR364-AR363)</f>
        <v>-2.03038916666667</v>
      </c>
      <c r="AT364" s="164" t="n">
        <f aca="false">IF(ABS(AR364/AR363-1)&lt;0.0005,0,(AR364/AR363-1))</f>
        <v>-0.0339193282342326</v>
      </c>
      <c r="AU364" s="163" t="n">
        <f aca="false">IF(ABS(AR364-AR352)&lt;0.05,0,AR364-AR352)</f>
        <v>8.51956645312399</v>
      </c>
      <c r="AV364" s="155" t="n">
        <f aca="false">IF(ABS(AR364/AR352-1)&lt;0.0005,0,(AR364/AR352-1))</f>
        <v>0.172777731472034</v>
      </c>
      <c r="AW364" s="185"/>
      <c r="AX364" s="163" t="n">
        <f aca="false">IF(ABS(H364-H363)&lt;0.05,0,H364-H363)</f>
        <v>-2.039</v>
      </c>
      <c r="AY364" s="164" t="n">
        <f aca="false">IF(ABS(H364/H363-1)&lt;0.0005,0,(H364/H363-1))</f>
        <v>-0.0380431740582495</v>
      </c>
      <c r="AZ364" s="163" t="n">
        <f aca="false">IF(ABS(H364-H352)&lt;0.05,0,H364-H352)</f>
        <v>8.128</v>
      </c>
      <c r="BA364" s="164" t="n">
        <f aca="false">IF(ABS(H364/H352-1)&lt;0.0005,0,(H364/H352-1))</f>
        <v>0.187151738429657</v>
      </c>
      <c r="BB364" s="57" t="n">
        <f aca="false">(H364/1.05)</f>
        <v>49.1028571428571</v>
      </c>
      <c r="BC364" s="163" t="n">
        <f aca="false">IF(ABS(BB364-BB363)&lt;0.05,0,BB364-BB363)</f>
        <v>-1.94190476190477</v>
      </c>
      <c r="BD364" s="164" t="n">
        <f aca="false">IF(ABS(BB364/BB363-1)&lt;0.0005,0,(BB364/BB363-1))</f>
        <v>-0.0380431740582496</v>
      </c>
      <c r="BE364" s="163" t="n">
        <f aca="false">IF(ABS(BB364-BB352)&lt;0.05,0,BB364-BB352)</f>
        <v>7.74095238095238</v>
      </c>
      <c r="BF364" s="155" t="n">
        <f aca="false">IF(ABS(BB364/BB352-1)&lt;0.0005,0,(BB364/BB352-1))</f>
        <v>0.187151738429657</v>
      </c>
      <c r="BG364" s="191"/>
      <c r="BH364" s="163" t="n">
        <f aca="false">IF(ABS(I364-I363)&lt;0.05,0,I364-I363)</f>
        <v>-2.64520699999999</v>
      </c>
      <c r="BI364" s="164" t="n">
        <f aca="false">IF(ABS(I364/I363-1)&lt;0.0005,0,(I364/I363-1))</f>
        <v>-0.0397993361659215</v>
      </c>
      <c r="BJ364" s="163" t="n">
        <f aca="false">IF(ABS(I364-I352)&lt;0.05,0,I364-I352)</f>
        <v>9.645675</v>
      </c>
      <c r="BK364" s="164" t="n">
        <f aca="false">IF(ABS(I364/I352-1)&lt;0.0005,0,(I364/I352-1))</f>
        <v>0.178054121490018</v>
      </c>
      <c r="BL364" s="57" t="n">
        <f aca="false">(I364/1.05)-11.14</f>
        <v>49.6394180952381</v>
      </c>
      <c r="BM364" s="163" t="n">
        <f aca="false">IF(ABS(BL364-BL363)&lt;0.05,0,BL364-BL363)</f>
        <v>-2.51924476190476</v>
      </c>
      <c r="BN364" s="164" t="n">
        <f aca="false">IF(ABS(BL364/BL363-1)&lt;0.0005,0,(BL364/BL363-1))</f>
        <v>-0.0482996423586377</v>
      </c>
      <c r="BO364" s="163" t="n">
        <f aca="false">IF(ABS(BL364-BL352)&lt;0.05,0,BL364-BL352)</f>
        <v>9.18635714285714</v>
      </c>
      <c r="BP364" s="155" t="n">
        <f aca="false">IF(ABS(BL364/BL352-1)&lt;0.0005,0,(BL364/BL352-1))</f>
        <v>0.227086824249735</v>
      </c>
      <c r="BQ364" s="191"/>
    </row>
    <row r="365" customFormat="false" ht="12.75" hidden="false" customHeight="true" outlineLevel="0" collapsed="false">
      <c r="A365" s="156" t="n">
        <v>43435</v>
      </c>
      <c r="B365" s="73" t="n">
        <v>2018</v>
      </c>
      <c r="C365" s="157" t="s">
        <v>70</v>
      </c>
      <c r="D365" s="189"/>
      <c r="E365" s="159" t="n">
        <v>131.381004</v>
      </c>
      <c r="F365" s="194" t="n">
        <v>120.973086608496</v>
      </c>
      <c r="G365" s="194" t="n">
        <v>131.004212</v>
      </c>
      <c r="H365" s="159" t="n">
        <v>46.967</v>
      </c>
      <c r="I365" s="159" t="n">
        <v>58.9787</v>
      </c>
      <c r="J365" s="178"/>
      <c r="K365" s="159" t="n">
        <v>88.5863071530999</v>
      </c>
      <c r="L365" s="159"/>
      <c r="M365" s="160" t="n">
        <f aca="false">G365-F365</f>
        <v>10.0311253915038</v>
      </c>
      <c r="N365" s="75"/>
      <c r="O365" s="75"/>
      <c r="P365" s="190"/>
      <c r="Q365" s="190"/>
      <c r="R365" s="191"/>
      <c r="S365" s="57" t="n">
        <f aca="false">IF(ABS(F365-F364)&lt;0.05,0,F365-F364)</f>
        <v>-7.63800608109257</v>
      </c>
      <c r="T365" s="178" t="n">
        <f aca="false">IF((ABS(G365/G364-1))&lt;0.0005,0,(G365/G364-1))</f>
        <v>-0.044174094982722</v>
      </c>
      <c r="U365" s="163" t="n">
        <f aca="false">IF(ABS(F365-F353)&lt;0.05,0,F365-F353)</f>
        <v>0.979128126855343</v>
      </c>
      <c r="V365" s="164" t="n">
        <f aca="false">IF(ABS(F365/F353-1)&lt;0.0005,0,(F365/F353-1))</f>
        <v>0.00815981187090475</v>
      </c>
      <c r="W365" s="57" t="n">
        <f aca="false">(F365/1.2)-57.95</f>
        <v>42.8609055070801</v>
      </c>
      <c r="X365" s="163" t="n">
        <f aca="false">IF(ABS(W365-W364)&lt;0.05,0,W365-W364)</f>
        <v>-6.36500506757714</v>
      </c>
      <c r="Y365" s="184" t="n">
        <f aca="false">IF(ABS(W365/W364-1)&lt;0.0005,0,(W365/W364-1))</f>
        <v>-0.129301926430062</v>
      </c>
      <c r="Z365" s="163" t="n">
        <f aca="false">IF(ABS(W365-W353)&lt;0.05,0,W365-W353)</f>
        <v>0.815940105712784</v>
      </c>
      <c r="AA365" s="155" t="n">
        <f aca="false">IF(ABS(W365/W353-1)&lt;0.0005,0,(W365/W353-1))</f>
        <v>0.0194063688226094</v>
      </c>
      <c r="AB365" s="185"/>
      <c r="AC365" s="57" t="n">
        <f aca="false">IF(ABS(G365-G364)&lt;0.05,0,G365-G364)</f>
        <v>-6.05444200000002</v>
      </c>
      <c r="AD365" s="164" t="n">
        <f aca="false">IF(ABS(G365/G364-1)&lt;0.0005,0,(G365/G364-1))</f>
        <v>-0.044174094982722</v>
      </c>
      <c r="AE365" s="163" t="n">
        <f aca="false">IF(ABS(G365-G353)&lt;0.05,0,G365-G353)</f>
        <v>7.49044299999994</v>
      </c>
      <c r="AF365" s="164" t="n">
        <f aca="false">IF(ABS(G365/G353-1)&lt;0.0005,0,(G365/G353-1))</f>
        <v>0.0606445990649021</v>
      </c>
      <c r="AG365" s="57" t="n">
        <f aca="false">(G365/1.2)-57.95</f>
        <v>51.2201766666667</v>
      </c>
      <c r="AH365" s="163" t="n">
        <f aca="false">IF(ABS(AG365-AG364)&lt;0.05,0,AG365-AG364)</f>
        <v>-5.04536833333336</v>
      </c>
      <c r="AI365" s="164" t="n">
        <f aca="false">IF(ABS(AG365/AG364-1)&lt;0.0005,0,(AG365/AG364-1))</f>
        <v>-0.0896706560530669</v>
      </c>
      <c r="AJ365" s="163" t="n">
        <f aca="false">IF(ABS(AG365-AG353)&lt;0.05,0,AG365-AG353)</f>
        <v>6.24203583333328</v>
      </c>
      <c r="AK365" s="155" t="n">
        <f aca="false">IF(ABS(AG365/AG353-1)&lt;0.0005,0,(AG365/AG353-1))</f>
        <v>0.138779320747453</v>
      </c>
      <c r="AL365" s="185"/>
      <c r="AM365" s="156" t="n">
        <f aca="false">IF(E365="..","",A365)</f>
        <v>43435</v>
      </c>
      <c r="AN365" s="57" t="n">
        <f aca="false">IF(ABS(E365-E364)&lt;0.05,0,E365-E364)</f>
        <v>-7.55375699999999</v>
      </c>
      <c r="AO365" s="164" t="n">
        <f aca="false">IF(ABS(E365/E364-1)&lt;0.0005,0,(E365/E364-1))</f>
        <v>-0.0543690934193206</v>
      </c>
      <c r="AP365" s="163" t="n">
        <f aca="false">IF(ABS(E365-E353)&lt;0.05,0,E365-E353)</f>
        <v>1.85355200000001</v>
      </c>
      <c r="AQ365" s="164" t="n">
        <f aca="false">IF(ABS(E365/E353-1)&lt;0.0005,0,(E365/E353-1))</f>
        <v>0.0143101093349693</v>
      </c>
      <c r="AR365" s="57" t="n">
        <f aca="false">(E365/1.2)-57.95</f>
        <v>51.53417</v>
      </c>
      <c r="AS365" s="163" t="n">
        <f aca="false">IF(ABS(AR365-AR364)&lt;0.05,0,AR365-AR364)</f>
        <v>-6.29479749999999</v>
      </c>
      <c r="AT365" s="164" t="n">
        <f aca="false">IF(ABS(AR365/AR364-1)&lt;0.0005,0,(AR365/AR364-1))</f>
        <v>-0.108851978033327</v>
      </c>
      <c r="AU365" s="163" t="n">
        <f aca="false">IF(ABS(AR365-AR353)&lt;0.05,0,AR365-AR353)</f>
        <v>1.54462666666667</v>
      </c>
      <c r="AV365" s="155" t="n">
        <f aca="false">IF(ABS(AR365/AR353-1)&lt;0.0005,0,(AR365/AR353-1))</f>
        <v>0.0308989953432262</v>
      </c>
      <c r="AW365" s="185"/>
      <c r="AX365" s="163" t="n">
        <f aca="false">IF(ABS(H365-H364)&lt;0.05,0,H365-H364)</f>
        <v>-4.591</v>
      </c>
      <c r="AY365" s="164" t="n">
        <f aca="false">IF(ABS(H365/H364-1)&lt;0.0005,0,(H365/H364-1))</f>
        <v>-0.0890453469878584</v>
      </c>
      <c r="AZ365" s="163" t="n">
        <f aca="false">IF(ABS(H365-H353)&lt;0.05,0,H365-H353)</f>
        <v>3.37900000000001</v>
      </c>
      <c r="BA365" s="164" t="n">
        <f aca="false">IF(ABS(H365/H353-1)&lt;0.0005,0,(H365/H353-1))</f>
        <v>0.0775213361475637</v>
      </c>
      <c r="BB365" s="57" t="n">
        <f aca="false">(H365/1.05)</f>
        <v>44.7304761904762</v>
      </c>
      <c r="BC365" s="163" t="n">
        <f aca="false">IF(ABS(BB365-BB364)&lt;0.05,0,BB365-BB364)</f>
        <v>-4.37238095238095</v>
      </c>
      <c r="BD365" s="164" t="n">
        <f aca="false">IF(ABS(BB365/BB364-1)&lt;0.0005,0,(BB365/BB364-1))</f>
        <v>-0.0890453469878583</v>
      </c>
      <c r="BE365" s="163" t="n">
        <f aca="false">IF(ABS(BB365-BB353)&lt;0.05,0,BB365-BB353)</f>
        <v>3.21809523809525</v>
      </c>
      <c r="BF365" s="155" t="n">
        <f aca="false">IF(ABS(BB365/BB353-1)&lt;0.0005,0,(BB365/BB353-1))</f>
        <v>0.0775213361475637</v>
      </c>
      <c r="BG365" s="191"/>
      <c r="BH365" s="163" t="n">
        <f aca="false">IF(ABS(I365-I364)&lt;0.05,0,I365-I364)</f>
        <v>-4.83968900000001</v>
      </c>
      <c r="BI365" s="164" t="n">
        <f aca="false">IF(ABS(I365/I364-1)&lt;0.0005,0,(I365/I364-1))</f>
        <v>-0.0758353364263082</v>
      </c>
      <c r="BJ365" s="163" t="n">
        <f aca="false">IF(ABS(I365-I353)&lt;0.05,0,I365-I353)</f>
        <v>5.86832499999999</v>
      </c>
      <c r="BK365" s="164" t="n">
        <f aca="false">IF(ABS(I365/I353-1)&lt;0.0005,0,(I365/I353-1))</f>
        <v>0.110493006309972</v>
      </c>
      <c r="BL365" s="57" t="n">
        <f aca="false">(I365/1.05)-11.14</f>
        <v>45.0301904761905</v>
      </c>
      <c r="BM365" s="163" t="n">
        <f aca="false">IF(ABS(BL365-BL364)&lt;0.05,0,BL365-BL364)</f>
        <v>-4.60922761904762</v>
      </c>
      <c r="BN365" s="164" t="n">
        <f aca="false">IF(ABS(BL365/BL364-1)&lt;0.0005,0,(BL365/BL364-1))</f>
        <v>-0.0928541831454263</v>
      </c>
      <c r="BO365" s="163" t="n">
        <f aca="false">IF(ABS(BL365-BL353)&lt;0.05,0,BL365-BL353)</f>
        <v>5.58888095238095</v>
      </c>
      <c r="BP365" s="155" t="n">
        <f aca="false">IF(ABS(BL365/BL353-1)&lt;0.0005,0,(BL365/BL353-1))</f>
        <v>0.141701201604554</v>
      </c>
      <c r="BQ365" s="191"/>
    </row>
    <row r="366" customFormat="false" ht="12.75" hidden="false" customHeight="true" outlineLevel="0" collapsed="false">
      <c r="A366" s="156" t="n">
        <v>43466</v>
      </c>
      <c r="B366" s="73" t="n">
        <v>2019</v>
      </c>
      <c r="C366" s="157" t="s">
        <v>59</v>
      </c>
      <c r="D366" s="189"/>
      <c r="E366" s="159" t="n">
        <v>129.554945</v>
      </c>
      <c r="F366" s="194" t="n">
        <v>119.456544016876</v>
      </c>
      <c r="G366" s="194" t="n">
        <v>129.268337</v>
      </c>
      <c r="H366" s="159" t="n">
        <v>46.587</v>
      </c>
      <c r="I366" s="159" t="n">
        <v>56.722092</v>
      </c>
      <c r="J366" s="178"/>
      <c r="K366" s="159" t="n">
        <v>89.1929591393005</v>
      </c>
      <c r="L366" s="159"/>
      <c r="M366" s="160" t="n">
        <f aca="false">G366-F366</f>
        <v>9.81179298312415</v>
      </c>
      <c r="N366" s="75"/>
      <c r="O366" s="75"/>
      <c r="P366" s="190"/>
      <c r="Q366" s="190"/>
      <c r="R366" s="191"/>
      <c r="S366" s="57" t="n">
        <f aca="false">IF(ABS(F366-F365)&lt;0.05,0,F366-F365)</f>
        <v>-1.51654259162031</v>
      </c>
      <c r="T366" s="178" t="n">
        <f aca="false">IF((ABS(G366/G365-1))&lt;0.0005,0,(G366/G365-1))</f>
        <v>-0.0132505281585907</v>
      </c>
      <c r="U366" s="163" t="n">
        <f aca="false">IF(ABS(F366-F354)&lt;0.05,0,F366-F354)</f>
        <v>-1.70460615897817</v>
      </c>
      <c r="V366" s="164" t="n">
        <f aca="false">IF(ABS(F366/F354-1)&lt;0.0005,0,(F366/F354-1))</f>
        <v>-0.0140689169465963</v>
      </c>
      <c r="W366" s="57" t="n">
        <f aca="false">(F366/1.2)-57.95</f>
        <v>41.5971200140632</v>
      </c>
      <c r="X366" s="163" t="n">
        <f aca="false">IF(ABS(W366-W365)&lt;0.05,0,W366-W365)</f>
        <v>-1.26378549301693</v>
      </c>
      <c r="Y366" s="184" t="n">
        <f aca="false">IF(ABS(W366/W365-1)&lt;0.0005,0,(W366/W365-1))</f>
        <v>-0.0294857394650274</v>
      </c>
      <c r="Z366" s="163" t="n">
        <f aca="false">IF(ABS(W366-W354)&lt;0.05,0,W366-W354)</f>
        <v>-1.42050513248181</v>
      </c>
      <c r="AA366" s="155" t="n">
        <f aca="false">IF(ABS(W366/W354-1)&lt;0.0005,0,(W366/W354-1))</f>
        <v>-0.0330214680062574</v>
      </c>
      <c r="AB366" s="185"/>
      <c r="AC366" s="57" t="n">
        <f aca="false">IF(ABS(G366-G365)&lt;0.05,0,G366-G365)</f>
        <v>-1.73587499999999</v>
      </c>
      <c r="AD366" s="164" t="n">
        <f aca="false">IF(ABS(G366/G365-1)&lt;0.0005,0,(G366/G365-1))</f>
        <v>-0.0132505281585907</v>
      </c>
      <c r="AE366" s="163" t="n">
        <f aca="false">IF(ABS(G366-G354)&lt;0.05,0,G366-G354)</f>
        <v>4.71444499999998</v>
      </c>
      <c r="AF366" s="164" t="n">
        <f aca="false">IF(ABS(G366/G354-1)&lt;0.0005,0,(G366/G354-1))</f>
        <v>0.0378506438000346</v>
      </c>
      <c r="AG366" s="57" t="n">
        <f aca="false">(G366/1.2)-57.95</f>
        <v>49.7736141666667</v>
      </c>
      <c r="AH366" s="163" t="n">
        <f aca="false">IF(ABS(AG366-AG365)&lt;0.05,0,AG366-AG365)</f>
        <v>-1.44656249999998</v>
      </c>
      <c r="AI366" s="164" t="n">
        <f aca="false">IF(ABS(AG366/AG365-1)&lt;0.0005,0,(AG366/AG365-1))</f>
        <v>-0.028242044329796</v>
      </c>
      <c r="AJ366" s="163" t="n">
        <f aca="false">IF(ABS(AG366-AG354)&lt;0.05,0,AG366-AG354)</f>
        <v>3.92870416666666</v>
      </c>
      <c r="AK366" s="155" t="n">
        <f aca="false">IF(ABS(AG366/AG354-1)&lt;0.0005,0,(AG366/AG354-1))</f>
        <v>0.085695536683716</v>
      </c>
      <c r="AL366" s="185"/>
      <c r="AM366" s="156" t="n">
        <f aca="false">IF(E366="..","",A366)</f>
        <v>43466</v>
      </c>
      <c r="AN366" s="57" t="n">
        <f aca="false">IF(ABS(E366-E365)&lt;0.05,0,E366-E365)</f>
        <v>-1.82605900000002</v>
      </c>
      <c r="AO366" s="164" t="n">
        <f aca="false">IF(ABS(E366/E365-1)&lt;0.0005,0,(E366/E365-1))</f>
        <v>-0.013898957569239</v>
      </c>
      <c r="AP366" s="163" t="n">
        <f aca="false">IF(ABS(E366-E354)&lt;0.05,0,E366-E354)</f>
        <v>-0.957414</v>
      </c>
      <c r="AQ366" s="164" t="n">
        <f aca="false">IF(ABS(E366/E354-1)&lt;0.0005,0,(E366/E354-1))</f>
        <v>-0.00733581100928538</v>
      </c>
      <c r="AR366" s="57" t="n">
        <f aca="false">(E366/1.2)-57.95</f>
        <v>50.0124541666667</v>
      </c>
      <c r="AS366" s="163" t="n">
        <f aca="false">IF(ABS(AR366-AR365)&lt;0.05,0,AR366-AR365)</f>
        <v>-1.52171583333335</v>
      </c>
      <c r="AT366" s="164" t="n">
        <f aca="false">IF(ABS(AR366/AR365-1)&lt;0.0005,0,(AR366/AR365-1))</f>
        <v>-0.0295282883828991</v>
      </c>
      <c r="AU366" s="163" t="n">
        <f aca="false">IF(ABS(AR366-AR354)&lt;0.05,0,AR366-AR354)</f>
        <v>-0.797844999999995</v>
      </c>
      <c r="AV366" s="155" t="n">
        <f aca="false">IF(ABS(AR366/AR354-1)&lt;0.0005,0,(AR366/AR354-1))</f>
        <v>-0.015702426734055</v>
      </c>
      <c r="AW366" s="185"/>
      <c r="AX366" s="163" t="n">
        <f aca="false">IF(ABS(H366-H365)&lt;0.05,0,H366-H365)</f>
        <v>-0.379999999999988</v>
      </c>
      <c r="AY366" s="164" t="n">
        <f aca="false">IF(ABS(H366/H365-1)&lt;0.0005,0,(H366/H365-1))</f>
        <v>-0.00809078714842315</v>
      </c>
      <c r="AZ366" s="163" t="n">
        <f aca="false">IF(ABS(H366-H354)&lt;0.05,0,H366-H354)</f>
        <v>0.668000000000014</v>
      </c>
      <c r="BA366" s="164" t="n">
        <f aca="false">IF(ABS(H366/H354-1)&lt;0.0005,0,(H366/H354-1))</f>
        <v>0.0145473551253297</v>
      </c>
      <c r="BB366" s="57" t="n">
        <f aca="false">(H366/1.05)</f>
        <v>44.3685714285714</v>
      </c>
      <c r="BC366" s="163" t="n">
        <f aca="false">IF(ABS(BB366-BB365)&lt;0.05,0,BB366-BB365)</f>
        <v>-0.361904761904754</v>
      </c>
      <c r="BD366" s="164" t="n">
        <f aca="false">IF(ABS(BB366/BB365-1)&lt;0.0005,0,(BB366/BB365-1))</f>
        <v>-0.00809078714842315</v>
      </c>
      <c r="BE366" s="163" t="n">
        <f aca="false">IF(ABS(BB366-BB354)&lt;0.05,0,BB366-BB354)</f>
        <v>0.636190476190485</v>
      </c>
      <c r="BF366" s="155" t="n">
        <f aca="false">IF(ABS(BB366/BB354-1)&lt;0.0005,0,(BB366/BB354-1))</f>
        <v>0.0145473551253297</v>
      </c>
      <c r="BG366" s="191"/>
      <c r="BH366" s="163" t="n">
        <f aca="false">IF(ABS(I366-I365)&lt;0.05,0,I366-I365)</f>
        <v>-2.256608</v>
      </c>
      <c r="BI366" s="164" t="n">
        <f aca="false">IF(ABS(I366/I365-1)&lt;0.0005,0,(I366/I365-1))</f>
        <v>-0.0382614062364888</v>
      </c>
      <c r="BJ366" s="163" t="n">
        <f aca="false">IF(ABS(I366-I354)&lt;0.05,0,I366-I354)</f>
        <v>1.210903</v>
      </c>
      <c r="BK366" s="164" t="n">
        <f aca="false">IF(ABS(I366/I354-1)&lt;0.0005,0,(I366/I354-1))</f>
        <v>0.0218136743567139</v>
      </c>
      <c r="BL366" s="57" t="n">
        <f aca="false">(I366/1.05)-11.14</f>
        <v>42.88104</v>
      </c>
      <c r="BM366" s="163" t="n">
        <f aca="false">IF(ABS(BL366-BL365)&lt;0.05,0,BL366-BL365)</f>
        <v>-2.14915047619048</v>
      </c>
      <c r="BN366" s="164" t="n">
        <f aca="false">IF(ABS(BL366/BL365-1)&lt;0.0005,0,(BL366/BL365-1))</f>
        <v>-0.0477268795326734</v>
      </c>
      <c r="BO366" s="163" t="n">
        <f aca="false">IF(ABS(BL366-BL354)&lt;0.05,0,BL366-BL354)</f>
        <v>1.15324095238095</v>
      </c>
      <c r="BP366" s="155" t="n">
        <f aca="false">IF(ABS(BL366/BL354-1)&lt;0.0005,0,(BL366/BL354-1))</f>
        <v>0.0276372341389226</v>
      </c>
      <c r="BQ366" s="191"/>
    </row>
    <row r="367" customFormat="false" ht="12.75" hidden="false" customHeight="true" outlineLevel="0" collapsed="false">
      <c r="A367" s="156" t="n">
        <v>43497</v>
      </c>
      <c r="B367" s="73" t="n">
        <v>2019</v>
      </c>
      <c r="C367" s="157" t="s">
        <v>60</v>
      </c>
      <c r="D367" s="189"/>
      <c r="E367" s="159" t="n">
        <v>129.294465</v>
      </c>
      <c r="F367" s="194" t="n">
        <v>118.854976287141</v>
      </c>
      <c r="G367" s="194" t="n">
        <v>128.933731</v>
      </c>
      <c r="H367" s="159" t="n">
        <v>47.217</v>
      </c>
      <c r="I367" s="159" t="n">
        <v>59.333862</v>
      </c>
      <c r="J367" s="178"/>
      <c r="K367" s="159" t="n">
        <v>95.8309180093605</v>
      </c>
      <c r="L367" s="159"/>
      <c r="M367" s="160" t="n">
        <f aca="false">G367-F367</f>
        <v>10.0787547128594</v>
      </c>
      <c r="N367" s="75"/>
      <c r="O367" s="75"/>
      <c r="P367" s="190"/>
      <c r="Q367" s="190"/>
      <c r="R367" s="191"/>
      <c r="S367" s="57" t="n">
        <f aca="false">IF(ABS(F367-F366)&lt;0.05,0,F367-F366)</f>
        <v>-0.601567729735265</v>
      </c>
      <c r="T367" s="178" t="n">
        <f aca="false">IF((ABS(G367/G366-1))&lt;0.0005,0,(G367/G366-1))</f>
        <v>-0.00258846062203133</v>
      </c>
      <c r="U367" s="163" t="n">
        <f aca="false">IF(ABS(F367-F355)&lt;0.05,0,F367-F355)</f>
        <v>-2.58676459117439</v>
      </c>
      <c r="V367" s="164" t="n">
        <f aca="false">IF(ABS(F367/F355-1)&lt;0.0005,0,(F367/F355-1))</f>
        <v>-0.0213004570954425</v>
      </c>
      <c r="W367" s="57" t="n">
        <f aca="false">(F367/1.2)-57.95</f>
        <v>41.0958135726172</v>
      </c>
      <c r="X367" s="163" t="n">
        <f aca="false">IF(ABS(W367-W366)&lt;0.05,0,W367-W366)</f>
        <v>-0.501306441446047</v>
      </c>
      <c r="Y367" s="184" t="n">
        <f aca="false">IF(ABS(W367/W366-1)&lt;0.0005,0,(W367/W366-1))</f>
        <v>-0.0120514699401441</v>
      </c>
      <c r="Z367" s="163" t="n">
        <f aca="false">IF(ABS(W367-W355)&lt;0.05,0,W367-W355)</f>
        <v>-2.15563715931198</v>
      </c>
      <c r="AA367" s="155" t="n">
        <f aca="false">IF(ABS(W367/W355-1)&lt;0.0005,0,(W367/W355-1))</f>
        <v>-0.0498396498344653</v>
      </c>
      <c r="AB367" s="185"/>
      <c r="AC367" s="57" t="n">
        <f aca="false">IF(ABS(G367-G366)&lt;0.05,0,G367-G366)</f>
        <v>-0.33460599999998</v>
      </c>
      <c r="AD367" s="164" t="n">
        <f aca="false">IF(ABS(G367/G366-1)&lt;0.0005,0,(G367/G366-1))</f>
        <v>-0.00258846062203133</v>
      </c>
      <c r="AE367" s="163" t="n">
        <f aca="false">IF(ABS(G367-G355)&lt;0.05,0,G367-G355)</f>
        <v>4.27164700000002</v>
      </c>
      <c r="AF367" s="164" t="n">
        <f aca="false">IF(ABS(G367/G355-1)&lt;0.0005,0,(G367/G355-1))</f>
        <v>0.0342658077174454</v>
      </c>
      <c r="AG367" s="57" t="n">
        <f aca="false">(G367/1.2)-57.95</f>
        <v>49.4947758333334</v>
      </c>
      <c r="AH367" s="163" t="n">
        <f aca="false">IF(ABS(AG367-AG366)&lt;0.05,0,AG367-AG366)</f>
        <v>-0.278838333333326</v>
      </c>
      <c r="AI367" s="164" t="n">
        <f aca="false">IF(ABS(AG367/AG366-1)&lt;0.0005,0,(AG367/AG366-1))</f>
        <v>-0.00560213153096811</v>
      </c>
      <c r="AJ367" s="163" t="n">
        <f aca="false">IF(ABS(AG367-AG355)&lt;0.05,0,AG367-AG355)</f>
        <v>3.55970583333334</v>
      </c>
      <c r="AK367" s="155" t="n">
        <f aca="false">IF(ABS(AG367/AG355-1)&lt;0.0005,0,(AG367/AG355-1))</f>
        <v>0.0774942943013548</v>
      </c>
      <c r="AL367" s="185"/>
      <c r="AM367" s="156" t="n">
        <f aca="false">IF(E367="..","",A367)</f>
        <v>43497</v>
      </c>
      <c r="AN367" s="57" t="n">
        <f aca="false">IF(ABS(E367-E366)&lt;0.05,0,E367-E366)</f>
        <v>-0.260480000000001</v>
      </c>
      <c r="AO367" s="164" t="n">
        <f aca="false">IF(ABS(E367/E366-1)&lt;0.0005,0,(E367/E366-1))</f>
        <v>-0.00201057551296091</v>
      </c>
      <c r="AP367" s="163" t="n">
        <f aca="false">IF(ABS(E367-E355)&lt;0.05,0,E367-E355)</f>
        <v>-1.84088700000001</v>
      </c>
      <c r="AQ367" s="164" t="n">
        <f aca="false">IF(ABS(E367/E355-1)&lt;0.0005,0,(E367/E355-1))</f>
        <v>-0.0140380680870862</v>
      </c>
      <c r="AR367" s="57" t="n">
        <f aca="false">(E367/1.2)-57.95</f>
        <v>49.7953875</v>
      </c>
      <c r="AS367" s="163" t="n">
        <f aca="false">IF(ABS(AR367-AR366)&lt;0.05,0,AR367-AR366)</f>
        <v>-0.217066666666668</v>
      </c>
      <c r="AT367" s="164" t="n">
        <f aca="false">IF(ABS(AR367/AR366-1)&lt;0.0005,0,(AR367/AR366-1))</f>
        <v>-0.00434025224883572</v>
      </c>
      <c r="AU367" s="163" t="n">
        <f aca="false">IF(ABS(AR367-AR355)&lt;0.05,0,AR367-AR355)</f>
        <v>-1.53407250000001</v>
      </c>
      <c r="AV367" s="155" t="n">
        <f aca="false">IF(ABS(AR367/AR355-1)&lt;0.0005,0,(AR367/AR355-1))</f>
        <v>-0.0298867843145049</v>
      </c>
      <c r="AW367" s="185"/>
      <c r="AX367" s="163" t="n">
        <f aca="false">IF(ABS(H367-H366)&lt;0.05,0,H367-H366)</f>
        <v>0.629999999999988</v>
      </c>
      <c r="AY367" s="164" t="n">
        <f aca="false">IF(ABS(H367/H366-1)&lt;0.0005,0,(H367/H366-1))</f>
        <v>0.0135230858393971</v>
      </c>
      <c r="AZ367" s="163" t="n">
        <f aca="false">IF(ABS(H367-H355)&lt;0.05,0,H367-H355)</f>
        <v>4.346</v>
      </c>
      <c r="BA367" s="164" t="n">
        <f aca="false">IF(ABS(H367/H355-1)&lt;0.0005,0,(H367/H355-1))</f>
        <v>0.101373889109188</v>
      </c>
      <c r="BB367" s="57" t="n">
        <f aca="false">(H367/1.05)</f>
        <v>44.9685714285714</v>
      </c>
      <c r="BC367" s="163" t="n">
        <f aca="false">IF(ABS(BB367-BB366)&lt;0.05,0,BB367-BB366)</f>
        <v>0.599999999999987</v>
      </c>
      <c r="BD367" s="164" t="n">
        <f aca="false">IF(ABS(BB367/BB366-1)&lt;0.0005,0,(BB367/BB366-1))</f>
        <v>0.0135230858393969</v>
      </c>
      <c r="BE367" s="163" t="n">
        <f aca="false">IF(ABS(BB367-BB355)&lt;0.05,0,BB367-BB355)</f>
        <v>4.13904761904762</v>
      </c>
      <c r="BF367" s="155" t="n">
        <f aca="false">IF(ABS(BB367/BB355-1)&lt;0.0005,0,(BB367/BB355-1))</f>
        <v>0.101373889109188</v>
      </c>
      <c r="BG367" s="191"/>
      <c r="BH367" s="163" t="n">
        <f aca="false">IF(ABS(I367-I366)&lt;0.05,0,I367-I366)</f>
        <v>2.61177</v>
      </c>
      <c r="BI367" s="164" t="n">
        <f aca="false">IF(ABS(I367/I366-1)&lt;0.0005,0,(I367/I366-1))</f>
        <v>0.0460450224579163</v>
      </c>
      <c r="BJ367" s="163" t="n">
        <f aca="false">IF(ABS(I367-I355)&lt;0.05,0,I367-I355)</f>
        <v>7.398599</v>
      </c>
      <c r="BK367" s="164" t="n">
        <f aca="false">IF(ABS(I367/I355-1)&lt;0.0005,0,(I367/I355-1))</f>
        <v>0.142458102118401</v>
      </c>
      <c r="BL367" s="57" t="n">
        <f aca="false">(I367/1.05)-11.14</f>
        <v>45.36844</v>
      </c>
      <c r="BM367" s="163" t="n">
        <f aca="false">IF(ABS(BL367-BL366)&lt;0.05,0,BL367-BL366)</f>
        <v>2.4874</v>
      </c>
      <c r="BN367" s="164" t="n">
        <f aca="false">IF(ABS(BL367/BL366-1)&lt;0.0005,0,(BL367/BL366-1))</f>
        <v>0.0580069886364696</v>
      </c>
      <c r="BO367" s="163" t="n">
        <f aca="false">IF(ABS(BL367-BL355)&lt;0.05,0,BL367-BL355)</f>
        <v>7.04628476190477</v>
      </c>
      <c r="BP367" s="155" t="n">
        <f aca="false">IF(ABS(BL367/BL355-1)&lt;0.0005,0,(BL367/BL355-1))</f>
        <v>0.183869741096926</v>
      </c>
      <c r="BQ367" s="191"/>
    </row>
    <row r="368" customFormat="false" ht="12.75" hidden="false" customHeight="true" outlineLevel="0" collapsed="false">
      <c r="A368" s="156" t="n">
        <v>43525</v>
      </c>
      <c r="B368" s="73" t="n">
        <v>2019</v>
      </c>
      <c r="C368" s="157" t="s">
        <v>61</v>
      </c>
      <c r="D368" s="189"/>
      <c r="E368" s="159" t="n">
        <v>131.811255</v>
      </c>
      <c r="F368" s="194" t="n">
        <v>120.411893804137</v>
      </c>
      <c r="G368" s="194" t="n">
        <v>130.717262</v>
      </c>
      <c r="H368" s="159" t="n">
        <v>46.593</v>
      </c>
      <c r="I368" s="159" t="n">
        <v>58.145568</v>
      </c>
      <c r="J368" s="178"/>
      <c r="K368" s="159" t="n">
        <v>98.2731254294899</v>
      </c>
      <c r="L368" s="159"/>
      <c r="M368" s="160" t="n">
        <f aca="false">G368-F368</f>
        <v>10.305368195863</v>
      </c>
      <c r="N368" s="75"/>
      <c r="O368" s="75"/>
      <c r="P368" s="190"/>
      <c r="Q368" s="190"/>
      <c r="R368" s="191"/>
      <c r="S368" s="57" t="n">
        <f aca="false">IF(ABS(F368-F367)&lt;0.05,0,F368-F367)</f>
        <v>1.55691751699641</v>
      </c>
      <c r="T368" s="178" t="n">
        <f aca="false">IF((ABS(G368/G367-1))&lt;0.0005,0,(G368/G367-1))</f>
        <v>0.013832927862764</v>
      </c>
      <c r="U368" s="163" t="n">
        <f aca="false">IF(ABS(F368-F356)&lt;0.05,0,F368-F356)</f>
        <v>1.30255314588651</v>
      </c>
      <c r="V368" s="164" t="n">
        <f aca="false">IF(ABS(F368/F356-1)&lt;0.0005,0,(F368/F356-1))</f>
        <v>0.0109357766459626</v>
      </c>
      <c r="W368" s="57" t="n">
        <f aca="false">(F368/1.2)-57.95</f>
        <v>42.3932448367808</v>
      </c>
      <c r="X368" s="163" t="n">
        <f aca="false">IF(ABS(W368-W367)&lt;0.05,0,W368-W367)</f>
        <v>1.29743126416366</v>
      </c>
      <c r="Y368" s="184" t="n">
        <f aca="false">IF(ABS(W368/W367-1)&lt;0.0005,0,(W368/W367-1))</f>
        <v>0.0315708864571103</v>
      </c>
      <c r="Z368" s="163" t="n">
        <f aca="false">IF(ABS(W368-W356)&lt;0.05,0,W368-W356)</f>
        <v>1.08546095490541</v>
      </c>
      <c r="AA368" s="155" t="n">
        <f aca="false">IF(ABS(W368/W356-1)&lt;0.0005,0,(W368/W356-1))</f>
        <v>0.0262773950306658</v>
      </c>
      <c r="AB368" s="185"/>
      <c r="AC368" s="57" t="n">
        <f aca="false">IF(ABS(G368-G367)&lt;0.05,0,G368-G367)</f>
        <v>1.78353100000001</v>
      </c>
      <c r="AD368" s="164" t="n">
        <f aca="false">IF(ABS(G368/G367-1)&lt;0.0005,0,(G368/G367-1))</f>
        <v>0.013832927862764</v>
      </c>
      <c r="AE368" s="163" t="n">
        <f aca="false">IF(ABS(G368-G356)&lt;0.05,0,G368-G356)</f>
        <v>7.92258900000002</v>
      </c>
      <c r="AF368" s="164" t="n">
        <f aca="false">IF(ABS(G368/G356-1)&lt;0.0005,0,(G368/G356-1))</f>
        <v>0.0645189958688193</v>
      </c>
      <c r="AG368" s="57" t="n">
        <f aca="false">(G368/1.2)-57.95</f>
        <v>50.9810516666667</v>
      </c>
      <c r="AH368" s="163" t="n">
        <f aca="false">IF(ABS(AG368-AG367)&lt;0.05,0,AG368-AG367)</f>
        <v>1.48627583333335</v>
      </c>
      <c r="AI368" s="164" t="n">
        <f aca="false">IF(ABS(AG368/AG367-1)&lt;0.0005,0,(AG368/AG367-1))</f>
        <v>0.0300289436270642</v>
      </c>
      <c r="AJ368" s="163" t="n">
        <f aca="false">IF(ABS(AG368-AG356)&lt;0.05,0,AG368-AG356)</f>
        <v>6.60215750000002</v>
      </c>
      <c r="AK368" s="155" t="n">
        <f aca="false">IF(ABS(AG368/AG356-1)&lt;0.0005,0,(AG368/AG356-1))</f>
        <v>0.148767958823069</v>
      </c>
      <c r="AL368" s="185"/>
      <c r="AM368" s="156" t="n">
        <f aca="false">IF(E368="..","",A368)</f>
        <v>43525</v>
      </c>
      <c r="AN368" s="57" t="n">
        <f aca="false">IF(ABS(E368-E367)&lt;0.05,0,E368-E367)</f>
        <v>2.51679000000004</v>
      </c>
      <c r="AO368" s="164" t="n">
        <f aca="false">IF(ABS(E368/E367-1)&lt;0.0005,0,(E368/E367-1))</f>
        <v>0.0194655664494225</v>
      </c>
      <c r="AP368" s="163" t="n">
        <f aca="false">IF(ABS(E368-E356)&lt;0.05,0,E368-E356)</f>
        <v>2.84978300000006</v>
      </c>
      <c r="AQ368" s="164" t="n">
        <f aca="false">IF(ABS(E368/E356-1)&lt;0.0005,0,(E368/E356-1))</f>
        <v>0.0220979410036515</v>
      </c>
      <c r="AR368" s="57" t="n">
        <f aca="false">(E368/1.2)-57.95</f>
        <v>51.8927125</v>
      </c>
      <c r="AS368" s="163" t="n">
        <f aca="false">IF(ABS(AR368-AR367)&lt;0.05,0,AR368-AR367)</f>
        <v>2.09732500000004</v>
      </c>
      <c r="AT368" s="164" t="n">
        <f aca="false">IF(ABS(AR368/AR367-1)&lt;0.0005,0,(AR368/AR367-1))</f>
        <v>0.0421188609085539</v>
      </c>
      <c r="AU368" s="163" t="n">
        <f aca="false">IF(ABS(AR368-AR356)&lt;0.05,0,AR368-AR356)</f>
        <v>2.37481916666673</v>
      </c>
      <c r="AV368" s="155" t="n">
        <f aca="false">IF(ABS(AR368/AR356-1)&lt;0.0005,0,(AR368/AR356-1))</f>
        <v>0.0479588085599776</v>
      </c>
      <c r="AW368" s="185"/>
      <c r="AX368" s="163" t="n">
        <f aca="false">IF(ABS(H368-H367)&lt;0.05,0,H368-H367)</f>
        <v>-0.623999999999995</v>
      </c>
      <c r="AY368" s="164" t="n">
        <f aca="false">IF(ABS(H368/H367-1)&lt;0.0005,0,(H368/H367-1))</f>
        <v>-0.0132155791346336</v>
      </c>
      <c r="AZ368" s="163" t="n">
        <f aca="false">IF(ABS(H368-H356)&lt;0.05,0,H368-H356)</f>
        <v>2.39599999999999</v>
      </c>
      <c r="BA368" s="164" t="n">
        <f aca="false">IF(ABS(H368/H356-1)&lt;0.0005,0,(H368/H356-1))</f>
        <v>0.054211824331968</v>
      </c>
      <c r="BB368" s="57" t="n">
        <f aca="false">(H368/1.05)</f>
        <v>44.3742857142857</v>
      </c>
      <c r="BC368" s="163" t="n">
        <f aca="false">IF(ABS(BB368-BB367)&lt;0.05,0,BB368-BB367)</f>
        <v>-0.594285714285704</v>
      </c>
      <c r="BD368" s="164" t="n">
        <f aca="false">IF(ABS(BB368/BB367-1)&lt;0.0005,0,(BB368/BB367-1))</f>
        <v>-0.0132155791346334</v>
      </c>
      <c r="BE368" s="163" t="n">
        <f aca="false">IF(ABS(BB368-BB356)&lt;0.05,0,BB368-BB356)</f>
        <v>2.28190476190476</v>
      </c>
      <c r="BF368" s="155" t="n">
        <f aca="false">IF(ABS(BB368/BB356-1)&lt;0.0005,0,(BB368/BB356-1))</f>
        <v>0.0542118243319683</v>
      </c>
      <c r="BG368" s="191"/>
      <c r="BH368" s="163" t="n">
        <f aca="false">IF(ABS(I368-I367)&lt;0.05,0,I368-I367)</f>
        <v>-1.18829399999999</v>
      </c>
      <c r="BI368" s="164" t="n">
        <f aca="false">IF(ABS(I368/I367-1)&lt;0.0005,0,(I368/I367-1))</f>
        <v>-0.0200272485212575</v>
      </c>
      <c r="BJ368" s="163" t="n">
        <f aca="false">IF(ABS(I368-I356)&lt;0.05,0,I368-I356)</f>
        <v>5.63791300000001</v>
      </c>
      <c r="BK368" s="164" t="n">
        <f aca="false">IF(ABS(I368/I356-1)&lt;0.0005,0,(I368/I356-1))</f>
        <v>0.10737316301785</v>
      </c>
      <c r="BL368" s="57" t="n">
        <f aca="false">(I368/1.05)-11.14</f>
        <v>44.2367314285714</v>
      </c>
      <c r="BM368" s="163" t="n">
        <f aca="false">IF(ABS(BL368-BL367)&lt;0.05,0,BL368-BL367)</f>
        <v>-1.13170857142856</v>
      </c>
      <c r="BN368" s="164" t="n">
        <f aca="false">IF(ABS(BL368/BL367-1)&lt;0.0005,0,(BL368/BL367-1))</f>
        <v>-0.0249448420846862</v>
      </c>
      <c r="BO368" s="163" t="n">
        <f aca="false">IF(ABS(BL368-BL356)&lt;0.05,0,BL368-BL356)</f>
        <v>5.36944095238096</v>
      </c>
      <c r="BP368" s="155" t="n">
        <f aca="false">IF(ABS(BL368/BL356-1)&lt;0.0005,0,(BL368/BL356-1))</f>
        <v>0.138148064518935</v>
      </c>
      <c r="BQ368" s="191"/>
    </row>
    <row r="369" customFormat="false" ht="12.75" hidden="false" customHeight="true" outlineLevel="0" collapsed="false">
      <c r="A369" s="156" t="n">
        <v>43556</v>
      </c>
      <c r="B369" s="73" t="n">
        <v>2019</v>
      </c>
      <c r="C369" s="157" t="s">
        <v>62</v>
      </c>
      <c r="D369" s="189"/>
      <c r="E369" s="159" t="n">
        <v>135.484275</v>
      </c>
      <c r="F369" s="194" t="n">
        <v>124.095546017391</v>
      </c>
      <c r="G369" s="194" t="n">
        <v>132.8527</v>
      </c>
      <c r="H369" s="159" t="n">
        <v>47.867</v>
      </c>
      <c r="I369" s="159" t="n">
        <v>60.179288</v>
      </c>
      <c r="J369" s="178"/>
      <c r="K369" s="159" t="n">
        <v>106.291048739075</v>
      </c>
      <c r="L369" s="159"/>
      <c r="M369" s="160" t="n">
        <f aca="false">G369-F369</f>
        <v>8.75715398260866</v>
      </c>
      <c r="N369" s="75"/>
      <c r="O369" s="75"/>
      <c r="P369" s="190"/>
      <c r="Q369" s="190"/>
      <c r="R369" s="191"/>
      <c r="S369" s="57" t="n">
        <f aca="false">IF(ABS(F369-F368)&lt;0.05,0,F369-F368)</f>
        <v>3.68365221325438</v>
      </c>
      <c r="T369" s="178" t="n">
        <f aca="false">IF((ABS(G369/G368-1))&lt;0.0005,0,(G369/G368-1))</f>
        <v>0.0163363121849967</v>
      </c>
      <c r="U369" s="163" t="n">
        <f aca="false">IF(ABS(F369-F357)&lt;0.05,0,F369-F357)</f>
        <v>3.52152280760836</v>
      </c>
      <c r="V369" s="164" t="n">
        <f aca="false">IF(ABS(F369/F357-1)&lt;0.0005,0,(F369/F357-1))</f>
        <v>0.0292063142114896</v>
      </c>
      <c r="W369" s="57" t="n">
        <f aca="false">(F369/1.2)-57.95</f>
        <v>45.4629550144928</v>
      </c>
      <c r="X369" s="163" t="n">
        <f aca="false">IF(ABS(W369-W368)&lt;0.05,0,W369-W368)</f>
        <v>3.06971017771198</v>
      </c>
      <c r="Y369" s="184" t="n">
        <f aca="false">IF(ABS(W369/W368-1)&lt;0.0005,0,(W369/W368-1))</f>
        <v>0.072410361356644</v>
      </c>
      <c r="Z369" s="163" t="n">
        <f aca="false">IF(ABS(W369-W357)&lt;0.05,0,W369-W357)</f>
        <v>2.93460233967363</v>
      </c>
      <c r="AA369" s="155" t="n">
        <f aca="false">IF(ABS(W369/W357-1)&lt;0.0005,0,(W369/W357-1))</f>
        <v>0.0690034331240672</v>
      </c>
      <c r="AB369" s="185"/>
      <c r="AC369" s="57" t="n">
        <f aca="false">IF(ABS(G369-G368)&lt;0.05,0,G369-G368)</f>
        <v>2.13543799999999</v>
      </c>
      <c r="AD369" s="164" t="n">
        <f aca="false">IF(ABS(G369/G368-1)&lt;0.0005,0,(G369/G368-1))</f>
        <v>0.0163363121849967</v>
      </c>
      <c r="AE369" s="163" t="n">
        <f aca="false">IF(ABS(G369-G357)&lt;0.05,0,G369-G357)</f>
        <v>8.69370500000001</v>
      </c>
      <c r="AF369" s="164" t="n">
        <f aca="false">IF(ABS(G369/G357-1)&lt;0.0005,0,(G369/G357-1))</f>
        <v>0.0700207423553969</v>
      </c>
      <c r="AG369" s="57" t="n">
        <f aca="false">(G369/1.2)-57.95</f>
        <v>52.7605833333334</v>
      </c>
      <c r="AH369" s="163" t="n">
        <f aca="false">IF(ABS(AG369-AG368)&lt;0.05,0,AG369-AG368)</f>
        <v>1.77953166666666</v>
      </c>
      <c r="AI369" s="164" t="n">
        <f aca="false">IF(ABS(AG369/AG368-1)&lt;0.0005,0,(AG369/AG368-1))</f>
        <v>0.0349057465173905</v>
      </c>
      <c r="AJ369" s="163" t="n">
        <f aca="false">IF(ABS(AG369-AG357)&lt;0.05,0,AG369-AG357)</f>
        <v>7.24475416666668</v>
      </c>
      <c r="AK369" s="155" t="n">
        <f aca="false">IF(ABS(AG369/AG357-1)&lt;0.0005,0,(AG369/AG357-1))</f>
        <v>0.1591699920513</v>
      </c>
      <c r="AL369" s="185"/>
      <c r="AM369" s="156" t="n">
        <f aca="false">IF(E369="..","",A369)</f>
        <v>43556</v>
      </c>
      <c r="AN369" s="57" t="n">
        <f aca="false">IF(ABS(E369-E368)&lt;0.05,0,E369-E368)</f>
        <v>3.67301999999998</v>
      </c>
      <c r="AO369" s="164" t="n">
        <f aca="false">IF(ABS(E369/E368-1)&lt;0.0005,0,(E369/E368-1))</f>
        <v>0.027865753952498</v>
      </c>
      <c r="AP369" s="163" t="n">
        <f aca="false">IF(ABS(E369-E357)&lt;0.05,0,E369-E357)</f>
        <v>5.439975</v>
      </c>
      <c r="AQ369" s="164" t="n">
        <f aca="false">IF(ABS(E369/E357-1)&lt;0.0005,0,(E369/E357-1))</f>
        <v>0.0418317065799885</v>
      </c>
      <c r="AR369" s="57" t="n">
        <f aca="false">(E369/1.2)-57.95</f>
        <v>54.9535625</v>
      </c>
      <c r="AS369" s="163" t="n">
        <f aca="false">IF(ABS(AR369-AR368)&lt;0.05,0,AR369-AR368)</f>
        <v>3.06084999999997</v>
      </c>
      <c r="AT369" s="164" t="n">
        <f aca="false">IF(ABS(AR369/AR368-1)&lt;0.0005,0,(AR369/AR368-1))</f>
        <v>0.0589841974439083</v>
      </c>
      <c r="AU369" s="163" t="n">
        <f aca="false">IF(ABS(AR369-AR357)&lt;0.05,0,AR369-AR357)</f>
        <v>4.53331249999999</v>
      </c>
      <c r="AV369" s="155" t="n">
        <f aca="false">IF(ABS(AR369/AR357-1)&lt;0.0005,0,(AR369/AR357-1))</f>
        <v>0.0899105518120198</v>
      </c>
      <c r="AW369" s="185"/>
      <c r="AX369" s="163" t="n">
        <f aca="false">IF(ABS(H369-H368)&lt;0.05,0,H369-H368)</f>
        <v>1.27399999999999</v>
      </c>
      <c r="AY369" s="164" t="n">
        <f aca="false">IF(ABS(H369/H368-1)&lt;0.0005,0,(H369/H368-1))</f>
        <v>0.0273431631360932</v>
      </c>
      <c r="AZ369" s="163" t="n">
        <f aca="false">IF(ABS(H369-H357)&lt;0.05,0,H369-H357)</f>
        <v>1.934</v>
      </c>
      <c r="BA369" s="164" t="n">
        <f aca="false">IF(ABS(H369/H357-1)&lt;0.0005,0,(H369/H357-1))</f>
        <v>0.0421048048244184</v>
      </c>
      <c r="BB369" s="57" t="n">
        <f aca="false">(H369/1.05)</f>
        <v>45.587619047619</v>
      </c>
      <c r="BC369" s="163" t="n">
        <f aca="false">IF(ABS(BB369-BB368)&lt;0.05,0,BB369-BB368)</f>
        <v>1.21333333333332</v>
      </c>
      <c r="BD369" s="164" t="n">
        <f aca="false">IF(ABS(BB369/BB368-1)&lt;0.0005,0,(BB369/BB368-1))</f>
        <v>0.0273431631360932</v>
      </c>
      <c r="BE369" s="163" t="n">
        <f aca="false">IF(ABS(BB369-BB357)&lt;0.05,0,BB369-BB357)</f>
        <v>1.84190476190476</v>
      </c>
      <c r="BF369" s="155" t="n">
        <f aca="false">IF(ABS(BB369/BB357-1)&lt;0.0005,0,(BB369/BB357-1))</f>
        <v>0.0421048048244181</v>
      </c>
      <c r="BG369" s="191"/>
      <c r="BH369" s="163" t="n">
        <f aca="false">IF(ABS(I369-I368)&lt;0.05,0,I369-I368)</f>
        <v>2.03372</v>
      </c>
      <c r="BI369" s="164" t="n">
        <f aca="false">IF(ABS(I369/I368-1)&lt;0.0005,0,(I369/I368-1))</f>
        <v>0.0349763545176822</v>
      </c>
      <c r="BJ369" s="163" t="n">
        <f aca="false">IF(ABS(I369-I357)&lt;0.05,0,I369-I357)</f>
        <v>4.74821200000001</v>
      </c>
      <c r="BK369" s="164" t="n">
        <f aca="false">IF(ABS(I369/I357-1)&lt;0.0005,0,(I369/I357-1))</f>
        <v>0.085659747972419</v>
      </c>
      <c r="BL369" s="57" t="n">
        <f aca="false">(I369/1.05)-11.14</f>
        <v>46.1736076190476</v>
      </c>
      <c r="BM369" s="163" t="n">
        <f aca="false">IF(ABS(BL369-BL368)&lt;0.05,0,BL369-BL368)</f>
        <v>1.93687619047618</v>
      </c>
      <c r="BN369" s="164" t="n">
        <f aca="false">IF(ABS(BL369/BL368-1)&lt;0.0005,0,(BL369/BL368-1))</f>
        <v>0.0437843422858588</v>
      </c>
      <c r="BO369" s="163" t="n">
        <f aca="false">IF(ABS(BL369-BL357)&lt;0.05,0,BL369-BL357)</f>
        <v>4.52210666666667</v>
      </c>
      <c r="BP369" s="155" t="n">
        <f aca="false">IF(ABS(BL369/BL357-1)&lt;0.0005,0,(BL369/BL357-1))</f>
        <v>0.108570077026436</v>
      </c>
      <c r="BQ369" s="191"/>
    </row>
    <row r="370" customFormat="false" ht="12.75" hidden="false" customHeight="true" outlineLevel="0" collapsed="false">
      <c r="A370" s="156" t="n">
        <v>43586</v>
      </c>
      <c r="B370" s="73" t="n">
        <v>2019</v>
      </c>
      <c r="C370" s="157" t="s">
        <v>63</v>
      </c>
      <c r="D370" s="189"/>
      <c r="E370" s="159" t="n">
        <v>139.082594</v>
      </c>
      <c r="F370" s="35" t="n">
        <v>128.069368051553</v>
      </c>
      <c r="G370" s="35" t="n">
        <v>135.328452</v>
      </c>
      <c r="H370" s="159" t="n">
        <v>47.835</v>
      </c>
      <c r="I370" s="159" t="n">
        <v>60.810038</v>
      </c>
      <c r="J370" s="178"/>
      <c r="K370" s="159" t="n">
        <v>108.732498500808</v>
      </c>
      <c r="L370" s="159"/>
      <c r="M370" s="160" t="n">
        <f aca="false">G370-F370</f>
        <v>7.25908394844694</v>
      </c>
      <c r="N370" s="75"/>
      <c r="O370" s="75"/>
      <c r="P370" s="190"/>
      <c r="Q370" s="190"/>
      <c r="R370" s="191"/>
      <c r="S370" s="57" t="n">
        <f aca="false">IF(ABS(F370-F369)&lt;0.05,0,F370-F369)</f>
        <v>3.97382203416171</v>
      </c>
      <c r="T370" s="178" t="n">
        <f aca="false">IF((ABS(G370/G369-1))&lt;0.0005,0,(G370/G369-1))</f>
        <v>0.0186353156541041</v>
      </c>
      <c r="U370" s="163" t="n">
        <f aca="false">IF(ABS(F370-F358)&lt;0.05,0,F370-F358)</f>
        <v>3.399842089508</v>
      </c>
      <c r="V370" s="164" t="n">
        <f aca="false">IF(ABS(F370/F358-1)&lt;0.0005,0,(F370/F358-1))</f>
        <v>0.0272708351401212</v>
      </c>
      <c r="W370" s="57" t="n">
        <f aca="false">(F370/1.2)-57.95</f>
        <v>48.7744733762942</v>
      </c>
      <c r="X370" s="163" t="n">
        <f aca="false">IF(ABS(W370-W369)&lt;0.05,0,W370-W369)</f>
        <v>3.31151836180143</v>
      </c>
      <c r="Y370" s="184" t="n">
        <f aca="false">IF(ABS(W370/W369-1)&lt;0.0005,0,(W370/W369-1))</f>
        <v>0.072839927821361</v>
      </c>
      <c r="Z370" s="163" t="n">
        <f aca="false">IF(ABS(W370-W358)&lt;0.05,0,W370-W358)</f>
        <v>2.83320174125667</v>
      </c>
      <c r="AA370" s="155" t="n">
        <f aca="false">IF(ABS(W370/W358-1)&lt;0.0005,0,(W370/W358-1))</f>
        <v>0.0616700766091964</v>
      </c>
      <c r="AB370" s="185"/>
      <c r="AC370" s="57" t="n">
        <f aca="false">IF(ABS(G370-G369)&lt;0.05,0,G370-G369)</f>
        <v>2.475752</v>
      </c>
      <c r="AD370" s="164" t="n">
        <f aca="false">IF(ABS(G370/G369-1)&lt;0.0005,0,(G370/G369-1))</f>
        <v>0.0186353156541041</v>
      </c>
      <c r="AE370" s="163" t="n">
        <f aca="false">IF(ABS(G370-G358)&lt;0.05,0,G370-G358)</f>
        <v>7.03825600000002</v>
      </c>
      <c r="AF370" s="164" t="n">
        <f aca="false">IF(ABS(G370/G358-1)&lt;0.0005,0,(G370/G358-1))</f>
        <v>0.0548619942867654</v>
      </c>
      <c r="AG370" s="57" t="n">
        <f aca="false">(G370/1.2)-57.95</f>
        <v>54.82371</v>
      </c>
      <c r="AH370" s="163" t="n">
        <f aca="false">IF(ABS(AG370-AG369)&lt;0.05,0,AG370-AG369)</f>
        <v>2.06312666666666</v>
      </c>
      <c r="AI370" s="164" t="n">
        <f aca="false">IF(ABS(AG370/AG369-1)&lt;0.0005,0,(AG370/AG369-1))</f>
        <v>0.0391035605810524</v>
      </c>
      <c r="AJ370" s="163" t="n">
        <f aca="false">IF(ABS(AG370-AG358)&lt;0.05,0,AG370-AG358)</f>
        <v>5.86521333333334</v>
      </c>
      <c r="AK370" s="155" t="n">
        <f aca="false">IF(ABS(AG370/AG358-1)&lt;0.0005,0,(AG370/AG358-1))</f>
        <v>0.119799702455461</v>
      </c>
      <c r="AL370" s="185"/>
      <c r="AM370" s="156" t="n">
        <f aca="false">IF(E370="..","",A370)</f>
        <v>43586</v>
      </c>
      <c r="AN370" s="57" t="n">
        <f aca="false">IF(ABS(E370-E369)&lt;0.05,0,E370-E369)</f>
        <v>3.59831899999998</v>
      </c>
      <c r="AO370" s="164" t="n">
        <f aca="false">IF(ABS(E370/E369-1)&lt;0.0005,0,(E370/E369-1))</f>
        <v>0.0265589419879169</v>
      </c>
      <c r="AP370" s="163" t="n">
        <f aca="false">IF(ABS(E370-E358)&lt;0.05,0,E370-E358)</f>
        <v>4.75067999999999</v>
      </c>
      <c r="AQ370" s="164" t="n">
        <f aca="false">IF(ABS(E370/E358-1)&lt;0.0005,0,(E370/E358-1))</f>
        <v>0.0353652371840691</v>
      </c>
      <c r="AR370" s="57" t="n">
        <f aca="false">(E370/1.2)-57.95</f>
        <v>57.9521616666667</v>
      </c>
      <c r="AS370" s="163" t="n">
        <f aca="false">IF(ABS(AR370-AR369)&lt;0.05,0,AR370-AR369)</f>
        <v>2.99859916666665</v>
      </c>
      <c r="AT370" s="164" t="n">
        <f aca="false">IF(ABS(AR370/AR369-1)&lt;0.0005,0,(AR370/AR369-1))</f>
        <v>0.054566055961643</v>
      </c>
      <c r="AU370" s="163" t="n">
        <f aca="false">IF(ABS(AR370-AR358)&lt;0.05,0,AR370-AR358)</f>
        <v>3.95889999999999</v>
      </c>
      <c r="AV370" s="155" t="n">
        <f aca="false">IF(ABS(AR370/AR358-1)&lt;0.0005,0,(AR370/AR358-1))</f>
        <v>0.0733221123858139</v>
      </c>
      <c r="AW370" s="185"/>
      <c r="AX370" s="163" t="n">
        <f aca="false">IF(ABS(H370-H369)&lt;0.05,0,H370-H369)</f>
        <v>0</v>
      </c>
      <c r="AY370" s="164" t="n">
        <f aca="false">IF(ABS(H370/H369-1)&lt;0.0005,0,(H370/H369-1))</f>
        <v>-0.000668519021455261</v>
      </c>
      <c r="AZ370" s="163" t="n">
        <f aca="false">IF(ABS(H370-H358)&lt;0.05,0,H370-H358)</f>
        <v>-1.655</v>
      </c>
      <c r="BA370" s="164" t="n">
        <f aca="false">IF(ABS(H370/H358-1)&lt;0.0005,0,(H370/H358-1))</f>
        <v>-0.033441099211962</v>
      </c>
      <c r="BB370" s="57" t="n">
        <f aca="false">(H370/1.05)</f>
        <v>45.5571428571429</v>
      </c>
      <c r="BC370" s="163" t="n">
        <f aca="false">IF(ABS(BB370-BB369)&lt;0.05,0,BB370-BB369)</f>
        <v>0</v>
      </c>
      <c r="BD370" s="164" t="n">
        <f aca="false">IF(ABS(BB370/BB369-1)&lt;0.0005,0,(BB370/BB369-1))</f>
        <v>-0.00066851902145515</v>
      </c>
      <c r="BE370" s="163" t="n">
        <f aca="false">IF(ABS(BB370-BB358)&lt;0.05,0,BB370-BB358)</f>
        <v>-1.57619047619048</v>
      </c>
      <c r="BF370" s="155" t="n">
        <f aca="false">IF(ABS(BB370/BB358-1)&lt;0.0005,0,(BB370/BB358-1))</f>
        <v>-0.033441099211962</v>
      </c>
      <c r="BG370" s="191"/>
      <c r="BH370" s="163" t="n">
        <f aca="false">IF(ABS(I370-I369)&lt;0.05,0,I370-I369)</f>
        <v>0.630750000000006</v>
      </c>
      <c r="BI370" s="164" t="n">
        <f aca="false">IF(ABS(I370/I369-1)&lt;0.0005,0,(I370/I369-1))</f>
        <v>0.0104811808341767</v>
      </c>
      <c r="BJ370" s="163" t="n">
        <f aca="false">IF(ABS(I370-I358)&lt;0.05,0,I370-I358)</f>
        <v>0.199355000000004</v>
      </c>
      <c r="BK370" s="164" t="n">
        <f aca="false">IF(ABS(I370/I358-1)&lt;0.0005,0,(I370/I358-1))</f>
        <v>0.00328910664148108</v>
      </c>
      <c r="BL370" s="57" t="n">
        <f aca="false">(I370/1.05)-11.14</f>
        <v>46.7743219047619</v>
      </c>
      <c r="BM370" s="163" t="n">
        <f aca="false">IF(ABS(BL370-BL369)&lt;0.05,0,BL370-BL369)</f>
        <v>0.60071428571429</v>
      </c>
      <c r="BN370" s="164" t="n">
        <f aca="false">IF(ABS(BL370/BL369-1)&lt;0.0005,0,(BL370/BL369-1))</f>
        <v>0.0130099058031254</v>
      </c>
      <c r="BO370" s="163" t="n">
        <f aca="false">IF(ABS(BL370-BL358)&lt;0.05,0,BL370-BL358)</f>
        <v>0.189861904761905</v>
      </c>
      <c r="BP370" s="155" t="n">
        <f aca="false">IF(ABS(BL370/BL358-1)&lt;0.0005,0,(BL370/BL358-1))</f>
        <v>0.00407564893447088</v>
      </c>
      <c r="BQ370" s="191"/>
    </row>
    <row r="371" customFormat="false" ht="12.75" hidden="false" customHeight="true" outlineLevel="0" collapsed="false">
      <c r="A371" s="156" t="n">
        <v>43617</v>
      </c>
      <c r="B371" s="73" t="n">
        <v>2019</v>
      </c>
      <c r="C371" s="157" t="s">
        <v>64</v>
      </c>
      <c r="D371" s="189"/>
      <c r="E371" s="159" t="n">
        <v>139.090613</v>
      </c>
      <c r="F371" s="35" t="n">
        <v>127.630255464309</v>
      </c>
      <c r="G371" s="35" t="n">
        <v>133.390478</v>
      </c>
      <c r="H371" s="159" t="n">
        <v>44.271</v>
      </c>
      <c r="I371" s="159" t="n">
        <v>57.259907</v>
      </c>
      <c r="J371" s="178"/>
      <c r="K371" s="159" t="n">
        <v>100.424244830865</v>
      </c>
      <c r="L371" s="159"/>
      <c r="M371" s="160" t="n">
        <f aca="false">G371-F371</f>
        <v>5.76022253569091</v>
      </c>
      <c r="N371" s="75"/>
      <c r="O371" s="75"/>
      <c r="P371" s="190"/>
      <c r="Q371" s="190"/>
      <c r="R371" s="191"/>
      <c r="S371" s="57" t="n">
        <f aca="false">IF(ABS(F371-F370)&lt;0.05,0,F371-F370)</f>
        <v>-0.439112587243969</v>
      </c>
      <c r="T371" s="178" t="n">
        <f aca="false">IF((ABS(G371/G370-1))&lt;0.0005,0,(G371/G370-1))</f>
        <v>-0.0143205214525028</v>
      </c>
      <c r="U371" s="163" t="n">
        <f aca="false">IF(ABS(F371-F359)&lt;0.05,0,F371-F359)</f>
        <v>-0.314723475600147</v>
      </c>
      <c r="V371" s="164" t="n">
        <f aca="false">IF(ABS(F371/F359-1)&lt;0.0005,0,(F371/F359-1))</f>
        <v>-0.00245983451799203</v>
      </c>
      <c r="W371" s="57" t="n">
        <f aca="false">(F371/1.2)-57.95</f>
        <v>48.4085462202576</v>
      </c>
      <c r="X371" s="163" t="n">
        <f aca="false">IF(ABS(W371-W370)&lt;0.05,0,W371-W370)</f>
        <v>-0.365927156036648</v>
      </c>
      <c r="Y371" s="184" t="n">
        <f aca="false">IF(ABS(W371/W370-1)&lt;0.0005,0,(W371/W370-1))</f>
        <v>-0.00750243171696652</v>
      </c>
      <c r="Z371" s="163" t="n">
        <f aca="false">IF(ABS(W371-W359)&lt;0.05,0,W371-W359)</f>
        <v>-0.262269563000132</v>
      </c>
      <c r="AA371" s="155" t="n">
        <f aca="false">IF(ABS(W371/W359-1)&lt;0.0005,0,(W371/W359-1))</f>
        <v>-0.0053886411965659</v>
      </c>
      <c r="AB371" s="185"/>
      <c r="AC371" s="57" t="n">
        <f aca="false">IF(ABS(G371-G370)&lt;0.05,0,G371-G370)</f>
        <v>-1.937974</v>
      </c>
      <c r="AD371" s="164" t="n">
        <f aca="false">IF(ABS(G371/G370-1)&lt;0.0005,0,(G371/G370-1))</f>
        <v>-0.0143205214525028</v>
      </c>
      <c r="AE371" s="163" t="n">
        <f aca="false">IF(ABS(G371-G359)&lt;0.05,0,G371-G359)</f>
        <v>1.514162</v>
      </c>
      <c r="AF371" s="164" t="n">
        <f aca="false">IF(ABS(G371/G359-1)&lt;0.0005,0,(G371/G359-1))</f>
        <v>0.0114816825790007</v>
      </c>
      <c r="AG371" s="57" t="n">
        <f aca="false">(G371/1.2)-57.95</f>
        <v>53.2087316666667</v>
      </c>
      <c r="AH371" s="163" t="n">
        <f aca="false">IF(ABS(AG371-AG370)&lt;0.05,0,AG371-AG370)</f>
        <v>-1.61497833333333</v>
      </c>
      <c r="AI371" s="164" t="n">
        <f aca="false">IF(ABS(AG371/AG370-1)&lt;0.0005,0,(AG371/AG370-1))</f>
        <v>-0.0294576622657118</v>
      </c>
      <c r="AJ371" s="163" t="n">
        <f aca="false">IF(ABS(AG371-AG359)&lt;0.05,0,AG371-AG359)</f>
        <v>1.26180166666667</v>
      </c>
      <c r="AK371" s="155" t="n">
        <f aca="false">IF(ABS(AG371/AG359-1)&lt;0.0005,0,(AG371/AG359-1))</f>
        <v>0.0242902066910724</v>
      </c>
      <c r="AL371" s="185"/>
      <c r="AM371" s="156" t="n">
        <f aca="false">IF(E371="..","",A371)</f>
        <v>43617</v>
      </c>
      <c r="AN371" s="57" t="n">
        <f aca="false">IF(ABS(E371-E370)&lt;0.05,0,E371-E370)</f>
        <v>0</v>
      </c>
      <c r="AO371" s="164" t="n">
        <f aca="false">IF(ABS(E371/E370-1)&lt;0.0005,0,(E371/E370-1))</f>
        <v>0</v>
      </c>
      <c r="AP371" s="163" t="n">
        <f aca="false">IF(ABS(E371-E359)&lt;0.05,0,E371-E359)</f>
        <v>0.837999999999994</v>
      </c>
      <c r="AQ371" s="164" t="n">
        <f aca="false">IF(ABS(E371/E359-1)&lt;0.0005,0,(E371/E359-1))</f>
        <v>0.0060613682578281</v>
      </c>
      <c r="AR371" s="57" t="n">
        <f aca="false">(E371/1.2)-57.95</f>
        <v>57.9588441666667</v>
      </c>
      <c r="AS371" s="163" t="n">
        <f aca="false">IF(ABS(AR371-AR370)&lt;0.05,0,AR371-AR370)</f>
        <v>0</v>
      </c>
      <c r="AT371" s="164" t="n">
        <f aca="false">IF(ABS(AR371/AR370-1)&lt;0.0005,0,(AR371/AR370-1))</f>
        <v>0</v>
      </c>
      <c r="AU371" s="163" t="n">
        <f aca="false">IF(ABS(AR371-AR359)&lt;0.05,0,AR371-AR359)</f>
        <v>0.698333333333324</v>
      </c>
      <c r="AV371" s="155" t="n">
        <f aca="false">IF(ABS(AR371/AR359-1)&lt;0.0005,0,(AR371/AR359-1))</f>
        <v>0.0121957230763439</v>
      </c>
      <c r="AW371" s="185"/>
      <c r="AX371" s="163" t="n">
        <f aca="false">IF(ABS(H371-H370)&lt;0.05,0,H371-H370)</f>
        <v>-3.56400000000001</v>
      </c>
      <c r="AY371" s="164" t="n">
        <f aca="false">IF(ABS(H371/H370-1)&lt;0.0005,0,(H371/H370-1))</f>
        <v>-0.0745061147695204</v>
      </c>
      <c r="AZ371" s="163" t="n">
        <f aca="false">IF(ABS(H371-H359)&lt;0.05,0,H371-H359)</f>
        <v>-4.663</v>
      </c>
      <c r="BA371" s="164" t="n">
        <f aca="false">IF(ABS(H371/H359-1)&lt;0.0005,0,(H371/H359-1))</f>
        <v>-0.0952916172804186</v>
      </c>
      <c r="BB371" s="57" t="n">
        <f aca="false">(H371/1.05)</f>
        <v>42.1628571428571</v>
      </c>
      <c r="BC371" s="163" t="n">
        <f aca="false">IF(ABS(BB371-BB370)&lt;0.05,0,BB371-BB370)</f>
        <v>-3.39428571428572</v>
      </c>
      <c r="BD371" s="164" t="n">
        <f aca="false">IF(ABS(BB371/BB370-1)&lt;0.0005,0,(BB371/BB370-1))</f>
        <v>-0.0745061147695204</v>
      </c>
      <c r="BE371" s="163" t="n">
        <f aca="false">IF(ABS(BB371-BB359)&lt;0.05,0,BB371-BB359)</f>
        <v>-4.44095238095238</v>
      </c>
      <c r="BF371" s="155" t="n">
        <f aca="false">IF(ABS(BB371/BB359-1)&lt;0.0005,0,(BB371/BB359-1))</f>
        <v>-0.0952916172804186</v>
      </c>
      <c r="BG371" s="191"/>
      <c r="BH371" s="163" t="n">
        <f aca="false">IF(ABS(I371-I370)&lt;0.05,0,I371-I370)</f>
        <v>-3.550131</v>
      </c>
      <c r="BI371" s="164" t="n">
        <f aca="false">IF(ABS(I371/I370-1)&lt;0.0005,0,(I371/I370-1))</f>
        <v>-0.0583806739275512</v>
      </c>
      <c r="BJ371" s="163" t="n">
        <f aca="false">IF(ABS(I371-I359)&lt;0.05,0,I371-I359)</f>
        <v>-3.61898999999999</v>
      </c>
      <c r="BK371" s="164" t="n">
        <f aca="false">IF(ABS(I371/I359-1)&lt;0.0005,0,(I371/I359-1))</f>
        <v>-0.059445722217996</v>
      </c>
      <c r="BL371" s="57" t="n">
        <f aca="false">(I371/1.05)-11.14</f>
        <v>43.3932447619048</v>
      </c>
      <c r="BM371" s="163" t="n">
        <f aca="false">IF(ABS(BL371-BL370)&lt;0.05,0,BL371-BL370)</f>
        <v>-3.38107714285714</v>
      </c>
      <c r="BN371" s="164" t="n">
        <f aca="false">IF(ABS(BL371/BL370-1)&lt;0.0005,0,(BL371/BL370-1))</f>
        <v>-0.0722848991748383</v>
      </c>
      <c r="BO371" s="163" t="n">
        <f aca="false">IF(ABS(BL371-BL359)&lt;0.05,0,BL371-BL359)</f>
        <v>-3.44665714285713</v>
      </c>
      <c r="BP371" s="155" t="n">
        <f aca="false">IF(ABS(BL371/BL359-1)&lt;0.0005,0,(BL371/BL359-1))</f>
        <v>-0.073583782260371</v>
      </c>
      <c r="BQ371" s="191"/>
    </row>
    <row r="372" customFormat="false" ht="12.75" hidden="false" customHeight="false" outlineLevel="0" collapsed="false">
      <c r="A372" s="156" t="n">
        <v>43647</v>
      </c>
      <c r="B372" s="73" t="n">
        <v>2019</v>
      </c>
      <c r="C372" s="157" t="s">
        <v>65</v>
      </c>
      <c r="D372" s="189"/>
      <c r="E372" s="159" t="n">
        <v>138.290772</v>
      </c>
      <c r="F372" s="35" t="n">
        <v>127.384441239488</v>
      </c>
      <c r="G372" s="35" t="n">
        <v>131.760719</v>
      </c>
      <c r="H372" s="159" t="n">
        <v>47.427</v>
      </c>
      <c r="I372" s="159" t="n">
        <v>59.763061</v>
      </c>
      <c r="J372" s="178"/>
      <c r="K372" s="159" t="n">
        <v>101.235386770783</v>
      </c>
      <c r="L372" s="193"/>
      <c r="M372" s="160" t="n">
        <f aca="false">G372-F372</f>
        <v>4.37627776051181</v>
      </c>
      <c r="N372" s="195"/>
      <c r="O372" s="196"/>
      <c r="P372" s="197"/>
      <c r="Q372" s="197"/>
      <c r="R372" s="185"/>
      <c r="S372" s="57" t="n">
        <f aca="false">IF(ABS(F372-F371)&lt;0.05,0,F372-F371)</f>
        <v>-0.245814224820933</v>
      </c>
      <c r="T372" s="178" t="n">
        <f aca="false">IF((ABS(G372/G371-1))&lt;0.0005,0,(G372/G371-1))</f>
        <v>-0.0122179560672991</v>
      </c>
      <c r="U372" s="163" t="n">
        <f aca="false">IF(ABS(F372-F360)&lt;0.05,0,F372-F360)</f>
        <v>-0.233393707064053</v>
      </c>
      <c r="V372" s="164" t="n">
        <f aca="false">IF(ABS(F372/F360-1)&lt;0.0005,0,(F372/F360-1))</f>
        <v>-0.00182884866493627</v>
      </c>
      <c r="W372" s="57" t="n">
        <f aca="false">(F372/1.2)-57.95</f>
        <v>48.2037010329068</v>
      </c>
      <c r="X372" s="163" t="n">
        <f aca="false">IF(ABS(W372-W371)&lt;0.05,0,W372-W371)</f>
        <v>-0.20484518735077</v>
      </c>
      <c r="Y372" s="184" t="n">
        <f aca="false">IF(ABS(W372/W371-1)&lt;0.0005,0,(W372/W371-1))</f>
        <v>-0.00423159138922968</v>
      </c>
      <c r="Z372" s="163" t="n">
        <f aca="false">IF(ABS(W372-W360)&lt;0.05,0,W372-W360)</f>
        <v>-0.194494755886709</v>
      </c>
      <c r="AA372" s="155" t="n">
        <f aca="false">IF(ABS(W372/W360-1)&lt;0.0005,0,(W372/W360-1))</f>
        <v>-0.0040186364949526</v>
      </c>
      <c r="AB372" s="185"/>
      <c r="AC372" s="57" t="n">
        <f aca="false">IF(ABS(G372-G371)&lt;0.05,0,G372-G371)</f>
        <v>-1.62975900000004</v>
      </c>
      <c r="AD372" s="164" t="n">
        <f aca="false">IF(ABS(G372/G371-1)&lt;0.0005,0,(G372/G371-1))</f>
        <v>-0.0122179560672991</v>
      </c>
      <c r="AE372" s="163" t="n">
        <f aca="false">IF(ABS(G372-G360)&lt;0.05,0,G372-G360)</f>
        <v>0</v>
      </c>
      <c r="AF372" s="164" t="n">
        <f aca="false">IF(ABS(G372/G360-1)&lt;0.0005,0,(G372/G360-1))</f>
        <v>0</v>
      </c>
      <c r="AG372" s="57" t="n">
        <f aca="false">(G372/1.2)-57.95</f>
        <v>51.8505991666667</v>
      </c>
      <c r="AH372" s="163" t="n">
        <f aca="false">IF(ABS(AG372-AG371)&lt;0.05,0,AG372-AG371)</f>
        <v>-1.35813250000002</v>
      </c>
      <c r="AI372" s="164" t="n">
        <f aca="false">IF(ABS(AG372/AG371-1)&lt;0.0005,0,(AG372/AG371-1))</f>
        <v>-0.0255246170592494</v>
      </c>
      <c r="AJ372" s="163" t="n">
        <f aca="false">IF(ABS(AG372-AG360)&lt;0.05,0,AG372-AG360)</f>
        <v>0</v>
      </c>
      <c r="AK372" s="155" t="n">
        <f aca="false">IF(ABS(AG372/AG360-1)&lt;0.0005,0,(AG372/AG360-1))</f>
        <v>-0.000589022443762355</v>
      </c>
      <c r="AL372" s="185"/>
      <c r="AM372" s="156" t="n">
        <f aca="false">IF(E372="..","",A372)</f>
        <v>43647</v>
      </c>
      <c r="AN372" s="57" t="n">
        <f aca="false">IF(ABS(E372-E371)&lt;0.05,0,E372-E371)</f>
        <v>-0.799841000000015</v>
      </c>
      <c r="AO372" s="164" t="n">
        <f aca="false">IF(ABS(E372/E371-1)&lt;0.0005,0,(E372/E371-1))</f>
        <v>-0.0057505030911037</v>
      </c>
      <c r="AP372" s="163" t="n">
        <f aca="false">IF(ABS(E372-E360)&lt;0.05,0,E372-E360)</f>
        <v>0.562844000000013</v>
      </c>
      <c r="AQ372" s="164" t="n">
        <f aca="false">IF(ABS(E372/E360-1)&lt;0.0005,0,(E372/E360-1))</f>
        <v>0.00408663666239151</v>
      </c>
      <c r="AR372" s="57" t="n">
        <f aca="false">(E372/1.2)-57.95</f>
        <v>57.29231</v>
      </c>
      <c r="AS372" s="163" t="n">
        <f aca="false">IF(ABS(AR372-AR371)&lt;0.05,0,AR372-AR371)</f>
        <v>-0.666534166666679</v>
      </c>
      <c r="AT372" s="164" t="n">
        <f aca="false">IF(ABS(AR372/AR371-1)&lt;0.0005,0,(AR372/AR371-1))</f>
        <v>-0.0115001286904547</v>
      </c>
      <c r="AU372" s="163" t="n">
        <f aca="false">IF(ABS(AR372-AR360)&lt;0.05,0,AR372-AR360)</f>
        <v>0.469036666666668</v>
      </c>
      <c r="AV372" s="155" t="n">
        <f aca="false">IF(ABS(AR372/AR360-1)&lt;0.0005,0,(AR372/AR360-1))</f>
        <v>0.00825430565950036</v>
      </c>
      <c r="AW372" s="185"/>
      <c r="AX372" s="163" t="n">
        <f aca="false">IF(ABS(H372-H371)&lt;0.05,0,H372-H371)</f>
        <v>3.15600000000001</v>
      </c>
      <c r="AY372" s="164" t="n">
        <f aca="false">IF(ABS(H372/H371-1)&lt;0.0005,0,(H372/H371-1))</f>
        <v>0.0712882022091215</v>
      </c>
      <c r="AZ372" s="163" t="n">
        <f aca="false">IF(ABS(H372-H360)&lt;0.05,0,H372-H360)</f>
        <v>-1.03699999999999</v>
      </c>
      <c r="BA372" s="164" t="n">
        <f aca="false">IF(ABS(H372/H360-1)&lt;0.0005,0,(H372/H360-1))</f>
        <v>-0.0213973258501153</v>
      </c>
      <c r="BB372" s="57" t="n">
        <f aca="false">(H372/1.05)</f>
        <v>45.1685714285714</v>
      </c>
      <c r="BC372" s="163" t="n">
        <f aca="false">IF(ABS(BB372-BB371)&lt;0.05,0,BB372-BB371)</f>
        <v>3.0057142857143</v>
      </c>
      <c r="BD372" s="164" t="n">
        <f aca="false">IF(ABS(BB372/BB371-1)&lt;0.0005,0,(BB372/BB371-1))</f>
        <v>0.0712882022091215</v>
      </c>
      <c r="BE372" s="163" t="n">
        <f aca="false">IF(ABS(BB372-BB360)&lt;0.05,0,BB372-BB360)</f>
        <v>-0.987619047619042</v>
      </c>
      <c r="BF372" s="155" t="n">
        <f aca="false">IF(ABS(BB372/BB360-1)&lt;0.0005,0,(BB372/BB360-1))</f>
        <v>-0.0213973258501154</v>
      </c>
      <c r="BG372" s="185"/>
      <c r="BH372" s="163" t="n">
        <f aca="false">IF(ABS(I372-I371)&lt;0.05,0,I372-I371)</f>
        <v>2.503154</v>
      </c>
      <c r="BI372" s="164" t="n">
        <f aca="false">IF(ABS(I372/I371-1)&lt;0.0005,0,(I372/I371-1))</f>
        <v>0.0437156490666322</v>
      </c>
      <c r="BJ372" s="163" t="n">
        <f aca="false">IF(ABS(I372-I360)&lt;0.05,0,I372-I360)</f>
        <v>-1.148072</v>
      </c>
      <c r="BK372" s="164" t="n">
        <f aca="false">IF(ABS(I372/I360-1)&lt;0.0005,0,(I372/I360-1))</f>
        <v>-0.018848311358779</v>
      </c>
      <c r="BL372" s="57" t="n">
        <f aca="false">(I372/1.05)-11.14</f>
        <v>45.777200952381</v>
      </c>
      <c r="BM372" s="163" t="n">
        <f aca="false">IF(ABS(BL372-BL371)&lt;0.05,0,BL372-BL371)</f>
        <v>2.38395619047619</v>
      </c>
      <c r="BN372" s="164" t="n">
        <f aca="false">IF(ABS(BL372/BL371-1)&lt;0.0005,0,(BL372/BL371-1))</f>
        <v>0.0549384173402281</v>
      </c>
      <c r="BO372" s="163" t="n">
        <f aca="false">IF(ABS(BL372-BL360)&lt;0.05,0,BL372-BL360)</f>
        <v>-1.0934019047619</v>
      </c>
      <c r="BP372" s="155" t="n">
        <f aca="false">IF(ABS(BL372/BL360-1)&lt;0.0005,0,(BL372/BL360-1))</f>
        <v>-0.0233280956102589</v>
      </c>
      <c r="BQ372" s="185"/>
    </row>
    <row r="373" customFormat="false" ht="12.75" hidden="false" customHeight="false" outlineLevel="0" collapsed="false">
      <c r="A373" s="156" t="n">
        <v>43678</v>
      </c>
      <c r="B373" s="73" t="n">
        <v>2019</v>
      </c>
      <c r="C373" s="157" t="s">
        <v>66</v>
      </c>
      <c r="D373" s="189"/>
      <c r="E373" s="159" t="n">
        <v>139.810917</v>
      </c>
      <c r="F373" s="35" t="n">
        <v>128.509652508507</v>
      </c>
      <c r="G373" s="35" t="n">
        <v>132.576672</v>
      </c>
      <c r="H373" s="159" t="n">
        <v>47.499</v>
      </c>
      <c r="I373" s="159" t="n">
        <v>58.79684</v>
      </c>
      <c r="J373" s="178"/>
      <c r="K373" s="159" t="n">
        <v>97.4678455672082</v>
      </c>
      <c r="L373" s="159"/>
      <c r="M373" s="160" t="n">
        <f aca="false">G373-F373</f>
        <v>4.06701949149277</v>
      </c>
      <c r="N373" s="195"/>
      <c r="O373" s="196"/>
      <c r="P373" s="197"/>
      <c r="Q373" s="197"/>
      <c r="R373" s="185"/>
      <c r="S373" s="57" t="n">
        <f aca="false">IF(ABS(F373-F372)&lt;0.05,0,F373-F372)</f>
        <v>1.12521126901908</v>
      </c>
      <c r="T373" s="178" t="n">
        <f aca="false">IF((ABS(G373/G372-1))&lt;0.0005,0,(G373/G372-1))</f>
        <v>0.00619268782223359</v>
      </c>
      <c r="U373" s="163" t="n">
        <f aca="false">IF(ABS(F373-F361)&lt;0.05,0,F373-F361)</f>
        <v>-0.10642305595448</v>
      </c>
      <c r="V373" s="164" t="n">
        <f aca="false">IF(ABS(F373/F361-1)&lt;0.0005,0,(F373/F361-1))</f>
        <v>-0.00082744754485331</v>
      </c>
      <c r="W373" s="57" t="n">
        <f aca="false">(F373/1.2)-57.95</f>
        <v>49.1413770904227</v>
      </c>
      <c r="X373" s="163" t="n">
        <f aca="false">IF(ABS(W373-W372)&lt;0.05,0,W373-W372)</f>
        <v>0.937676057515901</v>
      </c>
      <c r="Y373" s="184" t="n">
        <f aca="false">IF(ABS(W373/W372-1)&lt;0.0005,0,(W373/W372-1))</f>
        <v>0.0194523664661306</v>
      </c>
      <c r="Z373" s="163" t="n">
        <f aca="false">IF(ABS(W373-W361)&lt;0.05,0,W373-W361)</f>
        <v>-0.0886858799620569</v>
      </c>
      <c r="AA373" s="155" t="n">
        <f aca="false">IF(ABS(W373/W361-1)&lt;0.0005,0,(W373/W361-1))</f>
        <v>-0.00180145778028773</v>
      </c>
      <c r="AB373" s="185"/>
      <c r="AC373" s="57" t="n">
        <f aca="false">IF(ABS(G373-G372)&lt;0.05,0,G373-G372)</f>
        <v>0.815953000000036</v>
      </c>
      <c r="AD373" s="164" t="n">
        <f aca="false">IF(ABS(G373/G372-1)&lt;0.0005,0,(G373/G372-1))</f>
        <v>0.00619268782223359</v>
      </c>
      <c r="AE373" s="163" t="n">
        <f aca="false">IF(ABS(G373-G361)&lt;0.05,0,G373-G361)</f>
        <v>0.0864899999999977</v>
      </c>
      <c r="AF373" s="164" t="n">
        <f aca="false">IF(ABS(G373/G361-1)&lt;0.0005,0,(G373/G361-1))</f>
        <v>0.000652803088458276</v>
      </c>
      <c r="AG373" s="57" t="n">
        <f aca="false">(G373/1.2)-57.95</f>
        <v>52.53056</v>
      </c>
      <c r="AH373" s="163" t="n">
        <f aca="false">IF(ABS(AG373-AG372)&lt;0.05,0,AG373-AG372)</f>
        <v>0.679960833333354</v>
      </c>
      <c r="AI373" s="164" t="n">
        <f aca="false">IF(ABS(AG373/AG372-1)&lt;0.0005,0,(AG373/AG372-1))</f>
        <v>0.0131138471736405</v>
      </c>
      <c r="AJ373" s="163" t="n">
        <f aca="false">IF(ABS(AG373-AG361)&lt;0.05,0,AG373-AG361)</f>
        <v>0.0720749999999981</v>
      </c>
      <c r="AK373" s="155" t="n">
        <f aca="false">IF(ABS(AG373/AG361-1)&lt;0.0005,0,(AG373/AG361-1))</f>
        <v>0.00137394360511922</v>
      </c>
      <c r="AL373" s="185"/>
      <c r="AM373" s="156" t="n">
        <f aca="false">IF(E373="..","",A373)</f>
        <v>43678</v>
      </c>
      <c r="AN373" s="57" t="n">
        <f aca="false">IF(ABS(E373-E372)&lt;0.05,0,E373-E372)</f>
        <v>1.52014500000001</v>
      </c>
      <c r="AO373" s="164" t="n">
        <f aca="false">IF(ABS(E373/E372-1)&lt;0.0005,0,(E373/E372-1))</f>
        <v>0.0109923820513491</v>
      </c>
      <c r="AP373" s="163" t="n">
        <f aca="false">IF(ABS(E373-E361)&lt;0.05,0,E373-E361)</f>
        <v>1.123346</v>
      </c>
      <c r="AQ373" s="164" t="n">
        <f aca="false">IF(ABS(E373/E361-1)&lt;0.0005,0,(E373/E361-1))</f>
        <v>0.00809983181549834</v>
      </c>
      <c r="AR373" s="57" t="n">
        <f aca="false">(E373/1.2)-57.95</f>
        <v>58.5590975</v>
      </c>
      <c r="AS373" s="163" t="n">
        <f aca="false">IF(ABS(AR373-AR372)&lt;0.05,0,AR373-AR372)</f>
        <v>1.26678750000002</v>
      </c>
      <c r="AT373" s="164" t="n">
        <f aca="false">IF(ABS(AR373/AR372-1)&lt;0.0005,0,(AR373/AR372-1))</f>
        <v>0.0221109517141134</v>
      </c>
      <c r="AU373" s="163" t="n">
        <f aca="false">IF(ABS(AR373-AR361)&lt;0.05,0,AR373-AR361)</f>
        <v>0.936121666666665</v>
      </c>
      <c r="AV373" s="155" t="n">
        <f aca="false">IF(ABS(AR373/AR361-1)&lt;0.0005,0,(AR373/AR361-1))</f>
        <v>0.0162456321133826</v>
      </c>
      <c r="AW373" s="185"/>
      <c r="AX373" s="163" t="n">
        <f aca="false">IF(ABS(H373-H372)&lt;0.05,0,H373-H372)</f>
        <v>0.0719999999999885</v>
      </c>
      <c r="AY373" s="164" t="n">
        <f aca="false">IF(ABS(H373/H372-1)&lt;0.0005,0,(H373/H372-1))</f>
        <v>0.00151812258839867</v>
      </c>
      <c r="AZ373" s="163" t="n">
        <f aca="false">IF(ABS(H373-H361)&lt;0.05,0,H373-H361)</f>
        <v>-1.6</v>
      </c>
      <c r="BA373" s="164" t="n">
        <f aca="false">IF(ABS(H373/H361-1)&lt;0.0005,0,(H373/H361-1))</f>
        <v>-0.032587221735677</v>
      </c>
      <c r="BB373" s="57" t="n">
        <f aca="false">(H373/1.05)</f>
        <v>45.2371428571429</v>
      </c>
      <c r="BC373" s="163" t="n">
        <f aca="false">IF(ABS(BB373-BB372)&lt;0.05,0,BB373-BB372)</f>
        <v>0.068571428571417</v>
      </c>
      <c r="BD373" s="164" t="n">
        <f aca="false">IF(ABS(BB373/BB372-1)&lt;0.0005,0,(BB373/BB372-1))</f>
        <v>0.00151812258839867</v>
      </c>
      <c r="BE373" s="163" t="n">
        <f aca="false">IF(ABS(BB373-BB361)&lt;0.05,0,BB373-BB361)</f>
        <v>-1.52380952380953</v>
      </c>
      <c r="BF373" s="155" t="n">
        <f aca="false">IF(ABS(BB373/BB361-1)&lt;0.0005,0,(BB373/BB361-1))</f>
        <v>-0.032587221735677</v>
      </c>
      <c r="BG373" s="185"/>
      <c r="BH373" s="163" t="n">
        <f aca="false">IF(ABS(I373-I372)&lt;0.05,0,I373-I372)</f>
        <v>-0.966221000000004</v>
      </c>
      <c r="BI373" s="164" t="n">
        <f aca="false">IF(ABS(I373/I372-1)&lt;0.0005,0,(I373/I372-1))</f>
        <v>-0.016167528634452</v>
      </c>
      <c r="BJ373" s="163" t="n">
        <f aca="false">IF(ABS(I373-I361)&lt;0.05,0,I373-I361)</f>
        <v>-3.02122600000001</v>
      </c>
      <c r="BK373" s="164" t="n">
        <f aca="false">IF(ABS(I373/I361-1)&lt;0.0005,0,(I373/I361-1))</f>
        <v>-0.048872865094162</v>
      </c>
      <c r="BL373" s="57" t="n">
        <f aca="false">(I373/1.05)-11.14</f>
        <v>44.8569904761905</v>
      </c>
      <c r="BM373" s="163" t="n">
        <f aca="false">IF(ABS(BL373-BL372)&lt;0.05,0,BL373-BL372)</f>
        <v>-0.920210476190484</v>
      </c>
      <c r="BN373" s="164" t="n">
        <f aca="false">IF(ABS(BL373/BL372-1)&lt;0.0005,0,(BL373/BL372-1))</f>
        <v>-0.0201019384550777</v>
      </c>
      <c r="BO373" s="163" t="n">
        <f aca="false">IF(ABS(BL373-BL361)&lt;0.05,0,BL373-BL361)</f>
        <v>-2.8773580952381</v>
      </c>
      <c r="BP373" s="155" t="n">
        <f aca="false">IF(ABS(BL373/BL361-1)&lt;0.0005,0,(BL373/BL361-1))</f>
        <v>-0.0602785663018421</v>
      </c>
      <c r="BQ373" s="185"/>
    </row>
    <row r="374" customFormat="false" ht="12.75" hidden="false" customHeight="false" outlineLevel="0" collapsed="false">
      <c r="A374" s="156" t="n">
        <v>43709</v>
      </c>
      <c r="B374" s="73" t="n">
        <v>2019</v>
      </c>
      <c r="C374" s="157" t="s">
        <v>67</v>
      </c>
      <c r="D374" s="198"/>
      <c r="E374" s="159" t="n">
        <v>138.831011</v>
      </c>
      <c r="F374" s="35" t="n">
        <v>126.994543063142</v>
      </c>
      <c r="G374" s="35" t="n">
        <v>131.270388</v>
      </c>
      <c r="H374" s="159" t="n">
        <v>46.69</v>
      </c>
      <c r="I374" s="159" t="n">
        <v>60.001689</v>
      </c>
      <c r="J374" s="178"/>
      <c r="K374" s="159" t="n">
        <v>97.9116462099262</v>
      </c>
      <c r="L374" s="193"/>
      <c r="M374" s="160" t="n">
        <f aca="false">G374-F374</f>
        <v>4.27584493685754</v>
      </c>
      <c r="N374" s="195"/>
      <c r="O374" s="196"/>
      <c r="P374" s="197"/>
      <c r="Q374" s="197"/>
      <c r="R374" s="185"/>
      <c r="S374" s="57" t="n">
        <f aca="false">IF(ABS(F374-F373)&lt;0.05,0,F374-F373)</f>
        <v>-1.5151094453648</v>
      </c>
      <c r="T374" s="178" t="n">
        <f aca="false">IF((ABS(G374/G373-1))&lt;0.0005,0,(G374/G373-1))</f>
        <v>-0.00985304563988476</v>
      </c>
      <c r="U374" s="163" t="n">
        <f aca="false">IF(ABS(F374-F362)&lt;0.05,0,F374-F362)</f>
        <v>-3.75670132861657</v>
      </c>
      <c r="V374" s="164" t="n">
        <f aca="false">IF(ABS(F374/F362-1)&lt;0.0005,0,(F374/F362-1))</f>
        <v>-0.0287316678788975</v>
      </c>
      <c r="W374" s="57" t="n">
        <f aca="false">(F374/1.2)-57.95</f>
        <v>47.8787858859521</v>
      </c>
      <c r="X374" s="163" t="n">
        <f aca="false">IF(ABS(W374-W373)&lt;0.05,0,W374-W373)</f>
        <v>-1.26259120447067</v>
      </c>
      <c r="Y374" s="184" t="n">
        <f aca="false">IF(ABS(W374/W373-1)&lt;0.0005,0,(W374/W373-1))</f>
        <v>-0.0256930366877475</v>
      </c>
      <c r="Z374" s="163" t="n">
        <f aca="false">IF(ABS(W374-W362)&lt;0.05,0,W374-W362)</f>
        <v>-3.1305844405138</v>
      </c>
      <c r="AA374" s="155" t="n">
        <f aca="false">IF(ABS(W374/W362-1)&lt;0.0005,0,(W374/W362-1))</f>
        <v>-0.0613727325092959</v>
      </c>
      <c r="AB374" s="185"/>
      <c r="AC374" s="57" t="n">
        <f aca="false">IF(ABS(G374-G373)&lt;0.05,0,G374-G373)</f>
        <v>-1.30628400000003</v>
      </c>
      <c r="AD374" s="164" t="n">
        <f aca="false">IF(ABS(G374/G373-1)&lt;0.0005,0,(G374/G373-1))</f>
        <v>-0.00985304563988476</v>
      </c>
      <c r="AE374" s="163" t="n">
        <f aca="false">IF(ABS(G374-G362)&lt;0.05,0,G374-G362)</f>
        <v>-3.21240200000003</v>
      </c>
      <c r="AF374" s="164" t="n">
        <f aca="false">IF(ABS(G374/G362-1)&lt;0.0005,0,(G374/G362-1))</f>
        <v>-0.0238870862212185</v>
      </c>
      <c r="AG374" s="57" t="n">
        <f aca="false">(G374/1.2)-57.95</f>
        <v>51.44199</v>
      </c>
      <c r="AH374" s="163" t="n">
        <f aca="false">IF(ABS(AG374-AG373)&lt;0.05,0,AG374-AG373)</f>
        <v>-1.08857000000002</v>
      </c>
      <c r="AI374" s="164" t="n">
        <f aca="false">IF(ABS(AG374/AG373-1)&lt;0.0005,0,(AG374/AG373-1))</f>
        <v>-0.0207226041374776</v>
      </c>
      <c r="AJ374" s="163" t="n">
        <f aca="false">IF(ABS(AG374-AG362)&lt;0.05,0,AG374-AG362)</f>
        <v>-2.67700166666668</v>
      </c>
      <c r="AK374" s="155" t="n">
        <f aca="false">IF(ABS(AG374/AG362-1)&lt;0.0005,0,(AG374/AG362-1))</f>
        <v>-0.049465106134184</v>
      </c>
      <c r="AL374" s="185"/>
      <c r="AM374" s="156" t="n">
        <f aca="false">IF(E374="..","",A374)</f>
        <v>43709</v>
      </c>
      <c r="AN374" s="57" t="n">
        <f aca="false">IF(ABS(E374-E373)&lt;0.05,0,E374-E373)</f>
        <v>-0.979906000000028</v>
      </c>
      <c r="AO374" s="164" t="n">
        <f aca="false">IF(ABS(E374/E373-1)&lt;0.0005,0,(E374/E373-1))</f>
        <v>-0.00700879459935189</v>
      </c>
      <c r="AP374" s="163" t="n">
        <f aca="false">IF(ABS(E374-E362)&lt;0.05,0,E374-E362)</f>
        <v>-2.06286800000004</v>
      </c>
      <c r="AQ374" s="164" t="n">
        <f aca="false">IF(ABS(E374/E362-1)&lt;0.0005,0,(E374/E362-1))</f>
        <v>-0.014641288994535</v>
      </c>
      <c r="AR374" s="57" t="n">
        <f aca="false">(E374/1.2)-57.95</f>
        <v>57.7425091666667</v>
      </c>
      <c r="AS374" s="163" t="n">
        <f aca="false">IF(ABS(AR374-AR373)&lt;0.05,0,AR374-AR373)</f>
        <v>-0.816588333333357</v>
      </c>
      <c r="AT374" s="164" t="n">
        <f aca="false">IF(ABS(AR374/AR373-1)&lt;0.0005,0,(AR374/AR373-1))</f>
        <v>-0.0139446878144486</v>
      </c>
      <c r="AU374" s="163" t="n">
        <f aca="false">IF(ABS(AR374-AR362)&lt;0.05,0,AR374-AR362)</f>
        <v>-1.71905666666669</v>
      </c>
      <c r="AV374" s="155" t="n">
        <f aca="false">IF(ABS(AR374/AR362-1)&lt;0.0005,0,(AR374/AR362-1))</f>
        <v>-0.0289103834144746</v>
      </c>
      <c r="AW374" s="185"/>
      <c r="AX374" s="163" t="n">
        <f aca="false">IF(ABS(H374-H373)&lt;0.05,0,H374-H373)</f>
        <v>-0.808999999999998</v>
      </c>
      <c r="AY374" s="164" t="n">
        <f aca="false">IF(ABS(H374/H373-1)&lt;0.0005,0,(H374/H373-1))</f>
        <v>-0.017031937514474</v>
      </c>
      <c r="AZ374" s="163" t="n">
        <f aca="false">IF(ABS(H374-H362)&lt;0.05,0,H374-H362)</f>
        <v>-4.608</v>
      </c>
      <c r="BA374" s="164" t="n">
        <f aca="false">IF(ABS(H374/H362-1)&lt;0.0005,0,(H374/H362-1))</f>
        <v>-0.0898280634722602</v>
      </c>
      <c r="BB374" s="57" t="n">
        <f aca="false">(H374/1.05)</f>
        <v>44.4666666666667</v>
      </c>
      <c r="BC374" s="163" t="n">
        <f aca="false">IF(ABS(BB374-BB373)&lt;0.05,0,BB374-BB373)</f>
        <v>-0.770476190476188</v>
      </c>
      <c r="BD374" s="164" t="n">
        <f aca="false">IF(ABS(BB374/BB373-1)&lt;0.0005,0,(BB374/BB373-1))</f>
        <v>-0.017031937514474</v>
      </c>
      <c r="BE374" s="163" t="n">
        <f aca="false">IF(ABS(BB374-BB362)&lt;0.05,0,BB374-BB362)</f>
        <v>-4.38857142857143</v>
      </c>
      <c r="BF374" s="155" t="n">
        <f aca="false">IF(ABS(BB374/BB362-1)&lt;0.0005,0,(BB374/BB362-1))</f>
        <v>-0.0898280634722602</v>
      </c>
      <c r="BG374" s="185"/>
      <c r="BH374" s="163" t="n">
        <f aca="false">IF(ABS(I374-I373)&lt;0.05,0,I374-I373)</f>
        <v>1.20484900000001</v>
      </c>
      <c r="BI374" s="164" t="n">
        <f aca="false">IF(ABS(I374/I373-1)&lt;0.0005,0,(I374/I373-1))</f>
        <v>0.0204917305079662</v>
      </c>
      <c r="BJ374" s="163" t="n">
        <f aca="false">IF(ABS(I374-I362)&lt;0.05,0,I374-I362)</f>
        <v>-3.79537899999999</v>
      </c>
      <c r="BK374" s="164" t="n">
        <f aca="false">IF(ABS(I374/I362-1)&lt;0.0005,0,(I374/I362-1))</f>
        <v>-0.0594914330545722</v>
      </c>
      <c r="BL374" s="57" t="n">
        <f aca="false">(I374/1.05)-11.14</f>
        <v>46.0044657142857</v>
      </c>
      <c r="BM374" s="163" t="n">
        <f aca="false">IF(ABS(BL374-BL373)&lt;0.05,0,BL374-BL373)</f>
        <v>1.14747523809525</v>
      </c>
      <c r="BN374" s="164" t="n">
        <f aca="false">IF(ABS(BL374/BL373-1)&lt;0.0005,0,(BL374/BL373-1))</f>
        <v>0.0255807450725949</v>
      </c>
      <c r="BO374" s="163" t="n">
        <f aca="false">IF(ABS(BL374-BL362)&lt;0.05,0,BL374-BL362)</f>
        <v>-3.61464666666666</v>
      </c>
      <c r="BP374" s="155" t="n">
        <f aca="false">IF(ABS(BL374/BL362-1)&lt;0.0005,0,(BL374/BL362-1))</f>
        <v>-0.0728478703713015</v>
      </c>
      <c r="BQ374" s="185"/>
    </row>
    <row r="375" customFormat="false" ht="12.75" hidden="false" customHeight="false" outlineLevel="0" collapsed="false">
      <c r="A375" s="156" t="n">
        <v>43739</v>
      </c>
      <c r="B375" s="73" t="n">
        <v>2019</v>
      </c>
      <c r="C375" s="157" t="s">
        <v>68</v>
      </c>
      <c r="D375" s="198"/>
      <c r="E375" s="159" t="n">
        <v>138.740266</v>
      </c>
      <c r="F375" s="35" t="n">
        <v>127.068624380074</v>
      </c>
      <c r="G375" s="35" t="n">
        <v>131.892802</v>
      </c>
      <c r="H375" s="159" t="n">
        <v>48.338</v>
      </c>
      <c r="I375" s="159" t="n">
        <v>59.274475</v>
      </c>
      <c r="J375" s="178"/>
      <c r="K375" s="159" t="n">
        <v>93.9553591742325</v>
      </c>
      <c r="L375" s="159"/>
      <c r="M375" s="160" t="n">
        <f aca="false">G375-F375</f>
        <v>4.82417761992599</v>
      </c>
      <c r="N375" s="195"/>
      <c r="O375" s="196"/>
      <c r="P375" s="197"/>
      <c r="Q375" s="197"/>
      <c r="R375" s="185"/>
      <c r="S375" s="57" t="n">
        <f aca="false">IF(ABS(F375-F374)&lt;0.05,0,F375-F374)</f>
        <v>0.0740813169315686</v>
      </c>
      <c r="T375" s="178" t="n">
        <f aca="false">IF((ABS(G375/G374-1))&lt;0.0005,0,(G375/G374-1))</f>
        <v>0.00474146537907716</v>
      </c>
      <c r="U375" s="163" t="n">
        <f aca="false">IF(ABS(F375-F363)&lt;0.05,0,F375-F363)</f>
        <v>-3.81293598725713</v>
      </c>
      <c r="V375" s="164" t="n">
        <f aca="false">IF(ABS(F375/F363-1)&lt;0.0005,0,(F375/F363-1))</f>
        <v>-0.0291327210384394</v>
      </c>
      <c r="W375" s="57" t="n">
        <f aca="false">(F375/1.2)-57.95</f>
        <v>47.9405203167284</v>
      </c>
      <c r="X375" s="163" t="n">
        <f aca="false">IF(ABS(W375-W374)&lt;0.05,0,W375-W374)</f>
        <v>0.0617344307762977</v>
      </c>
      <c r="Y375" s="184" t="n">
        <f aca="false">IF(ABS(W375/W374-1)&lt;0.0005,0,(W375/W374-1))</f>
        <v>0.00128939006355244</v>
      </c>
      <c r="Z375" s="163" t="n">
        <f aca="false">IF(ABS(W375-W363)&lt;0.05,0,W375-W363)</f>
        <v>-3.17744665604762</v>
      </c>
      <c r="AA375" s="155" t="n">
        <f aca="false">IF(ABS(W375/W363-1)&lt;0.0005,0,(W375/W363-1))</f>
        <v>-0.0621590967758918</v>
      </c>
      <c r="AB375" s="185"/>
      <c r="AC375" s="57" t="n">
        <f aca="false">IF(ABS(G375-G374)&lt;0.05,0,G375-G374)</f>
        <v>0.622414000000021</v>
      </c>
      <c r="AD375" s="164" t="n">
        <f aca="false">IF(ABS(G375/G374-1)&lt;0.0005,0,(G375/G374-1))</f>
        <v>0.00474146537907716</v>
      </c>
      <c r="AE375" s="163" t="n">
        <f aca="false">IF(ABS(G375-G363)&lt;0.05,0,G375-G363)</f>
        <v>-4.72381099999998</v>
      </c>
      <c r="AF375" s="164" t="n">
        <f aca="false">IF(ABS(G375/G363-1)&lt;0.0005,0,(G375/G363-1))</f>
        <v>-0.0345771344807091</v>
      </c>
      <c r="AG375" s="57" t="n">
        <f aca="false">(G375/1.2)-57.95</f>
        <v>51.9606683333333</v>
      </c>
      <c r="AH375" s="163" t="n">
        <f aca="false">IF(ABS(AG375-AG374)&lt;0.05,0,AG375-AG374)</f>
        <v>0.518678333333341</v>
      </c>
      <c r="AI375" s="164" t="n">
        <f aca="false">IF(ABS(AG375/AG374-1)&lt;0.0005,0,(AG375/AG374-1))</f>
        <v>0.0100827812713571</v>
      </c>
      <c r="AJ375" s="163" t="n">
        <f aca="false">IF(ABS(AG375-AG363)&lt;0.05,0,AG375-AG363)</f>
        <v>-3.93650916666665</v>
      </c>
      <c r="AK375" s="155" t="n">
        <f aca="false">IF(ABS(AG375/AG363-1)&lt;0.0005,0,(AG375/AG363-1))</f>
        <v>-0.0704241133940378</v>
      </c>
      <c r="AL375" s="185"/>
      <c r="AM375" s="156" t="n">
        <f aca="false">IF(E375="..","",A375)</f>
        <v>43739</v>
      </c>
      <c r="AN375" s="57" t="n">
        <f aca="false">IF(ABS(E375-E374)&lt;0.05,0,E375-E374)</f>
        <v>-0.0907449999999983</v>
      </c>
      <c r="AO375" s="164" t="n">
        <f aca="false">IF(ABS(E375/E374-1)&lt;0.0005,0,(E375/E374-1))</f>
        <v>-0.000653636383876832</v>
      </c>
      <c r="AP375" s="163" t="n">
        <f aca="false">IF(ABS(E375-E363)&lt;0.05,0,E375-E363)</f>
        <v>-2.63096200000001</v>
      </c>
      <c r="AQ375" s="164" t="n">
        <f aca="false">IF(ABS(E375/E363-1)&lt;0.0005,0,(E375/E363-1))</f>
        <v>-0.0186103073250521</v>
      </c>
      <c r="AR375" s="57" t="n">
        <f aca="false">(E375/1.2)-57.95</f>
        <v>57.6668883333333</v>
      </c>
      <c r="AS375" s="163" t="n">
        <f aca="false">IF(ABS(AR375-AR374)&lt;0.05,0,AR375-AR374)</f>
        <v>-0.0756208333333319</v>
      </c>
      <c r="AT375" s="164" t="n">
        <f aca="false">IF(ABS(AR375/AR374-1)&lt;0.0005,0,(AR375/AR374-1))</f>
        <v>-0.00130962153229364</v>
      </c>
      <c r="AU375" s="163" t="n">
        <f aca="false">IF(ABS(AR375-AR363)&lt;0.05,0,AR375-AR363)</f>
        <v>-2.19246833333334</v>
      </c>
      <c r="AV375" s="155" t="n">
        <f aca="false">IF(ABS(AR375/AR363-1)&lt;0.0005,0,(AR375/AR363-1))</f>
        <v>-0.0366269945990622</v>
      </c>
      <c r="AW375" s="185"/>
      <c r="AX375" s="163" t="n">
        <f aca="false">IF(ABS(H375-H374)&lt;0.05,0,H375-H374)</f>
        <v>1.648</v>
      </c>
      <c r="AY375" s="164" t="n">
        <f aca="false">IF(ABS(H375/H374-1)&lt;0.0005,0,(H375/H374-1))</f>
        <v>0.0352966373955881</v>
      </c>
      <c r="AZ375" s="163" t="n">
        <f aca="false">IF(ABS(H375-H363)&lt;0.05,0,H375-H363)</f>
        <v>-5.259</v>
      </c>
      <c r="BA375" s="164" t="n">
        <f aca="false">IF(ABS(H375/H363-1)&lt;0.0005,0,(H375/H363-1))</f>
        <v>-0.098121163497957</v>
      </c>
      <c r="BB375" s="57" t="n">
        <f aca="false">(H375/1.05)</f>
        <v>46.0361904761905</v>
      </c>
      <c r="BC375" s="163" t="n">
        <f aca="false">IF(ABS(BB375-BB374)&lt;0.05,0,BB375-BB374)</f>
        <v>1.56952380952382</v>
      </c>
      <c r="BD375" s="164" t="n">
        <f aca="false">IF(ABS(BB375/BB374-1)&lt;0.0005,0,(BB375/BB374-1))</f>
        <v>0.0352966373955881</v>
      </c>
      <c r="BE375" s="163" t="n">
        <f aca="false">IF(ABS(BB375-BB363)&lt;0.05,0,BB375-BB363)</f>
        <v>-5.00857142857143</v>
      </c>
      <c r="BF375" s="155" t="n">
        <f aca="false">IF(ABS(BB375/BB363-1)&lt;0.0005,0,(BB375/BB363-1))</f>
        <v>-0.098121163497957</v>
      </c>
      <c r="BG375" s="185"/>
      <c r="BH375" s="163" t="n">
        <f aca="false">IF(ABS(I375-I374)&lt;0.05,0,I375-I374)</f>
        <v>-0.727214000000004</v>
      </c>
      <c r="BI375" s="164" t="n">
        <f aca="false">IF(ABS(I375/I374-1)&lt;0.0005,0,(I375/I374-1))</f>
        <v>-0.0121198921583692</v>
      </c>
      <c r="BJ375" s="163" t="n">
        <f aca="false">IF(ABS(I375-I363)&lt;0.05,0,I375-I363)</f>
        <v>-7.18912099999999</v>
      </c>
      <c r="BK375" s="164" t="n">
        <f aca="false">IF(ABS(I375/I363-1)&lt;0.0005,0,(I375/I363-1))</f>
        <v>-0.108166296027678</v>
      </c>
      <c r="BL375" s="57" t="n">
        <f aca="false">(I375/1.05)-11.14</f>
        <v>45.311880952381</v>
      </c>
      <c r="BM375" s="163" t="n">
        <f aca="false">IF(ABS(BL375-BL374)&lt;0.05,0,BL375-BL374)</f>
        <v>-0.692584761904762</v>
      </c>
      <c r="BN375" s="164" t="n">
        <f aca="false">IF(ABS(BL375/BL374-1)&lt;0.0005,0,(BL375/BL374-1))</f>
        <v>-0.0150547289518829</v>
      </c>
      <c r="BO375" s="163" t="n">
        <f aca="false">IF(ABS(BL375-BL363)&lt;0.05,0,BL375-BL363)</f>
        <v>-6.8467819047619</v>
      </c>
      <c r="BP375" s="155" t="n">
        <f aca="false">IF(ABS(BL375/BL363-1)&lt;0.0005,0,(BL375/BL363-1))</f>
        <v>-0.131268355623198</v>
      </c>
      <c r="BQ375" s="185"/>
    </row>
    <row r="376" customFormat="false" ht="12.75" hidden="false" customHeight="false" outlineLevel="0" collapsed="false">
      <c r="A376" s="156" t="n">
        <v>43770</v>
      </c>
      <c r="B376" s="73" t="n">
        <v>2019</v>
      </c>
      <c r="C376" s="157" t="s">
        <v>69</v>
      </c>
      <c r="D376" s="198"/>
      <c r="E376" s="159" t="n">
        <v>137.59993</v>
      </c>
      <c r="F376" s="35" t="n">
        <v>125.645311061702</v>
      </c>
      <c r="G376" s="35" t="n">
        <v>130.283996</v>
      </c>
      <c r="H376" s="159" t="n">
        <v>46.49</v>
      </c>
      <c r="I376" s="159" t="n">
        <v>58.377035</v>
      </c>
      <c r="J376" s="178"/>
      <c r="K376" s="159" t="n">
        <v>95.9482130363025</v>
      </c>
      <c r="L376" s="199"/>
      <c r="M376" s="160" t="n">
        <f aca="false">G376-F376</f>
        <v>4.63868493829834</v>
      </c>
      <c r="N376" s="195"/>
      <c r="O376" s="196"/>
      <c r="P376" s="197"/>
      <c r="Q376" s="197"/>
      <c r="R376" s="185"/>
      <c r="S376" s="57" t="n">
        <f aca="false">IF(ABS(F376-F375)&lt;0.05,0,F376-F375)</f>
        <v>-1.42331331837237</v>
      </c>
      <c r="T376" s="178" t="n">
        <f aca="false">IF((ABS(G376/G375-1))&lt;0.0005,0,(G376/G375-1))</f>
        <v>-0.0121978301742351</v>
      </c>
      <c r="U376" s="163" t="n">
        <f aca="false">IF(ABS(F376-F364)&lt;0.05,0,F376-F364)</f>
        <v>-2.96578162788707</v>
      </c>
      <c r="V376" s="164" t="n">
        <f aca="false">IF(ABS(F376/F364-1)&lt;0.0005,0,(F376/F364-1))</f>
        <v>-0.0230600764355932</v>
      </c>
      <c r="W376" s="57" t="n">
        <f aca="false">(F376/1.2)-57.95</f>
        <v>46.7544258847514</v>
      </c>
      <c r="X376" s="163" t="n">
        <f aca="false">IF(ABS(W376-W375)&lt;0.05,0,W376-W375)</f>
        <v>-1.18609443197697</v>
      </c>
      <c r="Y376" s="184" t="n">
        <f aca="false">IF(ABS(W376/W375-1)&lt;0.0005,0,(W376/W375-1))</f>
        <v>-0.0247409586742239</v>
      </c>
      <c r="Z376" s="163" t="n">
        <f aca="false">IF(ABS(W376-W364)&lt;0.05,0,W376-W364)</f>
        <v>-2.47148468990589</v>
      </c>
      <c r="AA376" s="155" t="n">
        <f aca="false">IF(ABS(W376/W364-1)&lt;0.0005,0,(W376/W364-1))</f>
        <v>-0.0502069877642503</v>
      </c>
      <c r="AB376" s="185"/>
      <c r="AC376" s="57" t="n">
        <f aca="false">IF(ABS(G376-G375)&lt;0.05,0,G376-G375)</f>
        <v>-1.60880600000002</v>
      </c>
      <c r="AD376" s="164" t="n">
        <f aca="false">IF(ABS(G376/G375-1)&lt;0.0005,0,(G376/G375-1))</f>
        <v>-0.0121978301742351</v>
      </c>
      <c r="AE376" s="163" t="n">
        <f aca="false">IF(ABS(G376-G364)&lt;0.05,0,G376-G364)</f>
        <v>-6.77465800000002</v>
      </c>
      <c r="AF376" s="164" t="n">
        <f aca="false">IF(ABS(G376/G364-1)&lt;0.0005,0,(G376/G364-1))</f>
        <v>-0.0494288963322229</v>
      </c>
      <c r="AG376" s="57" t="n">
        <f aca="false">(G376/1.2)-57.95</f>
        <v>50.6199966666667</v>
      </c>
      <c r="AH376" s="163" t="n">
        <f aca="false">IF(ABS(AG376-AG375)&lt;0.05,0,AG376-AG375)</f>
        <v>-1.34067166666668</v>
      </c>
      <c r="AI376" s="164" t="n">
        <f aca="false">IF(ABS(AG376/AG375-1)&lt;0.0005,0,(AG376/AG375-1))</f>
        <v>-0.0258016632516372</v>
      </c>
      <c r="AJ376" s="163" t="n">
        <f aca="false">IF(ABS(AG376-AG364)&lt;0.05,0,AG376-AG364)</f>
        <v>-5.64554833333335</v>
      </c>
      <c r="AK376" s="155" t="n">
        <f aca="false">IF(ABS(AG376/AG364-1)&lt;0.0005,0,(AG376/AG364-1))</f>
        <v>-0.100337574857461</v>
      </c>
      <c r="AL376" s="185"/>
      <c r="AM376" s="156" t="n">
        <f aca="false">IF(E376="..","",A376)</f>
        <v>43770</v>
      </c>
      <c r="AN376" s="57" t="n">
        <f aca="false">IF(ABS(E376-E375)&lt;0.05,0,E376-E375)</f>
        <v>-1.14033599999996</v>
      </c>
      <c r="AO376" s="164" t="n">
        <f aca="false">IF(ABS(E376/E375-1)&lt;0.0005,0,(E376/E375-1))</f>
        <v>-0.00821921445645757</v>
      </c>
      <c r="AP376" s="163" t="n">
        <f aca="false">IF(ABS(E376-E364)&lt;0.05,0,E376-E364)</f>
        <v>-1.33483099999998</v>
      </c>
      <c r="AQ376" s="164" t="n">
        <f aca="false">IF(ABS(E376/E364-1)&lt;0.0005,0,(E376/E364-1))</f>
        <v>-0.0096076100062531</v>
      </c>
      <c r="AR376" s="57" t="n">
        <f aca="false">(E376/1.2)-57.95</f>
        <v>56.7166083333334</v>
      </c>
      <c r="AS376" s="163" t="n">
        <f aca="false">IF(ABS(AR376-AR375)&lt;0.05,0,AR376-AR375)</f>
        <v>-0.950279999999978</v>
      </c>
      <c r="AT376" s="164" t="n">
        <f aca="false">IF(ABS(AR376/AR375-1)&lt;0.0005,0,(AR376/AR375-1))</f>
        <v>-0.0164787805873459</v>
      </c>
      <c r="AU376" s="163" t="n">
        <f aca="false">IF(ABS(AR376-AR364)&lt;0.05,0,AR376-AR364)</f>
        <v>-1.11235916666665</v>
      </c>
      <c r="AV376" s="155" t="n">
        <f aca="false">IF(ABS(AR376/AR364-1)&lt;0.0005,0,(AR376/AR364-1))</f>
        <v>-0.0192353281539507</v>
      </c>
      <c r="AW376" s="185"/>
      <c r="AX376" s="163" t="n">
        <f aca="false">IF(ABS(H376-H375)&lt;0.05,0,H376-H375)</f>
        <v>-1.848</v>
      </c>
      <c r="AY376" s="164" t="n">
        <f aca="false">IF(ABS(H376/H375-1)&lt;0.0005,0,(H376/H375-1))</f>
        <v>-0.0382307915097853</v>
      </c>
      <c r="AZ376" s="163" t="n">
        <f aca="false">IF(ABS(H376-H364)&lt;0.05,0,H376-H364)</f>
        <v>-5.068</v>
      </c>
      <c r="BA376" s="164" t="n">
        <f aca="false">IF(ABS(H376/H364-1)&lt;0.0005,0,(H376/H364-1))</f>
        <v>-0.0982970635012995</v>
      </c>
      <c r="BB376" s="57" t="n">
        <f aca="false">(H376/1.05)</f>
        <v>44.2761904761905</v>
      </c>
      <c r="BC376" s="163" t="n">
        <f aca="false">IF(ABS(BB376-BB375)&lt;0.05,0,BB376-BB375)</f>
        <v>-1.76</v>
      </c>
      <c r="BD376" s="164" t="n">
        <f aca="false">IF(ABS(BB376/BB375-1)&lt;0.0005,0,(BB376/BB375-1))</f>
        <v>-0.0382307915097853</v>
      </c>
      <c r="BE376" s="163" t="n">
        <f aca="false">IF(ABS(BB376-BB364)&lt;0.05,0,BB376-BB364)</f>
        <v>-4.82666666666666</v>
      </c>
      <c r="BF376" s="155" t="n">
        <f aca="false">IF(ABS(BB376/BB364-1)&lt;0.0005,0,(BB376/BB364-1))</f>
        <v>-0.0982970635012994</v>
      </c>
      <c r="BG376" s="185"/>
      <c r="BH376" s="163" t="n">
        <f aca="false">IF(ABS(I376-I375)&lt;0.05,0,I376-I375)</f>
        <v>-0.897440000000003</v>
      </c>
      <c r="BI376" s="164" t="n">
        <f aca="false">IF(ABS(I376/I375-1)&lt;0.0005,0,(I376/I375-1))</f>
        <v>-0.0151404124625314</v>
      </c>
      <c r="BJ376" s="163" t="n">
        <f aca="false">IF(ABS(I376-I364)&lt;0.05,0,I376-I364)</f>
        <v>-5.441354</v>
      </c>
      <c r="BK376" s="164" t="n">
        <f aca="false">IF(ABS(I376/I364-1)&lt;0.0005,0,(I376/I364-1))</f>
        <v>-0.0852631049649343</v>
      </c>
      <c r="BL376" s="57" t="n">
        <f aca="false">(I376/1.05)-11.14</f>
        <v>44.4571761904762</v>
      </c>
      <c r="BM376" s="163" t="n">
        <f aca="false">IF(ABS(BL376-BL375)&lt;0.05,0,BL376-BL375)</f>
        <v>-0.854704761904763</v>
      </c>
      <c r="BN376" s="164" t="n">
        <f aca="false">IF(ABS(BL376/BL375-1)&lt;0.0005,0,(BL376/BL375-1))</f>
        <v>-0.0188627076153159</v>
      </c>
      <c r="BO376" s="163" t="n">
        <f aca="false">IF(ABS(BL376-BL364)&lt;0.05,0,BL376-BL364)</f>
        <v>-5.1822419047619</v>
      </c>
      <c r="BP376" s="155" t="n">
        <f aca="false">IF(ABS(BL376/BL364-1)&lt;0.0005,0,(BL376/BL364-1))</f>
        <v>-0.104397716645656</v>
      </c>
      <c r="BQ376" s="185"/>
    </row>
    <row r="377" customFormat="false" ht="12.75" hidden="false" customHeight="false" outlineLevel="0" collapsed="false">
      <c r="A377" s="156" t="n">
        <v>43800</v>
      </c>
      <c r="B377" s="73" t="n">
        <v>2019</v>
      </c>
      <c r="C377" s="157" t="s">
        <v>70</v>
      </c>
      <c r="D377" s="198"/>
      <c r="E377" s="159" t="n">
        <v>136.57962</v>
      </c>
      <c r="F377" s="35" t="n">
        <v>124.414826055627</v>
      </c>
      <c r="G377" s="35" t="n">
        <v>129.430018</v>
      </c>
      <c r="H377" s="159" t="n">
        <v>46.302</v>
      </c>
      <c r="I377" s="159" t="n">
        <v>57.518974</v>
      </c>
      <c r="J377" s="178"/>
      <c r="K377" s="200" t="n">
        <v>100.51264859595</v>
      </c>
      <c r="L377" s="199"/>
      <c r="M377" s="160" t="n">
        <f aca="false">G377-F377</f>
        <v>5.01519194437297</v>
      </c>
      <c r="N377" s="195"/>
      <c r="O377" s="196"/>
      <c r="P377" s="197"/>
      <c r="Q377" s="197"/>
      <c r="R377" s="185"/>
      <c r="S377" s="57" t="n">
        <f aca="false">IF(ABS(F377-F376)&lt;0.05,0,F377-F376)</f>
        <v>-1.23048500607462</v>
      </c>
      <c r="T377" s="178" t="n">
        <f aca="false">IF((ABS(G377/G376-1))&lt;0.0005,0,(G377/G376-1))</f>
        <v>-0.00655474214960361</v>
      </c>
      <c r="U377" s="163" t="n">
        <f aca="false">IF(ABS(F377-F365)&lt;0.05,0,F377-F365)</f>
        <v>3.44173944713089</v>
      </c>
      <c r="V377" s="164" t="n">
        <f aca="false">IF(ABS(F377/F365-1)&lt;0.0005,0,(F377/F365-1))</f>
        <v>0.0284504557469825</v>
      </c>
      <c r="W377" s="57" t="n">
        <f aca="false">(F377/1.2)-57.95</f>
        <v>45.7290217130225</v>
      </c>
      <c r="X377" s="163" t="n">
        <f aca="false">IF(ABS(W377-W376)&lt;0.05,0,W377-W376)</f>
        <v>-1.02540417172885</v>
      </c>
      <c r="Y377" s="184" t="n">
        <f aca="false">IF(ABS(W377/W376-1)&lt;0.0005,0,(W377/W376-1))</f>
        <v>-0.0219317027709088</v>
      </c>
      <c r="Z377" s="163" t="n">
        <f aca="false">IF(ABS(W377-W365)&lt;0.05,0,W377-W365)</f>
        <v>2.8681162059424</v>
      </c>
      <c r="AA377" s="155" t="n">
        <f aca="false">IF(ABS(W377/W365-1)&lt;0.0005,0,(W377/W365-1))</f>
        <v>0.0669168364972741</v>
      </c>
      <c r="AB377" s="185"/>
      <c r="AC377" s="57" t="n">
        <f aca="false">IF(ABS(G377-G376)&lt;0.05,0,G377-G376)</f>
        <v>-0.853977999999984</v>
      </c>
      <c r="AD377" s="164" t="n">
        <f aca="false">IF(ABS(G377/G376-1)&lt;0.0005,0,(G377/G376-1))</f>
        <v>-0.00655474214960361</v>
      </c>
      <c r="AE377" s="163" t="n">
        <f aca="false">IF(ABS(G377-G365)&lt;0.05,0,G377-G365)</f>
        <v>-1.57419399999998</v>
      </c>
      <c r="AF377" s="164" t="n">
        <f aca="false">IF(ABS(G377/G365-1)&lt;0.0005,0,(G377/G365-1))</f>
        <v>-0.0120163617334683</v>
      </c>
      <c r="AG377" s="57" t="n">
        <f aca="false">(G377/1.2)-57.95</f>
        <v>49.9083483333334</v>
      </c>
      <c r="AH377" s="163" t="n">
        <f aca="false">IF(ABS(AG377-AG376)&lt;0.05,0,AG377-AG376)</f>
        <v>-0.711648333333315</v>
      </c>
      <c r="AI377" s="164" t="n">
        <f aca="false">IF(ABS(AG377/AG376-1)&lt;0.0005,0,(AG377/AG376-1))</f>
        <v>-0.014058640462178</v>
      </c>
      <c r="AJ377" s="163" t="n">
        <f aca="false">IF(ABS(AG377-AG365)&lt;0.05,0,AG377-AG365)</f>
        <v>-1.31182833333331</v>
      </c>
      <c r="AK377" s="155" t="n">
        <f aca="false">IF(ABS(AG377/AG365-1)&lt;0.0005,0,(AG377/AG365-1))</f>
        <v>-0.0256115542488362</v>
      </c>
      <c r="AL377" s="185"/>
      <c r="AM377" s="156" t="n">
        <f aca="false">IF(E377="..","",A377)</f>
        <v>43800</v>
      </c>
      <c r="AN377" s="57" t="n">
        <f aca="false">IF(ABS(E377-E376)&lt;0.05,0,E377-E376)</f>
        <v>-1.02031</v>
      </c>
      <c r="AO377" s="164" t="n">
        <f aca="false">IF(ABS(E377/E376-1)&lt;0.0005,0,(E377/E376-1))</f>
        <v>-0.00741504737684096</v>
      </c>
      <c r="AP377" s="163" t="n">
        <f aca="false">IF(ABS(E377-E365)&lt;0.05,0,E377-E365)</f>
        <v>5.19861600000002</v>
      </c>
      <c r="AQ377" s="164" t="n">
        <f aca="false">IF(ABS(E377/E365-1)&lt;0.0005,0,(E377/E365-1))</f>
        <v>0.0395690080127566</v>
      </c>
      <c r="AR377" s="57" t="n">
        <f aca="false">(E377/1.2)-57.95</f>
        <v>55.86635</v>
      </c>
      <c r="AS377" s="163" t="n">
        <f aca="false">IF(ABS(AR377-AR376)&lt;0.05,0,AR377-AR376)</f>
        <v>-0.850258333333329</v>
      </c>
      <c r="AT377" s="164" t="n">
        <f aca="false">IF(ABS(AR377/AR376-1)&lt;0.0005,0,(AR377/AR376-1))</f>
        <v>-0.0149913465970358</v>
      </c>
      <c r="AU377" s="163" t="n">
        <f aca="false">IF(ABS(AR377-AR365)&lt;0.05,0,AR377-AR365)</f>
        <v>4.33218000000001</v>
      </c>
      <c r="AV377" s="155" t="n">
        <f aca="false">IF(ABS(AR377/AR365-1)&lt;0.0005,0,(AR377/AR365-1))</f>
        <v>0.0840642237955904</v>
      </c>
      <c r="AW377" s="185"/>
      <c r="AX377" s="163" t="n">
        <f aca="false">IF(ABS(H377-H376)&lt;0.05,0,H377-H376)</f>
        <v>-0.188000000000002</v>
      </c>
      <c r="AY377" s="164" t="n">
        <f aca="false">IF(ABS(H377/H376-1)&lt;0.0005,0,(H377/H376-1))</f>
        <v>-0.00404388040438808</v>
      </c>
      <c r="AZ377" s="163" t="n">
        <f aca="false">IF(ABS(H377-H365)&lt;0.05,0,H377-H365)</f>
        <v>-0.664999999999999</v>
      </c>
      <c r="BA377" s="164" t="n">
        <f aca="false">IF(ABS(H377/H365-1)&lt;0.0005,0,(H377/H365-1))</f>
        <v>-0.0141588775097409</v>
      </c>
      <c r="BB377" s="57" t="n">
        <f aca="false">(H377/1.05)</f>
        <v>44.0971428571429</v>
      </c>
      <c r="BC377" s="163" t="n">
        <f aca="false">IF(ABS(BB377-BB376)&lt;0.05,0,BB377-BB376)</f>
        <v>-0.179047619047623</v>
      </c>
      <c r="BD377" s="164" t="n">
        <f aca="false">IF(ABS(BB377/BB376-1)&lt;0.0005,0,(BB377/BB376-1))</f>
        <v>-0.00404388040438808</v>
      </c>
      <c r="BE377" s="163" t="n">
        <f aca="false">IF(ABS(BB377-BB365)&lt;0.05,0,BB377-BB365)</f>
        <v>-0.633333333333333</v>
      </c>
      <c r="BF377" s="155" t="n">
        <f aca="false">IF(ABS(BB377/BB365-1)&lt;0.0005,0,(BB377/BB365-1))</f>
        <v>-0.0141588775097409</v>
      </c>
      <c r="BG377" s="185"/>
      <c r="BH377" s="163" t="n">
        <f aca="false">IF(ABS(I377-I376)&lt;0.05,0,I377-I376)</f>
        <v>-0.858060999999999</v>
      </c>
      <c r="BI377" s="164" t="n">
        <f aca="false">IF(ABS(I377/I376-1)&lt;0.0005,0,(I377/I376-1))</f>
        <v>-0.0146986053676759</v>
      </c>
      <c r="BJ377" s="163" t="n">
        <f aca="false">IF(ABS(I377-I365)&lt;0.05,0,I377-I365)</f>
        <v>-1.459726</v>
      </c>
      <c r="BK377" s="164" t="n">
        <f aca="false">IF(ABS(I377/I365-1)&lt;0.0005,0,(I377/I365-1))</f>
        <v>-0.0247500538329939</v>
      </c>
      <c r="BL377" s="57" t="n">
        <f aca="false">(I377/1.05)-11.14</f>
        <v>43.6399752380952</v>
      </c>
      <c r="BM377" s="163" t="n">
        <f aca="false">IF(ABS(BL377-BL376)&lt;0.05,0,BL377-BL376)</f>
        <v>-0.817200952380958</v>
      </c>
      <c r="BN377" s="164" t="n">
        <f aca="false">IF(ABS(BL377/BL376-1)&lt;0.0005,0,(BL377/BL376-1))</f>
        <v>-0.0183817557120514</v>
      </c>
      <c r="BO377" s="163" t="n">
        <f aca="false">IF(ABS(BL377-BL365)&lt;0.05,0,BL377-BL365)</f>
        <v>-1.39021523809524</v>
      </c>
      <c r="BP377" s="155" t="n">
        <f aca="false">IF(ABS(BL377/BL365-1)&lt;0.0005,0,(BL377/BL365-1))</f>
        <v>-0.0308729593056087</v>
      </c>
      <c r="BQ377" s="185"/>
    </row>
    <row r="378" customFormat="false" ht="12.75" hidden="false" customHeight="false" outlineLevel="0" collapsed="false">
      <c r="A378" s="156" t="n">
        <v>43831</v>
      </c>
      <c r="B378" s="73" t="n">
        <f aca="false">'4.1.1'!A383</f>
        <v>2020</v>
      </c>
      <c r="C378" s="157" t="str">
        <f aca="false">'4.1.1'!B383</f>
        <v>January</v>
      </c>
      <c r="D378" s="198"/>
      <c r="E378" s="159" t="n">
        <f aca="false">'4.1.1'!D383</f>
        <v>139.211631</v>
      </c>
      <c r="F378" s="35" t="n">
        <f aca="false">'4.1.1'!E383</f>
        <v>127.140534997831</v>
      </c>
      <c r="G378" s="35" t="n">
        <f aca="false">'4.1.1'!F383</f>
        <v>132.634347</v>
      </c>
      <c r="H378" s="159" t="n">
        <f aca="false">'4.1.1'!G383</f>
        <v>48.197</v>
      </c>
      <c r="I378" s="159" t="n">
        <f aca="false">'4.1.1'!H383</f>
        <v>59.820065</v>
      </c>
      <c r="J378" s="178"/>
      <c r="K378" s="200" t="n">
        <f aca="false">'4.1.1'!I383</f>
        <v>98.4956943862579</v>
      </c>
      <c r="L378" s="199"/>
      <c r="M378" s="160" t="n">
        <f aca="false">G378-F378</f>
        <v>5.49381200216952</v>
      </c>
      <c r="N378" s="195"/>
      <c r="O378" s="196"/>
      <c r="P378" s="197"/>
      <c r="Q378" s="197"/>
      <c r="R378" s="185"/>
      <c r="S378" s="57" t="n">
        <f aca="false">IF(ABS(F378-F377)&lt;0.05,0,F378-F377)</f>
        <v>2.72570894220348</v>
      </c>
      <c r="T378" s="178" t="n">
        <f aca="false">IF((ABS(G378/G377-1))&lt;0.0005,0,(G378/G377-1))</f>
        <v>0.0247572321283307</v>
      </c>
      <c r="U378" s="163" t="n">
        <f aca="false">IF(ABS(F378-F366)&lt;0.05,0,F378-F366)</f>
        <v>7.68399098095468</v>
      </c>
      <c r="V378" s="164" t="n">
        <f aca="false">IF(ABS(F378/F366-1)&lt;0.0005,0,(F378/F366-1))</f>
        <v>0.0643245712840073</v>
      </c>
      <c r="W378" s="57" t="n">
        <f aca="false">(F378/1.2)-57.95</f>
        <v>48.0004458315254</v>
      </c>
      <c r="X378" s="163" t="n">
        <f aca="false">IF(ABS(W378-W377)&lt;0.05,0,W378-W377)</f>
        <v>2.27142411850291</v>
      </c>
      <c r="Y378" s="184" t="n">
        <f aca="false">IF(ABS(W378/W377-1)&lt;0.0005,0,(W378/W377-1))</f>
        <v>0.049671391020728</v>
      </c>
      <c r="Z378" s="163" t="n">
        <f aca="false">IF(ABS(W378-W366)&lt;0.05,0,W378-W366)</f>
        <v>6.40332581746223</v>
      </c>
      <c r="AA378" s="155" t="n">
        <f aca="false">IF(ABS(W378/W366-1)&lt;0.0005,0,(W378/W366-1))</f>
        <v>0.153936758489467</v>
      </c>
      <c r="AB378" s="185"/>
      <c r="AC378" s="57" t="n">
        <f aca="false">IF(ABS(G378-G377)&lt;0.05,0,G378-G377)</f>
        <v>3.20432900000003</v>
      </c>
      <c r="AD378" s="164" t="n">
        <f aca="false">IF(ABS(G378/G377-1)&lt;0.0005,0,(G378/G377-1))</f>
        <v>0.0247572321283307</v>
      </c>
      <c r="AE378" s="163" t="n">
        <f aca="false">IF(ABS(G378-G366)&lt;0.05,0,G378-G366)</f>
        <v>3.36601000000005</v>
      </c>
      <c r="AF378" s="164" t="n">
        <f aca="false">IF(ABS(G378/G366-1)&lt;0.0005,0,(G378/G366-1))</f>
        <v>0.0260389363560858</v>
      </c>
      <c r="AG378" s="57" t="n">
        <f aca="false">(G378/1.2)-57.95</f>
        <v>52.5786225</v>
      </c>
      <c r="AH378" s="163" t="n">
        <f aca="false">IF(ABS(AG378-AG377)&lt;0.05,0,AG378-AG377)</f>
        <v>2.67027416666669</v>
      </c>
      <c r="AI378" s="164" t="n">
        <f aca="false">IF(ABS(AG378/AG377-1)&lt;0.0005,0,(AG378/AG377-1))</f>
        <v>0.0535035571370177</v>
      </c>
      <c r="AJ378" s="163" t="n">
        <f aca="false">IF(ABS(AG378-AG366)&lt;0.05,0,AG378-AG366)</f>
        <v>2.80500833333336</v>
      </c>
      <c r="AK378" s="155" t="n">
        <f aca="false">IF(ABS(AG378/AG366-1)&lt;0.0005,0,(AG378/AG366-1))</f>
        <v>0.0563553276228004</v>
      </c>
      <c r="AL378" s="185"/>
      <c r="AM378" s="156" t="n">
        <f aca="false">IF(E378="..","",A378)</f>
        <v>43831</v>
      </c>
      <c r="AN378" s="57" t="n">
        <f aca="false">IF(ABS(E378-E377)&lt;0.05,0,E378-E377)</f>
        <v>2.63201099999998</v>
      </c>
      <c r="AO378" s="164" t="n">
        <f aca="false">IF(ABS(E378/E377-1)&lt;0.0005,0,(E378/E377-1))</f>
        <v>0.019270891220813</v>
      </c>
      <c r="AP378" s="163" t="n">
        <f aca="false">IF(ABS(E378-E366)&lt;0.05,0,E378-E366)</f>
        <v>9.65668600000001</v>
      </c>
      <c r="AQ378" s="164" t="n">
        <f aca="false">IF(ABS(E378/E366-1)&lt;0.0005,0,(E378/E366-1))</f>
        <v>0.0745373787160344</v>
      </c>
      <c r="AR378" s="57" t="n">
        <f aca="false">(E378/1.2)-57.95</f>
        <v>58.0596925</v>
      </c>
      <c r="AS378" s="163" t="n">
        <f aca="false">IF(ABS(AR378-AR377)&lt;0.05,0,AR378-AR377)</f>
        <v>2.19334249999999</v>
      </c>
      <c r="AT378" s="164" t="n">
        <f aca="false">IF(ABS(AR378/AR377-1)&lt;0.0005,0,(AR378/AR377-1))</f>
        <v>0.0392605298180386</v>
      </c>
      <c r="AU378" s="163" t="n">
        <f aca="false">IF(ABS(AR378-AR366)&lt;0.05,0,AR378-AR366)</f>
        <v>8.04723833333334</v>
      </c>
      <c r="AV378" s="155" t="n">
        <f aca="false">IF(ABS(AR378/AR366-1)&lt;0.0005,0,(AR378/AR366-1))</f>
        <v>0.160904687990633</v>
      </c>
      <c r="AW378" s="185"/>
      <c r="AX378" s="163" t="n">
        <f aca="false">IF(ABS(H378-H377)&lt;0.05,0,H378-H377)</f>
        <v>1.895</v>
      </c>
      <c r="AY378" s="164" t="n">
        <f aca="false">IF(ABS(H378/H377-1)&lt;0.0005,0,(H378/H377-1))</f>
        <v>0.0409269577987992</v>
      </c>
      <c r="AZ378" s="163" t="n">
        <f aca="false">IF(ABS(H378-H366)&lt;0.05,0,H378-H366)</f>
        <v>1.60999999999999</v>
      </c>
      <c r="BA378" s="164" t="n">
        <f aca="false">IF(ABS(H378/H366-1)&lt;0.0005,0,(H378/H366-1))</f>
        <v>0.0345589971451259</v>
      </c>
      <c r="BB378" s="57" t="n">
        <f aca="false">(H378/1.05)</f>
        <v>45.9019047619048</v>
      </c>
      <c r="BC378" s="163" t="n">
        <f aca="false">IF(ABS(BB378-BB377)&lt;0.05,0,BB378-BB377)</f>
        <v>1.8047619047619</v>
      </c>
      <c r="BD378" s="164" t="n">
        <f aca="false">IF(ABS(BB378/BB377-1)&lt;0.0005,0,(BB378/BB377-1))</f>
        <v>0.040926957798799</v>
      </c>
      <c r="BE378" s="163" t="n">
        <f aca="false">IF(ABS(BB378-BB366)&lt;0.05,0,BB378-BB366)</f>
        <v>1.53333333333332</v>
      </c>
      <c r="BF378" s="155" t="n">
        <f aca="false">IF(ABS(BB378/BB366-1)&lt;0.0005,0,(BB378/BB366-1))</f>
        <v>0.0345589971451259</v>
      </c>
      <c r="BG378" s="185"/>
      <c r="BH378" s="163" t="n">
        <f aca="false">IF(ABS(I378-I377)&lt;0.05,0,I378-I377)</f>
        <v>2.30109099999999</v>
      </c>
      <c r="BI378" s="164" t="n">
        <f aca="false">IF(ABS(I378/I377-1)&lt;0.0005,0,(I378/I377-1))</f>
        <v>0.0400057727038037</v>
      </c>
      <c r="BJ378" s="163" t="n">
        <f aca="false">IF(ABS(I378-I366)&lt;0.05,0,I378-I366)</f>
        <v>3.097973</v>
      </c>
      <c r="BK378" s="164" t="n">
        <f aca="false">IF(ABS(I378/I366-1)&lt;0.0005,0,(I378/I366-1))</f>
        <v>0.0546166915000244</v>
      </c>
      <c r="BL378" s="57" t="n">
        <f aca="false">(I378/1.05)-11.14</f>
        <v>45.8314904761905</v>
      </c>
      <c r="BM378" s="163" t="n">
        <f aca="false">IF(ABS(BL378-BL377)&lt;0.05,0,BL378-BL377)</f>
        <v>2.19151523809524</v>
      </c>
      <c r="BN378" s="164" t="n">
        <f aca="false">IF(ABS(BL378/BL377-1)&lt;0.0005,0,(BL378/BL377-1))</f>
        <v>0.0502180678641213</v>
      </c>
      <c r="BO378" s="163" t="n">
        <f aca="false">IF(ABS(BL378-BL366)&lt;0.05,0,BL378-BL366)</f>
        <v>2.95045047619048</v>
      </c>
      <c r="BP378" s="155" t="n">
        <f aca="false">IF(ABS(BL378/BL366-1)&lt;0.0005,0,(BL378/BL366-1))</f>
        <v>0.0688054785096275</v>
      </c>
      <c r="BQ378" s="185"/>
    </row>
    <row r="379" customFormat="false" ht="12.75" hidden="false" customHeight="false" outlineLevel="0" collapsed="false">
      <c r="A379" s="156" t="n">
        <v>43862</v>
      </c>
      <c r="B379" s="73" t="n">
        <f aca="false">'4.1.1'!A384</f>
        <v>2020</v>
      </c>
      <c r="C379" s="157" t="str">
        <f aca="false">'4.1.1'!B384</f>
        <v>February</v>
      </c>
      <c r="D379" s="198"/>
      <c r="E379" s="159" t="n">
        <f aca="false">'4.1.1'!D384</f>
        <v>136.100981</v>
      </c>
      <c r="F379" s="35" t="n">
        <f aca="false">'4.1.1'!E384</f>
        <v>123.5770719586</v>
      </c>
      <c r="G379" s="35" t="n">
        <f aca="false">'4.1.1'!F384</f>
        <v>127.789029</v>
      </c>
      <c r="H379" s="159" t="n">
        <f aca="false">'4.1.1'!G384</f>
        <v>41.062</v>
      </c>
      <c r="I379" s="159" t="n">
        <f aca="false">'4.1.1'!H384</f>
        <v>54.200303</v>
      </c>
      <c r="J379" s="178"/>
      <c r="K379" s="200" t="n">
        <f aca="false">'4.1.1'!I384</f>
        <v>89.1263996490469</v>
      </c>
      <c r="L379" s="199"/>
      <c r="M379" s="160" t="n">
        <f aca="false">G379-F379</f>
        <v>4.21195704139954</v>
      </c>
      <c r="N379" s="195"/>
      <c r="O379" s="196"/>
      <c r="P379" s="197"/>
      <c r="Q379" s="197"/>
      <c r="R379" s="185"/>
      <c r="S379" s="57" t="n">
        <f aca="false">IF(ABS(F379-F378)&lt;0.05,0,F379-F378)</f>
        <v>-3.56346303923006</v>
      </c>
      <c r="T379" s="178" t="n">
        <f aca="false">IF((ABS(G379/G378-1))&lt;0.0005,0,(G379/G378-1))</f>
        <v>-0.0365313971048542</v>
      </c>
      <c r="U379" s="163" t="n">
        <f aca="false">IF(ABS(F379-F367)&lt;0.05,0,F379-F367)</f>
        <v>4.72209567145988</v>
      </c>
      <c r="V379" s="164" t="n">
        <f aca="false">IF(ABS(F379/F367-1)&lt;0.0005,0,(F379/F367-1))</f>
        <v>0.0397298945233207</v>
      </c>
      <c r="W379" s="57" t="n">
        <f aca="false">(F379/1.2)-57.95</f>
        <v>45.0308932988337</v>
      </c>
      <c r="X379" s="163" t="n">
        <f aca="false">IF(ABS(W379-W378)&lt;0.05,0,W379-W378)</f>
        <v>-2.96955253269171</v>
      </c>
      <c r="Y379" s="184" t="n">
        <f aca="false">IF(ABS(W379/W378-1)&lt;0.0005,0,(W379/W378-1))</f>
        <v>-0.0618651031516333</v>
      </c>
      <c r="Z379" s="163" t="n">
        <f aca="false">IF(ABS(W379-W367)&lt;0.05,0,W379-W367)</f>
        <v>3.93507972621657</v>
      </c>
      <c r="AA379" s="155" t="n">
        <f aca="false">IF(ABS(W379/W367-1)&lt;0.0005,0,(W379/W367-1))</f>
        <v>0.0957537857052813</v>
      </c>
      <c r="AB379" s="185"/>
      <c r="AC379" s="57" t="n">
        <f aca="false">IF(ABS(G379-G378)&lt;0.05,0,G379-G378)</f>
        <v>-4.84531800000003</v>
      </c>
      <c r="AD379" s="164" t="n">
        <f aca="false">IF(ABS(G379/G378-1)&lt;0.0005,0,(G379/G378-1))</f>
        <v>-0.0365313971048542</v>
      </c>
      <c r="AE379" s="163" t="n">
        <f aca="false">IF(ABS(G379-G367)&lt;0.05,0,G379-G367)</f>
        <v>-1.14470200000001</v>
      </c>
      <c r="AF379" s="164" t="n">
        <f aca="false">IF(ABS(G379/G367-1)&lt;0.0005,0,(G379/G367-1))</f>
        <v>-0.008878219773226</v>
      </c>
      <c r="AG379" s="57" t="n">
        <f aca="false">(G379/1.2)-57.95</f>
        <v>48.5408575</v>
      </c>
      <c r="AH379" s="163" t="n">
        <f aca="false">IF(ABS(AG379-AG378)&lt;0.05,0,AG379-AG378)</f>
        <v>-4.03776500000002</v>
      </c>
      <c r="AI379" s="164" t="n">
        <f aca="false">IF(ABS(AG379/AG378-1)&lt;0.0005,0,(AG379/AG378-1))</f>
        <v>-0.0767948038197467</v>
      </c>
      <c r="AJ379" s="163" t="n">
        <f aca="false">IF(ABS(AG379-AG367)&lt;0.05,0,AG379-AG367)</f>
        <v>-0.953918333333334</v>
      </c>
      <c r="AK379" s="155" t="n">
        <f aca="false">IF(ABS(AG379/AG367-1)&lt;0.0005,0,(AG379/AG367-1))</f>
        <v>-0.0192731115006061</v>
      </c>
      <c r="AL379" s="185"/>
      <c r="AM379" s="156" t="n">
        <f aca="false">IF(E379="..","",A379)</f>
        <v>43862</v>
      </c>
      <c r="AN379" s="57" t="n">
        <f aca="false">IF(ABS(E379-E378)&lt;0.05,0,E379-E378)</f>
        <v>-3.11065000000002</v>
      </c>
      <c r="AO379" s="164" t="n">
        <f aca="false">IF(ABS(E379/E378-1)&lt;0.0005,0,(E379/E378-1))</f>
        <v>-0.0223447565239719</v>
      </c>
      <c r="AP379" s="163" t="n">
        <f aca="false">IF(ABS(E379-E367)&lt;0.05,0,E379-E367)</f>
        <v>6.80651599999999</v>
      </c>
      <c r="AQ379" s="164" t="n">
        <f aca="false">IF(ABS(E379/E367-1)&lt;0.0005,0,(E379/E367-1))</f>
        <v>0.0526435219017303</v>
      </c>
      <c r="AR379" s="57" t="n">
        <f aca="false">(E379/1.2)-57.95</f>
        <v>55.4674841666667</v>
      </c>
      <c r="AS379" s="163" t="n">
        <f aca="false">IF(ABS(AR379-AR378)&lt;0.05,0,AR379-AR378)</f>
        <v>-2.59220833333335</v>
      </c>
      <c r="AT379" s="164" t="n">
        <f aca="false">IF(ABS(AR379/AR378-1)&lt;0.0005,0,(AR379/AR378-1))</f>
        <v>-0.0446472969751492</v>
      </c>
      <c r="AU379" s="163" t="n">
        <f aca="false">IF(ABS(AR379-AR367)&lt;0.05,0,AR379-AR367)</f>
        <v>5.67209666666666</v>
      </c>
      <c r="AV379" s="155" t="n">
        <f aca="false">IF(ABS(AR379/AR367-1)&lt;0.0005,0,(AR379/AR367-1))</f>
        <v>0.113908073647718</v>
      </c>
      <c r="AW379" s="185"/>
      <c r="AX379" s="163" t="n">
        <f aca="false">IF(ABS(H379-H378)&lt;0.05,0,H379-H378)</f>
        <v>-7.135</v>
      </c>
      <c r="AY379" s="164" t="n">
        <f aca="false">IF(ABS(H379/H378-1)&lt;0.0005,0,(H379/H378-1))</f>
        <v>-0.148038259642716</v>
      </c>
      <c r="AZ379" s="163" t="n">
        <f aca="false">IF(ABS(H379-H367)&lt;0.05,0,H379-H367)</f>
        <v>-6.155</v>
      </c>
      <c r="BA379" s="164" t="n">
        <f aca="false">IF(ABS(H379/H367-1)&lt;0.0005,0,(H379/H367-1))</f>
        <v>-0.130355592265498</v>
      </c>
      <c r="BB379" s="57" t="n">
        <f aca="false">(H379/1.05)</f>
        <v>39.1066666666667</v>
      </c>
      <c r="BC379" s="163" t="n">
        <f aca="false">IF(ABS(BB379-BB378)&lt;0.05,0,BB379-BB378)</f>
        <v>-6.79523809523809</v>
      </c>
      <c r="BD379" s="164" t="n">
        <f aca="false">IF(ABS(BB379/BB378-1)&lt;0.0005,0,(BB379/BB378-1))</f>
        <v>-0.148038259642716</v>
      </c>
      <c r="BE379" s="163" t="n">
        <f aca="false">IF(ABS(BB379-BB367)&lt;0.05,0,BB379-BB367)</f>
        <v>-5.86190476190476</v>
      </c>
      <c r="BF379" s="155" t="n">
        <f aca="false">IF(ABS(BB379/BB367-1)&lt;0.0005,0,(BB379/BB367-1))</f>
        <v>-0.130355592265498</v>
      </c>
      <c r="BG379" s="185"/>
      <c r="BH379" s="163" t="n">
        <f aca="false">IF(ABS(I379-I378)&lt;0.05,0,I379-I378)</f>
        <v>-5.61976199999999</v>
      </c>
      <c r="BI379" s="164" t="n">
        <f aca="false">IF(ABS(I379/I378-1)&lt;0.0005,0,(I379/I378-1))</f>
        <v>-0.09394443152143</v>
      </c>
      <c r="BJ379" s="163" t="n">
        <f aca="false">IF(ABS(I379-I367)&lt;0.05,0,I379-I367)</f>
        <v>-5.13355899999999</v>
      </c>
      <c r="BK379" s="164" t="n">
        <f aca="false">IF(ABS(I379/I367-1)&lt;0.0005,0,(I379/I367-1))</f>
        <v>-0.0865198864014615</v>
      </c>
      <c r="BL379" s="57" t="n">
        <f aca="false">(I379/1.05)-11.14</f>
        <v>40.4793361904762</v>
      </c>
      <c r="BM379" s="163" t="n">
        <f aca="false">IF(ABS(BL379-BL378)&lt;0.05,0,BL379-BL378)</f>
        <v>-5.35215428571428</v>
      </c>
      <c r="BN379" s="164" t="n">
        <f aca="false">IF(ABS(BL379/BL378-1)&lt;0.0005,0,(BL379/BL378-1))</f>
        <v>-0.116778970749265</v>
      </c>
      <c r="BO379" s="163" t="n">
        <f aca="false">IF(ABS(BL379-BL367)&lt;0.05,0,BL379-BL367)</f>
        <v>-4.8891038095238</v>
      </c>
      <c r="BP379" s="155" t="n">
        <f aca="false">IF(ABS(BL379/BL367-1)&lt;0.0005,0,(BL379/BL367-1))</f>
        <v>-0.10776442411341</v>
      </c>
      <c r="BQ379" s="185"/>
    </row>
    <row r="380" customFormat="false" ht="12.75" hidden="false" customHeight="false" outlineLevel="0" collapsed="false">
      <c r="A380" s="156" t="n">
        <v>43891</v>
      </c>
      <c r="B380" s="73" t="n">
        <f aca="false">'4.1.1'!A385</f>
        <v>2020</v>
      </c>
      <c r="C380" s="157" t="str">
        <f aca="false">'4.1.1'!B385</f>
        <v>March</v>
      </c>
      <c r="D380" s="198"/>
      <c r="E380" s="159" t="n">
        <f aca="false">'4.1.1'!D385</f>
        <v>132.738015</v>
      </c>
      <c r="F380" s="35" t="n">
        <f aca="false">'4.1.1'!E385</f>
        <v>120.23922409101</v>
      </c>
      <c r="G380" s="35" t="n">
        <f aca="false">'4.1.1'!F385</f>
        <v>124.088271</v>
      </c>
      <c r="H380" s="159" t="n">
        <f aca="false">'4.1.1'!G385</f>
        <v>31.941</v>
      </c>
      <c r="I380" s="159" t="n">
        <f aca="false">'4.1.1'!H385</f>
        <v>46.225133</v>
      </c>
      <c r="J380" s="178"/>
      <c r="K380" s="200" t="n">
        <f aca="false">'4.1.1'!I385</f>
        <v>61.6835207720992</v>
      </c>
      <c r="L380" s="199"/>
      <c r="M380" s="160" t="n">
        <f aca="false">G380-F380</f>
        <v>3.84904690898958</v>
      </c>
      <c r="N380" s="195"/>
      <c r="O380" s="196"/>
      <c r="P380" s="197"/>
      <c r="Q380" s="197"/>
      <c r="R380" s="185"/>
      <c r="S380" s="57" t="n">
        <f aca="false">IF(ABS(F380-F379)&lt;0.05,0,F380-F379)</f>
        <v>-3.33784786759003</v>
      </c>
      <c r="T380" s="178" t="n">
        <f aca="false">IF((ABS(G380/G379-1))&lt;0.0005,0,(G380/G379-1))</f>
        <v>-0.0289599039053657</v>
      </c>
      <c r="U380" s="163" t="n">
        <f aca="false">IF(ABS(F380-F368)&lt;0.05,0,F380-F368)</f>
        <v>-0.172669713126552</v>
      </c>
      <c r="V380" s="164" t="n">
        <f aca="false">IF(ABS(F380/F368-1)&lt;0.0005,0,(F380/F368-1))</f>
        <v>-0.00143399217196449</v>
      </c>
      <c r="W380" s="57" t="n">
        <f aca="false">(F380/1.2)-57.95</f>
        <v>42.2493534091754</v>
      </c>
      <c r="X380" s="163" t="n">
        <f aca="false">IF(ABS(W380-W379)&lt;0.05,0,W380-W379)</f>
        <v>-2.78153988965836</v>
      </c>
      <c r="Y380" s="184" t="n">
        <f aca="false">IF(ABS(W380/W379-1)&lt;0.0005,0,(W380/W379-1))</f>
        <v>-0.0617695916267866</v>
      </c>
      <c r="Z380" s="163" t="n">
        <f aca="false">IF(ABS(W380-W368)&lt;0.05,0,W380-W368)</f>
        <v>-0.143891427605453</v>
      </c>
      <c r="AA380" s="155" t="n">
        <f aca="false">IF(ABS(W380/W368-1)&lt;0.0005,0,(W380/W368-1))</f>
        <v>-0.0033942065100101</v>
      </c>
      <c r="AB380" s="185"/>
      <c r="AC380" s="57" t="n">
        <f aca="false">IF(ABS(G380-G379)&lt;0.05,0,G380-G379)</f>
        <v>-3.70075799999999</v>
      </c>
      <c r="AD380" s="164" t="n">
        <f aca="false">IF(ABS(G380/G379-1)&lt;0.0005,0,(G380/G379-1))</f>
        <v>-0.0289599039053657</v>
      </c>
      <c r="AE380" s="163" t="n">
        <f aca="false">IF(ABS(G380-G368)&lt;0.05,0,G380-G368)</f>
        <v>-6.62899100000001</v>
      </c>
      <c r="AF380" s="164" t="n">
        <f aca="false">IF(ABS(G380/G368-1)&lt;0.0005,0,(G380/G368-1))</f>
        <v>-0.0507124376580043</v>
      </c>
      <c r="AG380" s="57" t="n">
        <f aca="false">(G380/1.2)-57.95</f>
        <v>45.4568925</v>
      </c>
      <c r="AH380" s="163" t="n">
        <f aca="false">IF(ABS(AG380-AG379)&lt;0.05,0,AG380-AG379)</f>
        <v>-3.08396499999999</v>
      </c>
      <c r="AI380" s="164" t="n">
        <f aca="false">IF(ABS(AG380/AG379-1)&lt;0.0005,0,(AG380/AG379-1))</f>
        <v>-0.0635333852517952</v>
      </c>
      <c r="AJ380" s="163" t="n">
        <f aca="false">IF(ABS(AG380-AG368)&lt;0.05,0,AG380-AG368)</f>
        <v>-5.52415916666668</v>
      </c>
      <c r="AK380" s="155" t="n">
        <f aca="false">IF(ABS(AG380/AG368-1)&lt;0.0005,0,(AG380/AG368-1))</f>
        <v>-0.108357104964913</v>
      </c>
      <c r="AL380" s="185"/>
      <c r="AM380" s="156" t="n">
        <f aca="false">IF(E380="..","",A380)</f>
        <v>43891</v>
      </c>
      <c r="AN380" s="57" t="n">
        <f aca="false">IF(ABS(E380-E379)&lt;0.05,0,E380-E379)</f>
        <v>-3.362966</v>
      </c>
      <c r="AO380" s="164" t="n">
        <f aca="false">IF(ABS(E380/E379-1)&lt;0.0005,0,(E380/E379-1))</f>
        <v>-0.0247093443066365</v>
      </c>
      <c r="AP380" s="163" t="n">
        <f aca="false">IF(ABS(E380-E368)&lt;0.05,0,E380-E368)</f>
        <v>0.926759999999945</v>
      </c>
      <c r="AQ380" s="164" t="n">
        <f aca="false">IF(ABS(E380/E368-1)&lt;0.0005,0,(E380/E368-1))</f>
        <v>0.00703096256840841</v>
      </c>
      <c r="AR380" s="57" t="n">
        <f aca="false">(E380/1.2)-57.95</f>
        <v>52.6650125</v>
      </c>
      <c r="AS380" s="163" t="n">
        <f aca="false">IF(ABS(AR380-AR379)&lt;0.05,0,AR380-AR379)</f>
        <v>-2.80247166666668</v>
      </c>
      <c r="AT380" s="164" t="n">
        <f aca="false">IF(ABS(AR380/AR379-1)&lt;0.0005,0,(AR380/AR379-1))</f>
        <v>-0.0505245858681082</v>
      </c>
      <c r="AU380" s="163" t="n">
        <f aca="false">IF(ABS(AR380-AR368)&lt;0.05,0,AR380-AR368)</f>
        <v>0.772299999999945</v>
      </c>
      <c r="AV380" s="155" t="n">
        <f aca="false">IF(ABS(AR380/AR368-1)&lt;0.0005,0,(AR380/AR368-1))</f>
        <v>0.0148826292323792</v>
      </c>
      <c r="AW380" s="185"/>
      <c r="AX380" s="163" t="n">
        <f aca="false">IF(ABS(H380-H379)&lt;0.05,0,H380-H379)</f>
        <v>-9.121</v>
      </c>
      <c r="AY380" s="164" t="n">
        <f aca="false">IF(ABS(H380/H379-1)&lt;0.0005,0,(H380/H379-1))</f>
        <v>-0.222127514490283</v>
      </c>
      <c r="AZ380" s="163" t="n">
        <f aca="false">IF(ABS(H380-H368)&lt;0.05,0,H380-H368)</f>
        <v>-14.652</v>
      </c>
      <c r="BA380" s="164" t="n">
        <f aca="false">IF(ABS(H380/H368-1)&lt;0.0005,0,(H380/H368-1))</f>
        <v>-0.314467838516515</v>
      </c>
      <c r="BB380" s="57" t="n">
        <f aca="false">(H380/1.05)</f>
        <v>30.42</v>
      </c>
      <c r="BC380" s="163" t="n">
        <f aca="false">IF(ABS(BB380-BB379)&lt;0.05,0,BB380-BB379)</f>
        <v>-8.68666666666666</v>
      </c>
      <c r="BD380" s="164" t="n">
        <f aca="false">IF(ABS(BB380/BB379-1)&lt;0.0005,0,(BB380/BB379-1))</f>
        <v>-0.222127514490283</v>
      </c>
      <c r="BE380" s="163" t="n">
        <f aca="false">IF(ABS(BB380-BB368)&lt;0.05,0,BB380-BB368)</f>
        <v>-13.9542857142857</v>
      </c>
      <c r="BF380" s="155" t="n">
        <f aca="false">IF(ABS(BB380/BB368-1)&lt;0.0005,0,(BB380/BB368-1))</f>
        <v>-0.314467838516515</v>
      </c>
      <c r="BG380" s="185"/>
      <c r="BH380" s="163" t="n">
        <f aca="false">IF(ABS(I380-I379)&lt;0.05,0,I380-I379)</f>
        <v>-7.97517</v>
      </c>
      <c r="BI380" s="164" t="n">
        <f aca="false">IF(ABS(I380/I379-1)&lt;0.0005,0,(I380/I379-1))</f>
        <v>-0.147142535347081</v>
      </c>
      <c r="BJ380" s="163" t="n">
        <f aca="false">IF(ABS(I380-I368)&lt;0.05,0,I380-I368)</f>
        <v>-11.920435</v>
      </c>
      <c r="BK380" s="164" t="n">
        <f aca="false">IF(ABS(I380/I368-1)&lt;0.0005,0,(I380/I368-1))</f>
        <v>-0.205010208172702</v>
      </c>
      <c r="BL380" s="57" t="n">
        <f aca="false">(I380/1.05)-11.14</f>
        <v>32.8839361904762</v>
      </c>
      <c r="BM380" s="163" t="n">
        <f aca="false">IF(ABS(BL380-BL379)&lt;0.05,0,BL380-BL379)</f>
        <v>-7.5954</v>
      </c>
      <c r="BN380" s="164" t="n">
        <f aca="false">IF(ABS(BL380/BL379-1)&lt;0.0005,0,(BL380/BL379-1))</f>
        <v>-0.1876364761581</v>
      </c>
      <c r="BO380" s="163" t="n">
        <f aca="false">IF(ABS(BL380-BL368)&lt;0.05,0,BL380-BL368)</f>
        <v>-11.3527952380952</v>
      </c>
      <c r="BP380" s="155" t="n">
        <f aca="false">IF(ABS(BL380/BL368-1)&lt;0.0005,0,(BL380/BL368-1))</f>
        <v>-0.256637298269346</v>
      </c>
      <c r="BQ380" s="185"/>
    </row>
    <row r="381" customFormat="false" ht="12.75" hidden="false" customHeight="false" outlineLevel="0" collapsed="false">
      <c r="A381" s="156" t="n">
        <v>43922</v>
      </c>
      <c r="B381" s="73" t="n">
        <f aca="false">'4.1.1'!A386</f>
        <v>2020</v>
      </c>
      <c r="C381" s="157" t="str">
        <f aca="false">'4.1.1'!B386</f>
        <v>April</v>
      </c>
      <c r="D381" s="198"/>
      <c r="E381" s="159" t="n">
        <f aca="false">'4.1.1'!D386</f>
        <v>123.127722</v>
      </c>
      <c r="F381" s="35" t="n">
        <f aca="false">'4.1.1'!E386</f>
        <v>108.9702489401</v>
      </c>
      <c r="G381" s="35" t="n">
        <f aca="false">'4.1.1'!F386</f>
        <v>115.813428</v>
      </c>
      <c r="H381" s="159" t="n">
        <f aca="false">'4.1.1'!G386</f>
        <v>22.42</v>
      </c>
      <c r="I381" s="159" t="n">
        <f aca="false">'4.1.1'!H386</f>
        <v>41.22668</v>
      </c>
      <c r="J381" s="178"/>
      <c r="K381" s="200" t="n">
        <f aca="false">'4.1.1'!I386</f>
        <v>37.7338937970745</v>
      </c>
      <c r="L381" s="199"/>
      <c r="M381" s="160" t="n">
        <f aca="false">G381-F381</f>
        <v>6.84317905989998</v>
      </c>
      <c r="N381" s="195"/>
      <c r="O381" s="196"/>
      <c r="P381" s="197"/>
      <c r="Q381" s="197"/>
      <c r="R381" s="185"/>
      <c r="S381" s="57" t="n">
        <f aca="false">IF(ABS(F381-F380)&lt;0.05,0,F381-F380)</f>
        <v>-11.2689751509104</v>
      </c>
      <c r="T381" s="178" t="n">
        <f aca="false">IF((ABS(G381/G380-1))&lt;0.0005,0,(G381/G380-1))</f>
        <v>-0.0666851341655006</v>
      </c>
      <c r="U381" s="163" t="n">
        <f aca="false">IF(ABS(F381-F369)&lt;0.05,0,F381-F369)</f>
        <v>-15.1252970772913</v>
      </c>
      <c r="V381" s="164" t="n">
        <f aca="false">IF(ABS(F381/F369-1)&lt;0.0005,0,(F381/F369-1))</f>
        <v>-0.121884286444669</v>
      </c>
      <c r="W381" s="57" t="n">
        <f aca="false">(F381/1.2)-57.95</f>
        <v>32.8585407834167</v>
      </c>
      <c r="X381" s="163" t="n">
        <f aca="false">IF(ABS(W381-W380)&lt;0.05,0,W381-W380)</f>
        <v>-9.39081262575867</v>
      </c>
      <c r="Y381" s="184" t="n">
        <f aca="false">IF(ABS(W381/W380-1)&lt;0.0005,0,(W381/W380-1))</f>
        <v>-0.222271156076894</v>
      </c>
      <c r="Z381" s="163" t="n">
        <f aca="false">IF(ABS(W381-W369)&lt;0.05,0,W381-W369)</f>
        <v>-12.6044142310761</v>
      </c>
      <c r="AA381" s="155" t="n">
        <f aca="false">IF(ABS(W381/W369-1)&lt;0.0005,0,(W381/W369-1))</f>
        <v>-0.277245819746166</v>
      </c>
      <c r="AB381" s="185"/>
      <c r="AC381" s="57" t="n">
        <f aca="false">IF(ABS(G381-G380)&lt;0.05,0,G381-G380)</f>
        <v>-8.274843</v>
      </c>
      <c r="AD381" s="164" t="n">
        <f aca="false">IF(ABS(G381/G380-1)&lt;0.0005,0,(G381/G380-1))</f>
        <v>-0.0666851341655006</v>
      </c>
      <c r="AE381" s="163" t="n">
        <f aca="false">IF(ABS(G381-G369)&lt;0.05,0,G381-G369)</f>
        <v>-17.039272</v>
      </c>
      <c r="AF381" s="164" t="n">
        <f aca="false">IF(ABS(G381/G369-1)&lt;0.0005,0,(G381/G369-1))</f>
        <v>-0.128256873966431</v>
      </c>
      <c r="AG381" s="57" t="n">
        <f aca="false">(G381/1.2)-57.95</f>
        <v>38.56119</v>
      </c>
      <c r="AH381" s="163" t="n">
        <f aca="false">IF(ABS(AG381-AG380)&lt;0.05,0,AG381-AG380)</f>
        <v>-6.89570250000001</v>
      </c>
      <c r="AI381" s="164" t="n">
        <f aca="false">IF(ABS(AG381/AG380-1)&lt;0.0005,0,(AG381/AG380-1))</f>
        <v>-0.151697622093283</v>
      </c>
      <c r="AJ381" s="163" t="n">
        <f aca="false">IF(ABS(AG381-AG369)&lt;0.05,0,AG381-AG369)</f>
        <v>-14.1993933333333</v>
      </c>
      <c r="AK381" s="155" t="n">
        <f aca="false">IF(ABS(AG381/AG369-1)&lt;0.0005,0,(AG381/AG369-1))</f>
        <v>-0.269128816177481</v>
      </c>
      <c r="AL381" s="185"/>
      <c r="AM381" s="156" t="n">
        <f aca="false">IF(E381="..","",A381)</f>
        <v>43922</v>
      </c>
      <c r="AN381" s="57" t="n">
        <f aca="false">IF(ABS(E381-E380)&lt;0.05,0,E381-E380)</f>
        <v>-9.610293</v>
      </c>
      <c r="AO381" s="164" t="n">
        <f aca="false">IF(ABS(E381/E380-1)&lt;0.0005,0,(E381/E380-1))</f>
        <v>-0.0724004573972271</v>
      </c>
      <c r="AP381" s="163" t="n">
        <f aca="false">IF(ABS(E381-E369)&lt;0.05,0,E381-E369)</f>
        <v>-12.356553</v>
      </c>
      <c r="AQ381" s="164" t="n">
        <f aca="false">IF(ABS(E381/E369-1)&lt;0.0005,0,(E381/E369-1))</f>
        <v>-0.0912028573057651</v>
      </c>
      <c r="AR381" s="57" t="n">
        <f aca="false">(E381/1.2)-57.95</f>
        <v>44.656435</v>
      </c>
      <c r="AS381" s="163" t="n">
        <f aca="false">IF(ABS(AR381-AR380)&lt;0.05,0,AR381-AR380)</f>
        <v>-8.0085775</v>
      </c>
      <c r="AT381" s="164" t="n">
        <f aca="false">IF(ABS(AR381/AR380-1)&lt;0.0005,0,(AR381/AR380-1))</f>
        <v>-0.152066374236596</v>
      </c>
      <c r="AU381" s="163" t="n">
        <f aca="false">IF(ABS(AR381-AR369)&lt;0.05,0,AR381-AR369)</f>
        <v>-10.2971275</v>
      </c>
      <c r="AV381" s="155" t="n">
        <f aca="false">IF(ABS(AR381/AR369-1)&lt;0.0005,0,(AR381/AR369-1))</f>
        <v>-0.187378707249417</v>
      </c>
      <c r="AW381" s="185"/>
      <c r="AX381" s="163" t="n">
        <f aca="false">IF(ABS(H381-H380)&lt;0.05,0,H381-H380)</f>
        <v>-9.521</v>
      </c>
      <c r="AY381" s="164" t="n">
        <f aca="false">IF(ABS(H381/H380-1)&lt;0.0005,0,(H381/H380-1))</f>
        <v>-0.298080836542375</v>
      </c>
      <c r="AZ381" s="163" t="n">
        <f aca="false">IF(ABS(H381-H369)&lt;0.05,0,H381-H369)</f>
        <v>-25.447</v>
      </c>
      <c r="BA381" s="164" t="n">
        <f aca="false">IF(ABS(H381/H369-1)&lt;0.0005,0,(H381/H369-1))</f>
        <v>-0.531618860592893</v>
      </c>
      <c r="BB381" s="57" t="n">
        <f aca="false">(H381/1.05)</f>
        <v>21.352380952381</v>
      </c>
      <c r="BC381" s="163" t="n">
        <f aca="false">IF(ABS(BB381-BB380)&lt;0.05,0,BB381-BB380)</f>
        <v>-9.06761904761905</v>
      </c>
      <c r="BD381" s="164" t="n">
        <f aca="false">IF(ABS(BB381/BB380-1)&lt;0.0005,0,(BB381/BB380-1))</f>
        <v>-0.298080836542375</v>
      </c>
      <c r="BE381" s="163" t="n">
        <f aca="false">IF(ABS(BB381-BB369)&lt;0.05,0,BB381-BB369)</f>
        <v>-24.2352380952381</v>
      </c>
      <c r="BF381" s="155" t="n">
        <f aca="false">IF(ABS(BB381/BB369-1)&lt;0.0005,0,(BB381/BB369-1))</f>
        <v>-0.531618860592893</v>
      </c>
      <c r="BG381" s="185"/>
      <c r="BH381" s="163" t="n">
        <f aca="false">IF(ABS(I381-I380)&lt;0.05,0,I381-I380)</f>
        <v>-4.99845300000001</v>
      </c>
      <c r="BI381" s="164" t="n">
        <f aca="false">IF(ABS(I381/I380-1)&lt;0.0005,0,(I381/I380-1))</f>
        <v>-0.108132798666042</v>
      </c>
      <c r="BJ381" s="163" t="n">
        <f aca="false">IF(ABS(I381-I369)&lt;0.05,0,I381-I369)</f>
        <v>-18.952608</v>
      </c>
      <c r="BK381" s="164" t="n">
        <f aca="false">IF(ABS(I381/I369-1)&lt;0.0005,0,(I381/I369-1))</f>
        <v>-0.314935730047188</v>
      </c>
      <c r="BL381" s="57" t="n">
        <f aca="false">(I381/1.05)-11.14</f>
        <v>28.1235047619048</v>
      </c>
      <c r="BM381" s="163" t="n">
        <f aca="false">IF(ABS(BL381-BL380)&lt;0.05,0,BL381-BL380)</f>
        <v>-4.76043142857144</v>
      </c>
      <c r="BN381" s="164" t="n">
        <f aca="false">IF(ABS(BL381/BL380-1)&lt;0.0005,0,(BL381/BL380-1))</f>
        <v>-0.144764647425333</v>
      </c>
      <c r="BO381" s="163" t="n">
        <f aca="false">IF(ABS(BL381-BL369)&lt;0.05,0,BL381-BL369)</f>
        <v>-18.0501028571429</v>
      </c>
      <c r="BP381" s="155" t="n">
        <f aca="false">IF(ABS(BL381/BL369-1)&lt;0.0005,0,(BL381/BL369-1))</f>
        <v>-0.390918184389318</v>
      </c>
      <c r="BQ381" s="185"/>
    </row>
    <row r="382" customFormat="false" ht="12.75" hidden="false" customHeight="false" outlineLevel="0" collapsed="false">
      <c r="A382" s="156" t="n">
        <v>43952</v>
      </c>
      <c r="B382" s="73" t="n">
        <f aca="false">'4.1.1'!A387</f>
        <v>2020</v>
      </c>
      <c r="C382" s="157" t="str">
        <f aca="false">'4.1.1'!B387</f>
        <v>May</v>
      </c>
      <c r="D382" s="198"/>
      <c r="E382" s="159" t="n">
        <f aca="false">'4.1.1'!D387</f>
        <v>118.845713</v>
      </c>
      <c r="F382" s="35" t="n">
        <f aca="false">'4.1.1'!E387</f>
        <v>104.779559784489</v>
      </c>
      <c r="G382" s="35" t="n">
        <f aca="false">'4.1.1'!F387</f>
        <v>111.615755</v>
      </c>
      <c r="H382" s="159" t="n">
        <f aca="false">'4.1.1'!G387</f>
        <v>20.264</v>
      </c>
      <c r="I382" s="159" t="n">
        <f aca="false">'4.1.1'!H387</f>
        <v>38.399378</v>
      </c>
      <c r="J382" s="178"/>
      <c r="K382" s="200" t="n">
        <f aca="false">'4.1.1'!I387</f>
        <v>42.966051444769</v>
      </c>
      <c r="L382" s="199"/>
      <c r="M382" s="160" t="n">
        <f aca="false">G382-F382</f>
        <v>6.83619521551127</v>
      </c>
      <c r="N382" s="195"/>
      <c r="O382" s="196"/>
      <c r="P382" s="197"/>
      <c r="Q382" s="197"/>
      <c r="R382" s="185"/>
      <c r="S382" s="57" t="n">
        <f aca="false">IF(ABS(F382-F381)&lt;0.05,0,F382-F381)</f>
        <v>-4.1906891556113</v>
      </c>
      <c r="T382" s="178" t="n">
        <f aca="false">IF((ABS(G382/G381-1))&lt;0.0005,0,(G382/G381-1))</f>
        <v>-0.0362451321275112</v>
      </c>
      <c r="U382" s="163" t="n">
        <f aca="false">IF(ABS(F382-F370)&lt;0.05,0,F382-F370)</f>
        <v>-23.2898082670643</v>
      </c>
      <c r="V382" s="164" t="n">
        <f aca="false">IF(ABS(F382/F370-1)&lt;0.0005,0,(F382/F370-1))</f>
        <v>-0.181853074012899</v>
      </c>
      <c r="W382" s="57" t="n">
        <f aca="false">(F382/1.2)-57.95</f>
        <v>29.3662998204073</v>
      </c>
      <c r="X382" s="163" t="n">
        <f aca="false">IF(ABS(W382-W381)&lt;0.05,0,W382-W381)</f>
        <v>-3.49224096300942</v>
      </c>
      <c r="Y382" s="184" t="n">
        <f aca="false">IF(ABS(W382/W381-1)&lt;0.0005,0,(W382/W381-1))</f>
        <v>-0.106281072736252</v>
      </c>
      <c r="Z382" s="163" t="n">
        <f aca="false">IF(ABS(W382-W370)&lt;0.05,0,W382-W370)</f>
        <v>-19.408173555887</v>
      </c>
      <c r="AA382" s="155" t="n">
        <f aca="false">IF(ABS(W382/W370-1)&lt;0.0005,0,(W382/W370-1))</f>
        <v>-0.397916619338014</v>
      </c>
      <c r="AB382" s="185"/>
      <c r="AC382" s="57" t="n">
        <f aca="false">IF(ABS(G382-G381)&lt;0.05,0,G382-G381)</f>
        <v>-4.19767300000001</v>
      </c>
      <c r="AD382" s="164" t="n">
        <f aca="false">IF(ABS(G382/G381-1)&lt;0.0005,0,(G382/G381-1))</f>
        <v>-0.0362451321275112</v>
      </c>
      <c r="AE382" s="163" t="n">
        <f aca="false">IF(ABS(G382-G370)&lt;0.05,0,G382-G370)</f>
        <v>-23.712697</v>
      </c>
      <c r="AF382" s="164" t="n">
        <f aca="false">IF(ABS(G382/G370-1)&lt;0.0005,0,(G382/G370-1))</f>
        <v>-0.175223293029318</v>
      </c>
      <c r="AG382" s="57" t="n">
        <f aca="false">(G382/1.2)-57.95</f>
        <v>35.0631291666667</v>
      </c>
      <c r="AH382" s="163" t="n">
        <f aca="false">IF(ABS(AG382-AG381)&lt;0.05,0,AG382-AG381)</f>
        <v>-3.49806083333334</v>
      </c>
      <c r="AI382" s="164" t="n">
        <f aca="false">IF(ABS(AG382/AG381-1)&lt;0.0005,0,(AG382/AG381-1))</f>
        <v>-0.090714545721575</v>
      </c>
      <c r="AJ382" s="163" t="n">
        <f aca="false">IF(ABS(AG382-AG370)&lt;0.05,0,AG382-AG370)</f>
        <v>-19.7605808333334</v>
      </c>
      <c r="AK382" s="155" t="n">
        <f aca="false">IF(ABS(AG382/AG370-1)&lt;0.0005,0,(AG382/AG370-1))</f>
        <v>-0.360438591867156</v>
      </c>
      <c r="AL382" s="185"/>
      <c r="AM382" s="156" t="n">
        <f aca="false">IF(E382="..","",A382)</f>
        <v>43952</v>
      </c>
      <c r="AN382" s="57" t="n">
        <f aca="false">IF(ABS(E382-E381)&lt;0.05,0,E382-E381)</f>
        <v>-4.28200899999997</v>
      </c>
      <c r="AO382" s="164" t="n">
        <f aca="false">IF(ABS(E382/E381-1)&lt;0.0005,0,(E382/E381-1))</f>
        <v>-0.0347769692352464</v>
      </c>
      <c r="AP382" s="163" t="n">
        <f aca="false">IF(ABS(E382-E370)&lt;0.05,0,E382-E370)</f>
        <v>-20.236881</v>
      </c>
      <c r="AQ382" s="164" t="n">
        <f aca="false">IF(ABS(E382/E370-1)&lt;0.0005,0,(E382/E370-1))</f>
        <v>-0.145502614079803</v>
      </c>
      <c r="AR382" s="57" t="n">
        <f aca="false">(E382/1.2)-57.95</f>
        <v>41.0880941666667</v>
      </c>
      <c r="AS382" s="163" t="n">
        <f aca="false">IF(ABS(AR382-AR381)&lt;0.05,0,AR382-AR381)</f>
        <v>-3.56834083333331</v>
      </c>
      <c r="AT382" s="164" t="n">
        <f aca="false">IF(ABS(AR382/AR381-1)&lt;0.0005,0,(AR382/AR381-1))</f>
        <v>-0.079906531574527</v>
      </c>
      <c r="AU382" s="163" t="n">
        <f aca="false">IF(ABS(AR382-AR370)&lt;0.05,0,AR382-AR370)</f>
        <v>-16.8640675</v>
      </c>
      <c r="AV382" s="155" t="n">
        <f aca="false">IF(ABS(AR382/AR370-1)&lt;0.0005,0,(AR382/AR370-1))</f>
        <v>-0.290999800783963</v>
      </c>
      <c r="AW382" s="185"/>
      <c r="AX382" s="163" t="n">
        <f aca="false">IF(ABS(H382-H381)&lt;0.05,0,H382-H381)</f>
        <v>-2.156</v>
      </c>
      <c r="AY382" s="164" t="n">
        <f aca="false">IF(ABS(H382/H381-1)&lt;0.0005,0,(H382/H381-1))</f>
        <v>-0.0961641391614631</v>
      </c>
      <c r="AZ382" s="163" t="n">
        <f aca="false">IF(ABS(H382-H370)&lt;0.05,0,H382-H370)</f>
        <v>-27.571</v>
      </c>
      <c r="BA382" s="164" t="n">
        <f aca="false">IF(ABS(H382/H370-1)&lt;0.0005,0,(H382/H370-1))</f>
        <v>-0.576377129716735</v>
      </c>
      <c r="BB382" s="57" t="n">
        <f aca="false">(H382/1.05)</f>
        <v>19.2990476190476</v>
      </c>
      <c r="BC382" s="163" t="n">
        <f aca="false">IF(ABS(BB382-BB381)&lt;0.05,0,BB382-BB381)</f>
        <v>-2.05333333333334</v>
      </c>
      <c r="BD382" s="164" t="n">
        <f aca="false">IF(ABS(BB382/BB381-1)&lt;0.0005,0,(BB382/BB381-1))</f>
        <v>-0.0961641391614632</v>
      </c>
      <c r="BE382" s="163" t="n">
        <f aca="false">IF(ABS(BB382-BB370)&lt;0.05,0,BB382-BB370)</f>
        <v>-26.2580952380952</v>
      </c>
      <c r="BF382" s="155" t="n">
        <f aca="false">IF(ABS(BB382/BB370-1)&lt;0.0005,0,(BB382/BB370-1))</f>
        <v>-0.576377129716735</v>
      </c>
      <c r="BG382" s="185"/>
      <c r="BH382" s="163" t="n">
        <f aca="false">IF(ABS(I382-I381)&lt;0.05,0,I382-I381)</f>
        <v>-2.827302</v>
      </c>
      <c r="BI382" s="164" t="n">
        <f aca="false">IF(ABS(I382/I381-1)&lt;0.0005,0,(I382/I381-1))</f>
        <v>-0.0685794247802636</v>
      </c>
      <c r="BJ382" s="163" t="n">
        <f aca="false">IF(ABS(I382-I370)&lt;0.05,0,I382-I370)</f>
        <v>-22.41066</v>
      </c>
      <c r="BK382" s="164" t="n">
        <f aca="false">IF(ABS(I382/I370-1)&lt;0.0005,0,(I382/I370-1))</f>
        <v>-0.368535536846729</v>
      </c>
      <c r="BL382" s="57" t="n">
        <f aca="false">(I382/1.05)-11.14</f>
        <v>25.4308361904762</v>
      </c>
      <c r="BM382" s="163" t="n">
        <f aca="false">IF(ABS(BL382-BL381)&lt;0.05,0,BL382-BL381)</f>
        <v>-2.69266857142857</v>
      </c>
      <c r="BN382" s="164" t="n">
        <f aca="false">IF(ABS(BL382/BL381-1)&lt;0.0005,0,(BL382/BL381-1))</f>
        <v>-0.0957444171423463</v>
      </c>
      <c r="BO382" s="163" t="n">
        <f aca="false">IF(ABS(BL382-BL370)&lt;0.05,0,BL382-BL370)</f>
        <v>-21.3434857142857</v>
      </c>
      <c r="BP382" s="155" t="n">
        <f aca="false">IF(ABS(BL382/BL370-1)&lt;0.0005,0,(BL382/BL370-1))</f>
        <v>-0.45630775273971</v>
      </c>
      <c r="BQ382" s="185"/>
    </row>
    <row r="383" customFormat="false" ht="12.75" hidden="false" customHeight="false" outlineLevel="0" collapsed="false">
      <c r="A383" s="156" t="n">
        <v>43983</v>
      </c>
      <c r="B383" s="73" t="n">
        <f aca="false">'4.1.1'!A388</f>
        <v>2020</v>
      </c>
      <c r="C383" s="157" t="str">
        <f aca="false">'4.1.1'!B388</f>
        <v>June</v>
      </c>
      <c r="D383" s="198"/>
      <c r="E383" s="159" t="n">
        <f aca="false">'4.1.1'!D388</f>
        <v>120.091045</v>
      </c>
      <c r="F383" s="35" t="n">
        <f aca="false">'4.1.1'!E388</f>
        <v>105.834731232342</v>
      </c>
      <c r="G383" s="35" t="n">
        <f aca="false">'4.1.1'!F388</f>
        <v>111.901504</v>
      </c>
      <c r="H383" s="159" t="n">
        <f aca="false">'4.1.1'!G388</f>
        <v>26.212</v>
      </c>
      <c r="I383" s="159" t="n">
        <f aca="false">'4.1.1'!H388</f>
        <v>43.236079</v>
      </c>
      <c r="J383" s="178"/>
      <c r="K383" s="200" t="n">
        <f aca="false">'4.1.1'!I388</f>
        <v>58.8778171228676</v>
      </c>
      <c r="L383" s="199"/>
      <c r="M383" s="160" t="n">
        <f aca="false">G383-F383</f>
        <v>6.06677276765842</v>
      </c>
      <c r="N383" s="195"/>
      <c r="O383" s="196"/>
      <c r="P383" s="197"/>
      <c r="Q383" s="197"/>
      <c r="R383" s="185"/>
      <c r="S383" s="57" t="n">
        <f aca="false">IF(ABS(F383-F382)&lt;0.05,0,F383-F382)</f>
        <v>1.05517144785284</v>
      </c>
      <c r="T383" s="178" t="n">
        <f aca="false">IF((ABS(G383/G382-1))&lt;0.0005,0,(G383/G382-1))</f>
        <v>0.00256011348935448</v>
      </c>
      <c r="U383" s="163" t="n">
        <f aca="false">IF(ABS(F383-F371)&lt;0.05,0,F383-F371)</f>
        <v>-21.7955242319675</v>
      </c>
      <c r="V383" s="164" t="n">
        <f aca="false">IF(ABS(F383/F371-1)&lt;0.0005,0,(F383/F371-1))</f>
        <v>-0.170770826656086</v>
      </c>
      <c r="W383" s="57" t="n">
        <f aca="false">(F383/1.2)-57.95</f>
        <v>30.2456093602846</v>
      </c>
      <c r="X383" s="163" t="n">
        <f aca="false">IF(ABS(W383-W382)&lt;0.05,0,W383-W382)</f>
        <v>0.879309539877369</v>
      </c>
      <c r="Y383" s="184" t="n">
        <f aca="false">IF(ABS(W383/W382-1)&lt;0.0005,0,(W383/W382-1))</f>
        <v>0.029942810134572</v>
      </c>
      <c r="Z383" s="163" t="n">
        <f aca="false">IF(ABS(W383-W371)&lt;0.05,0,W383-W371)</f>
        <v>-18.1629368599729</v>
      </c>
      <c r="AA383" s="155" t="n">
        <f aca="false">IF(ABS(W383/W371-1)&lt;0.0005,0,(W383/W371-1))</f>
        <v>-0.375201039447292</v>
      </c>
      <c r="AB383" s="185"/>
      <c r="AC383" s="57" t="n">
        <f aca="false">IF(ABS(G383-G382)&lt;0.05,0,G383-G382)</f>
        <v>0.285748999999996</v>
      </c>
      <c r="AD383" s="164" t="n">
        <f aca="false">IF(ABS(G383/G382-1)&lt;0.0005,0,(G383/G382-1))</f>
        <v>0.00256011348935448</v>
      </c>
      <c r="AE383" s="163" t="n">
        <f aca="false">IF(ABS(G383-G371)&lt;0.05,0,G383-G371)</f>
        <v>-21.488974</v>
      </c>
      <c r="AF383" s="164" t="n">
        <f aca="false">IF(ABS(G383/G371-1)&lt;0.0005,0,(G383/G371-1))</f>
        <v>-0.161098260701937</v>
      </c>
      <c r="AG383" s="57" t="n">
        <f aca="false">(G383/1.2)-57.95</f>
        <v>35.3012533333333</v>
      </c>
      <c r="AH383" s="163" t="n">
        <f aca="false">IF(ABS(AG383-AG382)&lt;0.05,0,AG383-AG382)</f>
        <v>0.238124166666665</v>
      </c>
      <c r="AI383" s="164" t="n">
        <f aca="false">IF(ABS(AG383/AG382-1)&lt;0.0005,0,(AG383/AG382-1))</f>
        <v>0.00679129821912872</v>
      </c>
      <c r="AJ383" s="163" t="n">
        <f aca="false">IF(ABS(AG383-AG371)&lt;0.05,0,AG383-AG371)</f>
        <v>-17.9074783333334</v>
      </c>
      <c r="AK383" s="155" t="n">
        <f aca="false">IF(ABS(AG383/AG371-1)&lt;0.0005,0,(AG383/AG371-1))</f>
        <v>-0.336551497703745</v>
      </c>
      <c r="AL383" s="185"/>
      <c r="AM383" s="156" t="n">
        <f aca="false">IF(E383="..","",A383)</f>
        <v>43983</v>
      </c>
      <c r="AN383" s="57" t="n">
        <f aca="false">IF(ABS(E383-E382)&lt;0.05,0,E383-E382)</f>
        <v>1.24533199999999</v>
      </c>
      <c r="AO383" s="164" t="n">
        <f aca="false">IF(ABS(E383/E382-1)&lt;0.0005,0,(E383/E382-1))</f>
        <v>0.0104785605518642</v>
      </c>
      <c r="AP383" s="163" t="n">
        <f aca="false">IF(ABS(E383-E371)&lt;0.05,0,E383-E371)</f>
        <v>-18.999568</v>
      </c>
      <c r="AQ383" s="164" t="n">
        <f aca="false">IF(ABS(E383/E371-1)&lt;0.0005,0,(E383/E371-1))</f>
        <v>-0.136598492092346</v>
      </c>
      <c r="AR383" s="57" t="n">
        <f aca="false">(E383/1.2)-57.95</f>
        <v>42.1258708333333</v>
      </c>
      <c r="AS383" s="163" t="n">
        <f aca="false">IF(ABS(AR383-AR382)&lt;0.05,0,AR383-AR382)</f>
        <v>1.03777666666666</v>
      </c>
      <c r="AT383" s="164" t="n">
        <f aca="false">IF(ABS(AR383/AR382-1)&lt;0.0005,0,(AR383/AR382-1))</f>
        <v>0.02525735709369</v>
      </c>
      <c r="AU383" s="163" t="n">
        <f aca="false">IF(ABS(AR383-AR371)&lt;0.05,0,AR383-AR371)</f>
        <v>-15.8329733333333</v>
      </c>
      <c r="AV383" s="155" t="n">
        <f aca="false">IF(ABS(AR383/AR371-1)&lt;0.0005,0,(AR383/AR371-1))</f>
        <v>-0.273176140086645</v>
      </c>
      <c r="AW383" s="185"/>
      <c r="AX383" s="163" t="n">
        <f aca="false">IF(ABS(H383-H382)&lt;0.05,0,H383-H382)</f>
        <v>5.948</v>
      </c>
      <c r="AY383" s="164" t="n">
        <f aca="false">IF(ABS(H383/H382-1)&lt;0.0005,0,(H383/H382-1))</f>
        <v>0.293525463876826</v>
      </c>
      <c r="AZ383" s="163" t="n">
        <f aca="false">IF(ABS(H383-H371)&lt;0.05,0,H383-H371)</f>
        <v>-18.059</v>
      </c>
      <c r="BA383" s="164" t="n">
        <f aca="false">IF(ABS(H383/H371-1)&lt;0.0005,0,(H383/H371-1))</f>
        <v>-0.407919405479885</v>
      </c>
      <c r="BB383" s="57" t="n">
        <f aca="false">(H383/1.05)</f>
        <v>24.9638095238095</v>
      </c>
      <c r="BC383" s="163" t="n">
        <f aca="false">IF(ABS(BB383-BB382)&lt;0.05,0,BB383-BB382)</f>
        <v>5.66476190476191</v>
      </c>
      <c r="BD383" s="164" t="n">
        <f aca="false">IF(ABS(BB383/BB382-1)&lt;0.0005,0,(BB383/BB382-1))</f>
        <v>0.293525463876826</v>
      </c>
      <c r="BE383" s="163" t="n">
        <f aca="false">IF(ABS(BB383-BB371)&lt;0.05,0,BB383-BB371)</f>
        <v>-17.1990476190476</v>
      </c>
      <c r="BF383" s="155" t="n">
        <f aca="false">IF(ABS(BB383/BB371-1)&lt;0.0005,0,(BB383/BB371-1))</f>
        <v>-0.407919405479885</v>
      </c>
      <c r="BG383" s="185"/>
      <c r="BH383" s="163" t="n">
        <f aca="false">IF(ABS(I383-I382)&lt;0.05,0,I383-I382)</f>
        <v>4.836701</v>
      </c>
      <c r="BI383" s="164" t="n">
        <f aca="false">IF(ABS(I383/I382-1)&lt;0.0005,0,(I383/I382-1))</f>
        <v>0.125957795462208</v>
      </c>
      <c r="BJ383" s="163" t="n">
        <f aca="false">IF(ABS(I383-I371)&lt;0.05,0,I383-I371)</f>
        <v>-14.023828</v>
      </c>
      <c r="BK383" s="164" t="n">
        <f aca="false">IF(ABS(I383/I371-1)&lt;0.0005,0,(I383/I371-1))</f>
        <v>-0.244915312209641</v>
      </c>
      <c r="BL383" s="57" t="n">
        <f aca="false">(I383/1.05)-11.14</f>
        <v>30.0372180952381</v>
      </c>
      <c r="BM383" s="163" t="n">
        <f aca="false">IF(ABS(BL383-BL382)&lt;0.05,0,BL383-BL382)</f>
        <v>4.6063819047619</v>
      </c>
      <c r="BN383" s="164" t="n">
        <f aca="false">IF(ABS(BL383/BL382-1)&lt;0.0005,0,(BL383/BL382-1))</f>
        <v>0.181133717753528</v>
      </c>
      <c r="BO383" s="163" t="n">
        <f aca="false">IF(ABS(BL383-BL371)&lt;0.05,0,BL383-BL371)</f>
        <v>-13.3560266666667</v>
      </c>
      <c r="BP383" s="155" t="n">
        <f aca="false">IF(ABS(BL383/BL371-1)&lt;0.0005,0,(BL383/BL371-1))</f>
        <v>-0.307790457707187</v>
      </c>
      <c r="BQ383" s="185"/>
    </row>
    <row r="384" customFormat="false" ht="12.75" hidden="false" customHeight="false" outlineLevel="0" collapsed="false">
      <c r="A384" s="156" t="n">
        <v>44013</v>
      </c>
      <c r="B384" s="73" t="n">
        <f aca="false">'4.1.1'!A389</f>
        <v>2020</v>
      </c>
      <c r="C384" s="157" t="str">
        <f aca="false">'4.1.1'!B389</f>
        <v>July</v>
      </c>
      <c r="D384" s="198"/>
      <c r="E384" s="159" t="n">
        <f aca="false">'4.1.1'!D389</f>
        <v>124.593939</v>
      </c>
      <c r="F384" s="35" t="n">
        <f aca="false">'4.1.1'!E389</f>
        <v>111.147340005531</v>
      </c>
      <c r="G384" s="35" t="n">
        <f aca="false">'4.1.1'!F389</f>
        <v>116.547634</v>
      </c>
      <c r="H384" s="159" t="n">
        <f aca="false">'4.1.1'!G389</f>
        <v>27.308</v>
      </c>
      <c r="I384" s="159" t="n">
        <f aca="false">'4.1.1'!H389</f>
        <v>46.035931</v>
      </c>
      <c r="J384" s="178"/>
      <c r="K384" s="200" t="n">
        <f aca="false">'4.1.1'!I389</f>
        <v>67.2244767515937</v>
      </c>
      <c r="L384" s="199"/>
      <c r="M384" s="160" t="n">
        <f aca="false">G384-F384</f>
        <v>5.40029399446911</v>
      </c>
      <c r="N384" s="195"/>
      <c r="O384" s="196"/>
      <c r="P384" s="197"/>
      <c r="Q384" s="197"/>
      <c r="R384" s="185"/>
      <c r="S384" s="57" t="n">
        <f aca="false">IF(ABS(F384-F383)&lt;0.05,0,F384-F383)</f>
        <v>5.31260877318933</v>
      </c>
      <c r="T384" s="178" t="n">
        <f aca="false">IF((ABS(G384/G383-1))&lt;0.0005,0,(G384/G383-1))</f>
        <v>0.0415198172850297</v>
      </c>
      <c r="U384" s="163" t="n">
        <f aca="false">IF(ABS(F384-F372)&lt;0.05,0,F384-F372)</f>
        <v>-16.2371012339573</v>
      </c>
      <c r="V384" s="164" t="n">
        <f aca="false">IF(ABS(F384/F372-1)&lt;0.0005,0,(F384/F372-1))</f>
        <v>-0.127465340947179</v>
      </c>
      <c r="W384" s="57" t="n">
        <f aca="false">(F384/1.2)-57.95</f>
        <v>34.6727833379424</v>
      </c>
      <c r="X384" s="163" t="n">
        <f aca="false">IF(ABS(W384-W383)&lt;0.05,0,W384-W383)</f>
        <v>4.42717397765777</v>
      </c>
      <c r="Y384" s="184" t="n">
        <f aca="false">IF(ABS(W384/W383-1)&lt;0.0005,0,(W384/W383-1))</f>
        <v>0.146374104251676</v>
      </c>
      <c r="Z384" s="163" t="n">
        <f aca="false">IF(ABS(W384-W372)&lt;0.05,0,W384-W372)</f>
        <v>-13.5309176949644</v>
      </c>
      <c r="AA384" s="155" t="n">
        <f aca="false">IF(ABS(W384/W372-1)&lt;0.0005,0,(W384/W372-1))</f>
        <v>-0.280702879758701</v>
      </c>
      <c r="AB384" s="185"/>
      <c r="AC384" s="57" t="n">
        <f aca="false">IF(ABS(G384-G383)&lt;0.05,0,G384-G383)</f>
        <v>4.64613000000001</v>
      </c>
      <c r="AD384" s="164" t="n">
        <f aca="false">IF(ABS(G384/G383-1)&lt;0.0005,0,(G384/G383-1))</f>
        <v>0.0415198172850297</v>
      </c>
      <c r="AE384" s="163" t="n">
        <f aca="false">IF(ABS(G384-G372)&lt;0.05,0,G384-G372)</f>
        <v>-15.213085</v>
      </c>
      <c r="AF384" s="164" t="n">
        <f aca="false">IF(ABS(G384/G372-1)&lt;0.0005,0,(G384/G372-1))</f>
        <v>-0.115459942200224</v>
      </c>
      <c r="AG384" s="57" t="n">
        <f aca="false">(G384/1.2)-57.95</f>
        <v>39.1730283333334</v>
      </c>
      <c r="AH384" s="163" t="n">
        <f aca="false">IF(ABS(AG384-AG383)&lt;0.05,0,AG384-AG383)</f>
        <v>3.87177500000001</v>
      </c>
      <c r="AI384" s="164" t="n">
        <f aca="false">IF(ABS(AG384/AG383-1)&lt;0.0005,0,(AG384/AG383-1))</f>
        <v>0.109678117188663</v>
      </c>
      <c r="AJ384" s="163" t="n">
        <f aca="false">IF(ABS(AG384-AG372)&lt;0.05,0,AG384-AG372)</f>
        <v>-12.6775708333333</v>
      </c>
      <c r="AK384" s="155" t="n">
        <f aca="false">IF(ABS(AG384/AG372-1)&lt;0.0005,0,(AG384/AG372-1))</f>
        <v>-0.244501915832891</v>
      </c>
      <c r="AL384" s="185"/>
      <c r="AM384" s="156" t="n">
        <f aca="false">IF(E384="..","",A384)</f>
        <v>44013</v>
      </c>
      <c r="AN384" s="57" t="n">
        <f aca="false">IF(ABS(E384-E383)&lt;0.05,0,E384-E383)</f>
        <v>4.502894</v>
      </c>
      <c r="AO384" s="164" t="n">
        <f aca="false">IF(ABS(E384/E383-1)&lt;0.0005,0,(E384/E383-1))</f>
        <v>0.0374956683905947</v>
      </c>
      <c r="AP384" s="163" t="n">
        <f aca="false">IF(ABS(E384-E372)&lt;0.05,0,E384-E372)</f>
        <v>-13.696833</v>
      </c>
      <c r="AQ384" s="164" t="n">
        <f aca="false">IF(ABS(E384/E372-1)&lt;0.0005,0,(E384/E372-1))</f>
        <v>-0.0990437236115798</v>
      </c>
      <c r="AR384" s="57" t="n">
        <f aca="false">(E384/1.2)-57.95</f>
        <v>45.8782825</v>
      </c>
      <c r="AS384" s="163" t="n">
        <f aca="false">IF(ABS(AR384-AR383)&lt;0.05,0,AR384-AR383)</f>
        <v>3.75241166666667</v>
      </c>
      <c r="AT384" s="164" t="n">
        <f aca="false">IF(ABS(AR384/AR383-1)&lt;0.0005,0,(AR384/AR383-1))</f>
        <v>0.0890761803242646</v>
      </c>
      <c r="AU384" s="163" t="n">
        <f aca="false">IF(ABS(AR384-AR372)&lt;0.05,0,AR384-AR372)</f>
        <v>-11.4140275</v>
      </c>
      <c r="AV384" s="155" t="n">
        <f aca="false">IF(ABS(AR384/AR372-1)&lt;0.0005,0,(AR384/AR372-1))</f>
        <v>-0.199224424709005</v>
      </c>
      <c r="AW384" s="185"/>
      <c r="AX384" s="163" t="n">
        <f aca="false">IF(ABS(H384-H383)&lt;0.05,0,H384-H383)</f>
        <v>1.096</v>
      </c>
      <c r="AY384" s="164" t="n">
        <f aca="false">IF(ABS(H384/H383-1)&lt;0.0005,0,(H384/H383-1))</f>
        <v>0.0418129101175033</v>
      </c>
      <c r="AZ384" s="163" t="n">
        <f aca="false">IF(ABS(H384-H372)&lt;0.05,0,H384-H372)</f>
        <v>-20.119</v>
      </c>
      <c r="BA384" s="164" t="n">
        <f aca="false">IF(ABS(H384/H372-1)&lt;0.0005,0,(H384/H372-1))</f>
        <v>-0.424209838277775</v>
      </c>
      <c r="BB384" s="57" t="n">
        <f aca="false">(H384/1.05)</f>
        <v>26.007619047619</v>
      </c>
      <c r="BC384" s="163" t="n">
        <f aca="false">IF(ABS(BB384-BB383)&lt;0.05,0,BB384-BB383)</f>
        <v>1.04380952380952</v>
      </c>
      <c r="BD384" s="164" t="n">
        <f aca="false">IF(ABS(BB384/BB383-1)&lt;0.0005,0,(BB384/BB383-1))</f>
        <v>0.0418129101175031</v>
      </c>
      <c r="BE384" s="163" t="n">
        <f aca="false">IF(ABS(BB384-BB372)&lt;0.05,0,BB384-BB372)</f>
        <v>-19.1609523809524</v>
      </c>
      <c r="BF384" s="155" t="n">
        <f aca="false">IF(ABS(BB384/BB372-1)&lt;0.0005,0,(BB384/BB372-1))</f>
        <v>-0.424209838277775</v>
      </c>
      <c r="BG384" s="185"/>
      <c r="BH384" s="163" t="n">
        <f aca="false">IF(ABS(I384-I383)&lt;0.05,0,I384-I383)</f>
        <v>2.799852</v>
      </c>
      <c r="BI384" s="164" t="n">
        <f aca="false">IF(ABS(I384/I383-1)&lt;0.0005,0,(I384/I383-1))</f>
        <v>0.0647573060452591</v>
      </c>
      <c r="BJ384" s="163" t="n">
        <f aca="false">IF(ABS(I384-I372)&lt;0.05,0,I384-I372)</f>
        <v>-13.72713</v>
      </c>
      <c r="BK384" s="164" t="n">
        <f aca="false">IF(ABS(I384/I372-1)&lt;0.0005,0,(I384/I372-1))</f>
        <v>-0.229692552059875</v>
      </c>
      <c r="BL384" s="57" t="n">
        <f aca="false">(I384/1.05)-11.14</f>
        <v>32.7037438095238</v>
      </c>
      <c r="BM384" s="163" t="n">
        <f aca="false">IF(ABS(BL384-BL383)&lt;0.05,0,BL384-BL383)</f>
        <v>2.66652571428572</v>
      </c>
      <c r="BN384" s="164" t="n">
        <f aca="false">IF(ABS(BL384/BL383-1)&lt;0.0005,0,(BL384/BL383-1))</f>
        <v>0.0887740570991311</v>
      </c>
      <c r="BO384" s="163" t="n">
        <f aca="false">IF(ABS(BL384-BL372)&lt;0.05,0,BL384-BL372)</f>
        <v>-13.0734571428571</v>
      </c>
      <c r="BP384" s="155" t="n">
        <f aca="false">IF(ABS(BL384/BL372-1)&lt;0.0005,0,(BL384/BL372-1))</f>
        <v>-0.285588827426487</v>
      </c>
      <c r="BQ384" s="185"/>
    </row>
    <row r="385" customFormat="false" ht="12.75" hidden="false" customHeight="false" outlineLevel="0" collapsed="false">
      <c r="A385" s="156" t="n">
        <v>44044</v>
      </c>
      <c r="B385" s="73" t="n">
        <f aca="false">'4.1.1'!A390</f>
        <v>2020</v>
      </c>
      <c r="C385" s="157" t="str">
        <f aca="false">'4.1.1'!B390</f>
        <v>August</v>
      </c>
      <c r="D385" s="198"/>
      <c r="E385" s="159" t="n">
        <f aca="false">'4.1.1'!D390</f>
        <v>126.336862</v>
      </c>
      <c r="F385" s="35" t="n">
        <f aca="false">'4.1.1'!E390</f>
        <v>112.765317806485</v>
      </c>
      <c r="G385" s="35" t="n">
        <f aca="false">'4.1.1'!F390</f>
        <v>117.674156</v>
      </c>
      <c r="H385" s="159" t="n">
        <f aca="false">'4.1.1'!G390</f>
        <v>27.206</v>
      </c>
      <c r="I385" s="159" t="n">
        <f aca="false">'4.1.1'!H390</f>
        <v>46.129862</v>
      </c>
      <c r="J385" s="178"/>
      <c r="K385" s="200" t="n">
        <f aca="false">'4.1.1'!I390</f>
        <v>67.3432028262698</v>
      </c>
      <c r="L385" s="199"/>
      <c r="M385" s="160" t="n">
        <f aca="false">G385-F385</f>
        <v>4.90883819351454</v>
      </c>
      <c r="N385" s="195"/>
      <c r="O385" s="196"/>
      <c r="P385" s="197"/>
      <c r="Q385" s="197"/>
      <c r="R385" s="185"/>
      <c r="S385" s="57" t="n">
        <f aca="false">IF(ABS(F385-F384)&lt;0.05,0,F385-F384)</f>
        <v>1.61797780095458</v>
      </c>
      <c r="T385" s="178" t="n">
        <f aca="false">IF((ABS(G385/G384-1))&lt;0.0005,0,(G385/G384-1))</f>
        <v>0.00966576464349345</v>
      </c>
      <c r="U385" s="163" t="n">
        <f aca="false">IF(ABS(F385-F373)&lt;0.05,0,F385-F373)</f>
        <v>-15.7443347020218</v>
      </c>
      <c r="V385" s="164" t="n">
        <f aca="false">IF(ABS(F385/F373-1)&lt;0.0005,0,(F385/F373-1))</f>
        <v>-0.122514802543564</v>
      </c>
      <c r="W385" s="57" t="n">
        <f aca="false">(F385/1.2)-57.95</f>
        <v>36.0210981720712</v>
      </c>
      <c r="X385" s="163" t="n">
        <f aca="false">IF(ABS(W385-W384)&lt;0.05,0,W385-W384)</f>
        <v>1.34831483412881</v>
      </c>
      <c r="Y385" s="184" t="n">
        <f aca="false">IF(ABS(W385/W384-1)&lt;0.0005,0,(W385/W384-1))</f>
        <v>0.0388868358501047</v>
      </c>
      <c r="Z385" s="163" t="n">
        <f aca="false">IF(ABS(W385-W373)&lt;0.05,0,W385-W373)</f>
        <v>-13.1202789183515</v>
      </c>
      <c r="AA385" s="155" t="n">
        <f aca="false">IF(ABS(W385/W373-1)&lt;0.0005,0,(W385/W373-1))</f>
        <v>-0.266990460894278</v>
      </c>
      <c r="AB385" s="185"/>
      <c r="AC385" s="57" t="n">
        <f aca="false">IF(ABS(G385-G384)&lt;0.05,0,G385-G384)</f>
        <v>1.12652200000001</v>
      </c>
      <c r="AD385" s="164" t="n">
        <f aca="false">IF(ABS(G385/G384-1)&lt;0.0005,0,(G385/G384-1))</f>
        <v>0.00966576464349345</v>
      </c>
      <c r="AE385" s="163" t="n">
        <f aca="false">IF(ABS(G385-G373)&lt;0.05,0,G385-G373)</f>
        <v>-14.902516</v>
      </c>
      <c r="AF385" s="164" t="n">
        <f aca="false">IF(ABS(G385/G373-1)&lt;0.0005,0,(G385/G373-1))</f>
        <v>-0.112406773945872</v>
      </c>
      <c r="AG385" s="57" t="n">
        <f aca="false">(G385/1.2)-57.95</f>
        <v>40.1117966666667</v>
      </c>
      <c r="AH385" s="163" t="n">
        <f aca="false">IF(ABS(AG385-AG384)&lt;0.05,0,AG385-AG384)</f>
        <v>0.938768333333343</v>
      </c>
      <c r="AI385" s="164" t="n">
        <f aca="false">IF(ABS(AG385/AG384-1)&lt;0.0005,0,(AG385/AG384-1))</f>
        <v>0.0239646607187252</v>
      </c>
      <c r="AJ385" s="163" t="n">
        <f aca="false">IF(ABS(AG385-AG373)&lt;0.05,0,AG385-AG373)</f>
        <v>-12.4187633333333</v>
      </c>
      <c r="AK385" s="155" t="n">
        <f aca="false">IF(ABS(AG385/AG373-1)&lt;0.0005,0,(AG385/AG373-1))</f>
        <v>-0.236410259729448</v>
      </c>
      <c r="AL385" s="185"/>
      <c r="AM385" s="156" t="n">
        <f aca="false">IF(E385="..","",A385)</f>
        <v>44044</v>
      </c>
      <c r="AN385" s="57" t="n">
        <f aca="false">IF(ABS(E385-E384)&lt;0.05,0,E385-E384)</f>
        <v>1.74292299999999</v>
      </c>
      <c r="AO385" s="164" t="n">
        <f aca="false">IF(ABS(E385/E384-1)&lt;0.0005,0,(E385/E384-1))</f>
        <v>0.0139888265351333</v>
      </c>
      <c r="AP385" s="163" t="n">
        <f aca="false">IF(ABS(E385-E373)&lt;0.05,0,E385-E373)</f>
        <v>-13.474055</v>
      </c>
      <c r="AQ385" s="164" t="n">
        <f aca="false">IF(ABS(E385/E373-1)&lt;0.0005,0,(E385/E373-1))</f>
        <v>-0.0963734112408405</v>
      </c>
      <c r="AR385" s="57" t="n">
        <f aca="false">(E385/1.2)-57.95</f>
        <v>47.3307183333333</v>
      </c>
      <c r="AS385" s="163" t="n">
        <f aca="false">IF(ABS(AR385-AR384)&lt;0.05,0,AR385-AR384)</f>
        <v>1.45243583333333</v>
      </c>
      <c r="AT385" s="164" t="n">
        <f aca="false">IF(ABS(AR385/AR384-1)&lt;0.0005,0,(AR385/AR384-1))</f>
        <v>0.0316584613500588</v>
      </c>
      <c r="AU385" s="163" t="n">
        <f aca="false">IF(ABS(AR385-AR373)&lt;0.05,0,AR385-AR373)</f>
        <v>-11.2283791666667</v>
      </c>
      <c r="AV385" s="155" t="n">
        <f aca="false">IF(ABS(AR385/AR373-1)&lt;0.0005,0,(AR385/AR373-1))</f>
        <v>-0.191744402595458</v>
      </c>
      <c r="AW385" s="185"/>
      <c r="AX385" s="163" t="n">
        <f aca="false">IF(ABS(H385-H384)&lt;0.05,0,H385-H384)</f>
        <v>-0.101999999999997</v>
      </c>
      <c r="AY385" s="164" t="n">
        <f aca="false">IF(ABS(H385/H384-1)&lt;0.0005,0,(H385/H384-1))</f>
        <v>-0.00373516918119221</v>
      </c>
      <c r="AZ385" s="163" t="n">
        <f aca="false">IF(ABS(H385-H373)&lt;0.05,0,H385-H373)</f>
        <v>-20.293</v>
      </c>
      <c r="BA385" s="164" t="n">
        <f aca="false">IF(ABS(H385/H373-1)&lt;0.0005,0,(H385/H373-1))</f>
        <v>-0.427230046948357</v>
      </c>
      <c r="BB385" s="57" t="n">
        <f aca="false">(H385/1.05)</f>
        <v>25.9104761904762</v>
      </c>
      <c r="BC385" s="163" t="n">
        <f aca="false">IF(ABS(BB385-BB384)&lt;0.05,0,BB385-BB384)</f>
        <v>-0.0971428571428525</v>
      </c>
      <c r="BD385" s="164" t="n">
        <f aca="false">IF(ABS(BB385/BB384-1)&lt;0.0005,0,(BB385/BB384-1))</f>
        <v>-0.0037351691811921</v>
      </c>
      <c r="BE385" s="163" t="n">
        <f aca="false">IF(ABS(BB385-BB373)&lt;0.05,0,BB385-BB373)</f>
        <v>-19.3266666666667</v>
      </c>
      <c r="BF385" s="155" t="n">
        <f aca="false">IF(ABS(BB385/BB373-1)&lt;0.0005,0,(BB385/BB373-1))</f>
        <v>-0.427230046948357</v>
      </c>
      <c r="BG385" s="185"/>
      <c r="BH385" s="163" t="n">
        <f aca="false">IF(ABS(I385-I384)&lt;0.05,0,I385-I384)</f>
        <v>0.0939310000000049</v>
      </c>
      <c r="BI385" s="164" t="n">
        <f aca="false">IF(ABS(I385/I384-1)&lt;0.0005,0,(I385/I384-1))</f>
        <v>0.00204038449879529</v>
      </c>
      <c r="BJ385" s="163" t="n">
        <f aca="false">IF(ABS(I385-I373)&lt;0.05,0,I385-I373)</f>
        <v>-12.666978</v>
      </c>
      <c r="BK385" s="164" t="n">
        <f aca="false">IF(ABS(I385/I373-1)&lt;0.0005,0,(I385/I373-1))</f>
        <v>-0.215436373791517</v>
      </c>
      <c r="BL385" s="57" t="n">
        <f aca="false">(I385/1.05)-11.14</f>
        <v>32.7932019047619</v>
      </c>
      <c r="BM385" s="163" t="n">
        <f aca="false">IF(ABS(BL385-BL384)&lt;0.05,0,BL385-BL384)</f>
        <v>0.0894580952381006</v>
      </c>
      <c r="BN385" s="164" t="n">
        <f aca="false">IF(ABS(BL385/BL384-1)&lt;0.0005,0,(BL385/BL384-1))</f>
        <v>0.00273540839113506</v>
      </c>
      <c r="BO385" s="163" t="n">
        <f aca="false">IF(ABS(BL385-BL373)&lt;0.05,0,BL385-BL373)</f>
        <v>-12.0637885714286</v>
      </c>
      <c r="BP385" s="155" t="n">
        <f aca="false">IF(ABS(BL385/BL373-1)&lt;0.0005,0,(BL385/BL373-1))</f>
        <v>-0.268938875376222</v>
      </c>
      <c r="BQ385" s="185"/>
    </row>
    <row r="386" customFormat="false" ht="12.75" hidden="false" customHeight="false" outlineLevel="0" collapsed="false">
      <c r="A386" s="156" t="n">
        <v>44075</v>
      </c>
      <c r="B386" s="73" t="n">
        <f aca="false">'4.1.1'!A391</f>
        <v>2020</v>
      </c>
      <c r="C386" s="157" t="str">
        <f aca="false">'4.1.1'!B391</f>
        <v>September</v>
      </c>
      <c r="D386" s="198"/>
      <c r="E386" s="159" t="n">
        <f aca="false">'4.1.1'!D391</f>
        <v>126.507756</v>
      </c>
      <c r="F386" s="35" t="n">
        <f aca="false">'4.1.1'!E391</f>
        <v>113.211914765948</v>
      </c>
      <c r="G386" s="35" t="n">
        <f aca="false">'4.1.1'!F391</f>
        <v>117.997367</v>
      </c>
      <c r="H386" s="159" t="n">
        <f aca="false">'4.1.1'!G391</f>
        <v>25.427</v>
      </c>
      <c r="I386" s="159" t="n">
        <f aca="false">'4.1.1'!H391</f>
        <v>42.372527</v>
      </c>
      <c r="J386" s="178"/>
      <c r="K386" s="200" t="n">
        <f aca="false">'4.1.1'!I391</f>
        <v>63.6050734526646</v>
      </c>
      <c r="L386" s="199"/>
      <c r="M386" s="160" t="n">
        <f aca="false">G386-F386</f>
        <v>4.78545223405193</v>
      </c>
      <c r="N386" s="195"/>
      <c r="O386" s="196"/>
      <c r="P386" s="197"/>
      <c r="Q386" s="197"/>
      <c r="R386" s="185"/>
      <c r="S386" s="57" t="n">
        <f aca="false">IF(ABS(F386-F385)&lt;0.05,0,F386-F385)</f>
        <v>0.446596959462596</v>
      </c>
      <c r="T386" s="178" t="n">
        <f aca="false">IF((ABS(G386/G385-1))&lt;0.0005,0,(G386/G385-1))</f>
        <v>0.00274666087258768</v>
      </c>
      <c r="U386" s="163" t="n">
        <f aca="false">IF(ABS(F386-F374)&lt;0.05,0,F386-F374)</f>
        <v>-13.7826282971944</v>
      </c>
      <c r="V386" s="164" t="n">
        <f aca="false">IF(ABS(F386/F374-1)&lt;0.0005,0,(F386/F374-1))</f>
        <v>-0.108529295548877</v>
      </c>
      <c r="W386" s="57" t="n">
        <f aca="false">(F386/1.2)-57.95</f>
        <v>36.3932623049567</v>
      </c>
      <c r="X386" s="163" t="n">
        <f aca="false">IF(ABS(W386-W385)&lt;0.05,0,W386-W385)</f>
        <v>0.372164132885501</v>
      </c>
      <c r="Y386" s="184" t="n">
        <f aca="false">IF(ABS(W386/W385-1)&lt;0.0005,0,(W386/W385-1))</f>
        <v>0.0103318375000032</v>
      </c>
      <c r="Z386" s="163" t="n">
        <f aca="false">IF(ABS(W386-W374)&lt;0.05,0,W386-W374)</f>
        <v>-11.4855235809953</v>
      </c>
      <c r="AA386" s="155" t="n">
        <f aca="false">IF(ABS(W386/W374-1)&lt;0.0005,0,(W386/W374-1))</f>
        <v>-0.239887527815638</v>
      </c>
      <c r="AB386" s="185"/>
      <c r="AC386" s="57" t="n">
        <f aca="false">IF(ABS(G386-G385)&lt;0.05,0,G386-G385)</f>
        <v>0.323210999999986</v>
      </c>
      <c r="AD386" s="164" t="n">
        <f aca="false">IF(ABS(G386/G385-1)&lt;0.0005,0,(G386/G385-1))</f>
        <v>0.00274666087258768</v>
      </c>
      <c r="AE386" s="163" t="n">
        <f aca="false">IF(ABS(G386-G374)&lt;0.05,0,G386-G374)</f>
        <v>-13.273021</v>
      </c>
      <c r="AF386" s="164" t="n">
        <f aca="false">IF(ABS(G386/G374-1)&lt;0.0005,0,(G386/G374-1))</f>
        <v>-0.101112072587155</v>
      </c>
      <c r="AG386" s="57" t="n">
        <f aca="false">(G386/1.2)-57.95</f>
        <v>40.3811391666667</v>
      </c>
      <c r="AH386" s="163" t="n">
        <f aca="false">IF(ABS(AG386-AG385)&lt;0.05,0,AG386-AG385)</f>
        <v>0.269342499999979</v>
      </c>
      <c r="AI386" s="164" t="n">
        <f aca="false">IF(ABS(AG386/AG385-1)&lt;0.0005,0,(AG386/AG385-1))</f>
        <v>0.00671479520696239</v>
      </c>
      <c r="AJ386" s="163" t="n">
        <f aca="false">IF(ABS(AG386-AG374)&lt;0.05,0,AG386-AG374)</f>
        <v>-11.0608508333333</v>
      </c>
      <c r="AK386" s="155" t="n">
        <f aca="false">IF(ABS(AG386/AG374-1)&lt;0.0005,0,(AG386/AG374-1))</f>
        <v>-0.215015998279486</v>
      </c>
      <c r="AL386" s="185"/>
      <c r="AM386" s="156" t="n">
        <f aca="false">IF(E386="..","",A386)</f>
        <v>44075</v>
      </c>
      <c r="AN386" s="57" t="n">
        <f aca="false">IF(ABS(E386-E385)&lt;0.05,0,E386-E385)</f>
        <v>0.170894000000018</v>
      </c>
      <c r="AO386" s="164" t="n">
        <f aca="false">IF(ABS(E386/E385-1)&lt;0.0005,0,(E386/E385-1))</f>
        <v>0.00135268517275677</v>
      </c>
      <c r="AP386" s="163" t="n">
        <f aca="false">IF(ABS(E386-E374)&lt;0.05,0,E386-E374)</f>
        <v>-12.323255</v>
      </c>
      <c r="AQ386" s="164" t="n">
        <f aca="false">IF(ABS(E386/E374-1)&lt;0.0005,0,(E386/E374-1))</f>
        <v>-0.0887644259826068</v>
      </c>
      <c r="AR386" s="57" t="n">
        <f aca="false">(E386/1.2)-57.95</f>
        <v>47.47313</v>
      </c>
      <c r="AS386" s="163" t="n">
        <f aca="false">IF(ABS(AR386-AR385)&lt;0.05,0,AR386-AR385)</f>
        <v>0.142411666666675</v>
      </c>
      <c r="AT386" s="164" t="n">
        <f aca="false">IF(ABS(AR386/AR385-1)&lt;0.0005,0,(AR386/AR385-1))</f>
        <v>0.00300886341220763</v>
      </c>
      <c r="AU386" s="163" t="n">
        <f aca="false">IF(ABS(AR386-AR374)&lt;0.05,0,AR386-AR374)</f>
        <v>-10.2693791666667</v>
      </c>
      <c r="AV386" s="155" t="n">
        <f aca="false">IF(ABS(AR386/AR374-1)&lt;0.0005,0,(AR386/AR374-1))</f>
        <v>-0.177847816363943</v>
      </c>
      <c r="AW386" s="185"/>
      <c r="AX386" s="163" t="n">
        <f aca="false">IF(ABS(H386-H385)&lt;0.05,0,H386-H385)</f>
        <v>-1.779</v>
      </c>
      <c r="AY386" s="164" t="n">
        <f aca="false">IF(ABS(H386/H385-1)&lt;0.0005,0,(H386/H385-1))</f>
        <v>-0.0653899875027566</v>
      </c>
      <c r="AZ386" s="163" t="n">
        <f aca="false">IF(ABS(H386-H374)&lt;0.05,0,H386-H374)</f>
        <v>-21.263</v>
      </c>
      <c r="BA386" s="164" t="n">
        <f aca="false">IF(ABS(H386/H374-1)&lt;0.0005,0,(H386/H374-1))</f>
        <v>-0.455408010280574</v>
      </c>
      <c r="BB386" s="57" t="n">
        <f aca="false">(H386/1.05)</f>
        <v>24.2161904761905</v>
      </c>
      <c r="BC386" s="163" t="n">
        <f aca="false">IF(ABS(BB386-BB385)&lt;0.05,0,BB386-BB385)</f>
        <v>-1.69428571428571</v>
      </c>
      <c r="BD386" s="164" t="n">
        <f aca="false">IF(ABS(BB386/BB385-1)&lt;0.0005,0,(BB386/BB385-1))</f>
        <v>-0.0653899875027567</v>
      </c>
      <c r="BE386" s="163" t="n">
        <f aca="false">IF(ABS(BB386-BB374)&lt;0.05,0,BB386-BB374)</f>
        <v>-20.2504761904762</v>
      </c>
      <c r="BF386" s="155" t="n">
        <f aca="false">IF(ABS(BB386/BB374-1)&lt;0.0005,0,(BB386/BB374-1))</f>
        <v>-0.455408010280574</v>
      </c>
      <c r="BG386" s="185"/>
      <c r="BH386" s="163" t="n">
        <f aca="false">IF(ABS(I386-I385)&lt;0.05,0,I386-I385)</f>
        <v>-3.757335</v>
      </c>
      <c r="BI386" s="164" t="n">
        <f aca="false">IF(ABS(I386/I385-1)&lt;0.0005,0,(I386/I385-1))</f>
        <v>-0.081451251685947</v>
      </c>
      <c r="BJ386" s="163" t="n">
        <f aca="false">IF(ABS(I386-I374)&lt;0.05,0,I386-I374)</f>
        <v>-17.629162</v>
      </c>
      <c r="BK386" s="164" t="n">
        <f aca="false">IF(ABS(I386/I374-1)&lt;0.0005,0,(I386/I374-1))</f>
        <v>-0.293811095884318</v>
      </c>
      <c r="BL386" s="57" t="n">
        <f aca="false">(I386/1.05)-11.14</f>
        <v>29.2147876190476</v>
      </c>
      <c r="BM386" s="163" t="n">
        <f aca="false">IF(ABS(BL386-BL385)&lt;0.05,0,BL386-BL385)</f>
        <v>-3.5784142857143</v>
      </c>
      <c r="BN386" s="164" t="n">
        <f aca="false">IF(ABS(BL386/BL385-1)&lt;0.0005,0,(BL386/BL385-1))</f>
        <v>-0.109120612744883</v>
      </c>
      <c r="BO386" s="163" t="n">
        <f aca="false">IF(ABS(BL386-BL374)&lt;0.05,0,BL386-BL374)</f>
        <v>-16.7896780952381</v>
      </c>
      <c r="BP386" s="155" t="n">
        <f aca="false">IF(ABS(BL386/BL374-1)&lt;0.0005,0,(BL386/BL374-1))</f>
        <v>-0.364957571717313</v>
      </c>
      <c r="BQ386" s="185"/>
    </row>
    <row r="387" customFormat="false" ht="12.75" hidden="false" customHeight="false" outlineLevel="0" collapsed="false">
      <c r="A387" s="156" t="n">
        <v>44105</v>
      </c>
      <c r="B387" s="73" t="n">
        <f aca="false">'4.1.1'!A392</f>
        <v>2020</v>
      </c>
      <c r="C387" s="157" t="str">
        <f aca="false">'4.1.1'!B392</f>
        <v>October</v>
      </c>
      <c r="D387" s="198"/>
      <c r="E387" s="159" t="n">
        <f aca="false">'4.1.1'!D392</f>
        <v>126.557069</v>
      </c>
      <c r="F387" s="35" t="n">
        <f aca="false">'4.1.1'!E392</f>
        <v>113.154441743302</v>
      </c>
      <c r="G387" s="35" t="n">
        <f aca="false">'4.1.1'!F392</f>
        <v>117.849854</v>
      </c>
      <c r="H387" s="159" t="n">
        <f aca="false">'4.1.1'!G392</f>
        <v>26.052</v>
      </c>
      <c r="I387" s="159" t="n">
        <f aca="false">'4.1.1'!H392</f>
        <v>44.345288</v>
      </c>
      <c r="J387" s="178"/>
      <c r="K387" s="200" t="n">
        <f aca="false">'4.1.1'!I392</f>
        <v>60.8852792920585</v>
      </c>
      <c r="L387" s="199"/>
      <c r="M387" s="160" t="n">
        <f aca="false">G387-F387</f>
        <v>4.69541225669757</v>
      </c>
      <c r="N387" s="195"/>
      <c r="O387" s="196"/>
      <c r="P387" s="197"/>
      <c r="Q387" s="197"/>
      <c r="R387" s="185"/>
      <c r="S387" s="57" t="n">
        <f aca="false">IF(ABS(F387-F386)&lt;0.05,0,F387-F386)</f>
        <v>-0.0574730226456381</v>
      </c>
      <c r="T387" s="178" t="n">
        <f aca="false">IF((ABS(G387/G386-1))&lt;0.0005,0,(G387/G386-1))</f>
        <v>-0.00125013806452146</v>
      </c>
      <c r="U387" s="163" t="n">
        <f aca="false">IF(ABS(F387-F375)&lt;0.05,0,F387-F375)</f>
        <v>-13.9141826367716</v>
      </c>
      <c r="V387" s="164" t="n">
        <f aca="false">IF(ABS(F387/F375-1)&lt;0.0005,0,(F387/F375-1))</f>
        <v>-0.109501324222673</v>
      </c>
      <c r="W387" s="57" t="n">
        <f aca="false">(F387/1.2)-57.95</f>
        <v>36.3453681194187</v>
      </c>
      <c r="X387" s="163" t="n">
        <f aca="false">IF(ABS(W387-W386)&lt;0.05,0,W387-W386)</f>
        <v>0</v>
      </c>
      <c r="Y387" s="184" t="n">
        <f aca="false">IF(ABS(W387/W386-1)&lt;0.0005,0,(W387/W386-1))</f>
        <v>-0.00131601792487568</v>
      </c>
      <c r="Z387" s="163" t="n">
        <f aca="false">IF(ABS(W387-W375)&lt;0.05,0,W387-W375)</f>
        <v>-11.5951521973096</v>
      </c>
      <c r="AA387" s="155" t="n">
        <f aca="false">IF(ABS(W387/W375-1)&lt;0.0005,0,(W387/W375-1))</f>
        <v>-0.241865380698917</v>
      </c>
      <c r="AB387" s="185"/>
      <c r="AC387" s="57" t="n">
        <f aca="false">IF(ABS(G387-G386)&lt;0.05,0,G387-G386)</f>
        <v>-0.147513000000004</v>
      </c>
      <c r="AD387" s="164" t="n">
        <f aca="false">IF(ABS(G387/G386-1)&lt;0.0005,0,(G387/G386-1))</f>
        <v>-0.00125013806452146</v>
      </c>
      <c r="AE387" s="163" t="n">
        <f aca="false">IF(ABS(G387-G375)&lt;0.05,0,G387-G375)</f>
        <v>-14.042948</v>
      </c>
      <c r="AF387" s="164" t="n">
        <f aca="false">IF(ABS(G387/G375-1)&lt;0.0005,0,(G387/G375-1))</f>
        <v>-0.106472436608027</v>
      </c>
      <c r="AG387" s="57" t="n">
        <f aca="false">(G387/1.2)-57.95</f>
        <v>40.2582116666667</v>
      </c>
      <c r="AH387" s="163" t="n">
        <f aca="false">IF(ABS(AG387-AG386)&lt;0.05,0,AG387-AG386)</f>
        <v>-0.122927500000003</v>
      </c>
      <c r="AI387" s="164" t="n">
        <f aca="false">IF(ABS(AG387/AG386-1)&lt;0.0005,0,(AG387/AG386-1))</f>
        <v>-0.00304418108396198</v>
      </c>
      <c r="AJ387" s="163" t="n">
        <f aca="false">IF(ABS(AG387-AG375)&lt;0.05,0,AG387-AG375)</f>
        <v>-11.7024566666667</v>
      </c>
      <c r="AK387" s="155" t="n">
        <f aca="false">IF(ABS(AG387/AG375-1)&lt;0.0005,0,(AG387/AG375-1))</f>
        <v>-0.225217593268704</v>
      </c>
      <c r="AL387" s="185"/>
      <c r="AM387" s="156" t="n">
        <f aca="false">IF(E387="..","",A387)</f>
        <v>44105</v>
      </c>
      <c r="AN387" s="57" t="n">
        <f aca="false">IF(ABS(E387-E386)&lt;0.05,0,E387-E386)</f>
        <v>0</v>
      </c>
      <c r="AO387" s="164" t="n">
        <f aca="false">IF(ABS(E387/E386-1)&lt;0.0005,0,(E387/E386-1))</f>
        <v>0</v>
      </c>
      <c r="AP387" s="163" t="n">
        <f aca="false">IF(ABS(E387-E375)&lt;0.05,0,E387-E375)</f>
        <v>-12.183197</v>
      </c>
      <c r="AQ387" s="164" t="n">
        <f aca="false">IF(ABS(E387/E375-1)&lt;0.0005,0,(E387/E375-1))</f>
        <v>-0.0878129857412843</v>
      </c>
      <c r="AR387" s="57" t="n">
        <f aca="false">(E387/1.2)-57.95</f>
        <v>47.5142241666667</v>
      </c>
      <c r="AS387" s="163" t="n">
        <f aca="false">IF(ABS(AR387-AR386)&lt;0.05,0,AR387-AR386)</f>
        <v>0</v>
      </c>
      <c r="AT387" s="164" t="n">
        <f aca="false">IF(ABS(AR387/AR386-1)&lt;0.0005,0,(AR387/AR386-1))</f>
        <v>0.000865630024113662</v>
      </c>
      <c r="AU387" s="163" t="n">
        <f aca="false">IF(ABS(AR387-AR375)&lt;0.05,0,AR387-AR375)</f>
        <v>-10.1526641666667</v>
      </c>
      <c r="AV387" s="155" t="n">
        <f aca="false">IF(ABS(AR387/AR375-1)&lt;0.0005,0,(AR387/AR375-1))</f>
        <v>-0.176057083364391</v>
      </c>
      <c r="AW387" s="185"/>
      <c r="AX387" s="163" t="n">
        <f aca="false">IF(ABS(H387-H386)&lt;0.05,0,H387-H386)</f>
        <v>0.624999999999996</v>
      </c>
      <c r="AY387" s="164" t="n">
        <f aca="false">IF(ABS(H387/H386-1)&lt;0.0005,0,(H387/H386-1))</f>
        <v>0.0245801706847051</v>
      </c>
      <c r="AZ387" s="163" t="n">
        <f aca="false">IF(ABS(H387-H375)&lt;0.05,0,H387-H375)</f>
        <v>-22.286</v>
      </c>
      <c r="BA387" s="164" t="n">
        <f aca="false">IF(ABS(H387/H375-1)&lt;0.0005,0,(H387/H375-1))</f>
        <v>-0.461045140469196</v>
      </c>
      <c r="BB387" s="57" t="n">
        <f aca="false">(H387/1.05)</f>
        <v>24.8114285714286</v>
      </c>
      <c r="BC387" s="163" t="n">
        <f aca="false">IF(ABS(BB387-BB386)&lt;0.05,0,BB387-BB386)</f>
        <v>0.595238095238095</v>
      </c>
      <c r="BD387" s="164" t="n">
        <f aca="false">IF(ABS(BB387/BB386-1)&lt;0.0005,0,(BB387/BB386-1))</f>
        <v>0.0245801706847053</v>
      </c>
      <c r="BE387" s="163" t="n">
        <f aca="false">IF(ABS(BB387-BB375)&lt;0.05,0,BB387-BB375)</f>
        <v>-21.2247619047619</v>
      </c>
      <c r="BF387" s="155" t="n">
        <f aca="false">IF(ABS(BB387/BB375-1)&lt;0.0005,0,(BB387/BB375-1))</f>
        <v>-0.461045140469196</v>
      </c>
      <c r="BG387" s="185"/>
      <c r="BH387" s="163" t="n">
        <f aca="false">IF(ABS(I387-I386)&lt;0.05,0,I387-I386)</f>
        <v>1.97276100000001</v>
      </c>
      <c r="BI387" s="164" t="n">
        <f aca="false">IF(ABS(I387/I386-1)&lt;0.0005,0,(I387/I386-1))</f>
        <v>0.0465575489514705</v>
      </c>
      <c r="BJ387" s="163" t="n">
        <f aca="false">IF(ABS(I387-I375)&lt;0.05,0,I387-I375)</f>
        <v>-14.929187</v>
      </c>
      <c r="BK387" s="164" t="n">
        <f aca="false">IF(ABS(I387/I375-1)&lt;0.0005,0,(I387/I375-1))</f>
        <v>-0.251865360258357</v>
      </c>
      <c r="BL387" s="57" t="n">
        <f aca="false">(I387/1.05)-11.14</f>
        <v>31.0936076190476</v>
      </c>
      <c r="BM387" s="163" t="n">
        <f aca="false">IF(ABS(BL387-BL386)&lt;0.05,0,BL387-BL386)</f>
        <v>1.87882</v>
      </c>
      <c r="BN387" s="164" t="n">
        <f aca="false">IF(ABS(BL387/BL386-1)&lt;0.0005,0,(BL387/BL386-1))</f>
        <v>0.0643105821784253</v>
      </c>
      <c r="BO387" s="163" t="n">
        <f aca="false">IF(ABS(BL387-BL375)&lt;0.05,0,BL387-BL375)</f>
        <v>-14.2182733333333</v>
      </c>
      <c r="BP387" s="155" t="n">
        <f aca="false">IF(ABS(BL387/BL375-1)&lt;0.0005,0,(BL387/BL375-1))</f>
        <v>-0.313786870782865</v>
      </c>
      <c r="BQ387" s="185"/>
    </row>
    <row r="388" customFormat="false" ht="12.75" hidden="false" customHeight="false" outlineLevel="0" collapsed="false">
      <c r="A388" s="156" t="n">
        <v>44136</v>
      </c>
      <c r="B388" s="73" t="n">
        <f aca="false">'4.1.1'!A393</f>
        <v>2020</v>
      </c>
      <c r="C388" s="157" t="str">
        <f aca="false">'4.1.1'!B393</f>
        <v>November</v>
      </c>
      <c r="D388" s="198"/>
      <c r="E388" s="159" t="n">
        <f aca="false">'4.1.1'!D393</f>
        <v>126.027774</v>
      </c>
      <c r="F388" s="35" t="n">
        <f aca="false">'4.1.1'!E393</f>
        <v>112.506387205318</v>
      </c>
      <c r="G388" s="35" t="n">
        <f aca="false">'4.1.1'!F393</f>
        <v>117.049675</v>
      </c>
      <c r="H388" s="159" t="n">
        <f aca="false">'4.1.1'!G393</f>
        <v>27.427</v>
      </c>
      <c r="I388" s="159" t="n">
        <f aca="false">'4.1.1'!H393</f>
        <v>43.061592</v>
      </c>
      <c r="J388" s="178"/>
      <c r="K388" s="200" t="n">
        <f aca="false">'4.1.1'!I393</f>
        <v>61.9221876938885</v>
      </c>
      <c r="L388" s="201"/>
      <c r="M388" s="160" t="n">
        <f aca="false">G388-F388</f>
        <v>4.54328779468244</v>
      </c>
      <c r="N388" s="195"/>
      <c r="O388" s="202"/>
      <c r="P388" s="197"/>
      <c r="Q388" s="197"/>
      <c r="R388" s="185"/>
      <c r="S388" s="57" t="n">
        <f aca="false">IF(ABS(F388-F387)&lt;0.05,0,F388-F387)</f>
        <v>-0.648054537984876</v>
      </c>
      <c r="T388" s="178" t="n">
        <f aca="false">IF((ABS(G388/G387-1))&lt;0.0005,0,(G388/G387-1))</f>
        <v>-0.0067898174909915</v>
      </c>
      <c r="U388" s="163" t="n">
        <f aca="false">IF(ABS(F388-F376)&lt;0.05,0,F388-F376)</f>
        <v>-13.1389238563841</v>
      </c>
      <c r="V388" s="164" t="n">
        <f aca="false">IF(ABS(F388/F376-1)&lt;0.0005,0,(F388/F376-1))</f>
        <v>-0.104571541471467</v>
      </c>
      <c r="W388" s="57" t="n">
        <f aca="false">(F388/1.2)-57.95</f>
        <v>35.805322671098</v>
      </c>
      <c r="X388" s="163" t="n">
        <f aca="false">IF(ABS(W388-W387)&lt;0.05,0,W388-W387)</f>
        <v>-0.54004544832074</v>
      </c>
      <c r="Y388" s="184" t="n">
        <f aca="false">IF(ABS(W388/W387-1)&lt;0.0005,0,(W388/W387-1))</f>
        <v>-0.0148587145010152</v>
      </c>
      <c r="Z388" s="163" t="n">
        <f aca="false">IF(ABS(W388-W376)&lt;0.05,0,W388-W376)</f>
        <v>-10.9491032136534</v>
      </c>
      <c r="AA388" s="155" t="n">
        <f aca="false">IF(ABS(W388/W376-1)&lt;0.0005,0,(W388/W376-1))</f>
        <v>-0.23418324589511</v>
      </c>
      <c r="AB388" s="185"/>
      <c r="AC388" s="57" t="n">
        <f aca="false">IF(ABS(G388-G387)&lt;0.05,0,G388-G387)</f>
        <v>-0.800179</v>
      </c>
      <c r="AD388" s="164" t="n">
        <f aca="false">IF(ABS(G388/G387-1)&lt;0.0005,0,(G388/G387-1))</f>
        <v>-0.0067898174909915</v>
      </c>
      <c r="AE388" s="163" t="n">
        <f aca="false">IF(ABS(G388-G376)&lt;0.05,0,G388-G376)</f>
        <v>-13.234321</v>
      </c>
      <c r="AF388" s="164" t="n">
        <f aca="false">IF(ABS(G388/G376-1)&lt;0.0005,0,(G388/G376-1))</f>
        <v>-0.101580557906744</v>
      </c>
      <c r="AG388" s="57" t="n">
        <f aca="false">(G388/1.2)-57.95</f>
        <v>39.5913958333333</v>
      </c>
      <c r="AH388" s="163" t="n">
        <f aca="false">IF(ABS(AG388-AG387)&lt;0.05,0,AG388-AG387)</f>
        <v>-0.666815833333331</v>
      </c>
      <c r="AI388" s="164" t="n">
        <f aca="false">IF(ABS(AG388/AG387-1)&lt;0.0005,0,(AG388/AG387-1))</f>
        <v>-0.0165634737790762</v>
      </c>
      <c r="AJ388" s="163" t="n">
        <f aca="false">IF(ABS(AG388-AG376)&lt;0.05,0,AG388-AG376)</f>
        <v>-11.0286008333333</v>
      </c>
      <c r="AK388" s="155" t="n">
        <f aca="false">IF(ABS(AG388/AG376-1)&lt;0.0005,0,(AG388/AG376-1))</f>
        <v>-0.2178704377631</v>
      </c>
      <c r="AL388" s="185"/>
      <c r="AM388" s="156" t="n">
        <f aca="false">IF(E388="..","",A388)</f>
        <v>44136</v>
      </c>
      <c r="AN388" s="57" t="n">
        <f aca="false">IF(ABS(E388-E387)&lt;0.05,0,E388-E387)</f>
        <v>-0.529294999999976</v>
      </c>
      <c r="AO388" s="164" t="n">
        <f aca="false">IF(ABS(E388/E387-1)&lt;0.0005,0,(E388/E387-1))</f>
        <v>-0.00418226341825267</v>
      </c>
      <c r="AP388" s="163" t="n">
        <f aca="false">IF(ABS(E388-E376)&lt;0.05,0,E388-E376)</f>
        <v>-11.572156</v>
      </c>
      <c r="AQ388" s="164" t="n">
        <f aca="false">IF(ABS(E388/E376-1)&lt;0.0005,0,(E388/E376-1))</f>
        <v>-0.0841000137136698</v>
      </c>
      <c r="AR388" s="57" t="n">
        <f aca="false">(E388/1.2)-57.95</f>
        <v>47.073145</v>
      </c>
      <c r="AS388" s="163" t="n">
        <f aca="false">IF(ABS(AR388-AR387)&lt;0.05,0,AR388-AR387)</f>
        <v>-0.44107916666664</v>
      </c>
      <c r="AT388" s="164" t="n">
        <f aca="false">IF(ABS(AR388/AR387-1)&lt;0.0005,0,(AR388/AR387-1))</f>
        <v>-0.00928309731249022</v>
      </c>
      <c r="AU388" s="163" t="n">
        <f aca="false">IF(ABS(AR388-AR376)&lt;0.05,0,AR388-AR376)</f>
        <v>-9.64346333333333</v>
      </c>
      <c r="AV388" s="155" t="n">
        <f aca="false">IF(ABS(AR388/AR376-1)&lt;0.0005,0,(AR388/AR376-1))</f>
        <v>-0.170028914223097</v>
      </c>
      <c r="AW388" s="185"/>
      <c r="AX388" s="163" t="n">
        <f aca="false">IF(ABS(H388-H387)&lt;0.05,0,H388-H387)</f>
        <v>1.375</v>
      </c>
      <c r="AY388" s="164" t="n">
        <f aca="false">IF(ABS(H388/H387-1)&lt;0.0005,0,(H388/H387-1))</f>
        <v>0.0527790572700753</v>
      </c>
      <c r="AZ388" s="163" t="n">
        <f aca="false">IF(ABS(H388-H376)&lt;0.05,0,H388-H376)</f>
        <v>-19.063</v>
      </c>
      <c r="BA388" s="164" t="n">
        <f aca="false">IF(ABS(H388/H376-1)&lt;0.0005,0,(H388/H376-1))</f>
        <v>-0.410045171004517</v>
      </c>
      <c r="BB388" s="57" t="n">
        <f aca="false">(H388/1.05)</f>
        <v>26.1209523809524</v>
      </c>
      <c r="BC388" s="163" t="n">
        <f aca="false">IF(ABS(BB388-BB387)&lt;0.05,0,BB388-BB387)</f>
        <v>1.30952380952381</v>
      </c>
      <c r="BD388" s="164" t="n">
        <f aca="false">IF(ABS(BB388/BB387-1)&lt;0.0005,0,(BB388/BB387-1))</f>
        <v>0.052779057270075</v>
      </c>
      <c r="BE388" s="163" t="n">
        <f aca="false">IF(ABS(BB388-BB376)&lt;0.05,0,BB388-BB376)</f>
        <v>-18.1552380952381</v>
      </c>
      <c r="BF388" s="155" t="n">
        <f aca="false">IF(ABS(BB388/BB376-1)&lt;0.0005,0,(BB388/BB376-1))</f>
        <v>-0.410045171004517</v>
      </c>
      <c r="BG388" s="185"/>
      <c r="BH388" s="163" t="n">
        <f aca="false">IF(ABS(I388-I387)&lt;0.05,0,I388-I387)</f>
        <v>-1.28369600000001</v>
      </c>
      <c r="BI388" s="164" t="n">
        <f aca="false">IF(ABS(I388/I387-1)&lt;0.0005,0,(I388/I387-1))</f>
        <v>-0.0289477429935736</v>
      </c>
      <c r="BJ388" s="163" t="n">
        <f aca="false">IF(ABS(I388-I376)&lt;0.05,0,I388-I376)</f>
        <v>-15.315443</v>
      </c>
      <c r="BK388" s="164" t="n">
        <f aca="false">IF(ABS(I388/I376-1)&lt;0.0005,0,(I388/I376-1))</f>
        <v>-0.262353903379985</v>
      </c>
      <c r="BL388" s="57" t="n">
        <f aca="false">(I388/1.05)-11.14</f>
        <v>29.87104</v>
      </c>
      <c r="BM388" s="163" t="n">
        <f aca="false">IF(ABS(BL388-BL387)&lt;0.05,0,BL388-BL387)</f>
        <v>-1.22256761904762</v>
      </c>
      <c r="BN388" s="164" t="n">
        <f aca="false">IF(ABS(BL388/BL387-1)&lt;0.0005,0,(BL388/BL387-1))</f>
        <v>-0.0393189376423047</v>
      </c>
      <c r="BO388" s="163" t="n">
        <f aca="false">IF(ABS(BL388-BL376)&lt;0.05,0,BL388-BL376)</f>
        <v>-14.5861361904762</v>
      </c>
      <c r="BP388" s="155" t="n">
        <f aca="false">IF(ABS(BL388/BL376-1)&lt;0.0005,0,(BL388/BL376-1))</f>
        <v>-0.328094077050285</v>
      </c>
      <c r="BQ388" s="185"/>
    </row>
    <row r="389" customFormat="false" ht="12.75" hidden="false" customHeight="false" outlineLevel="0" collapsed="false">
      <c r="A389" s="156" t="n">
        <v>44166</v>
      </c>
      <c r="B389" s="73" t="n">
        <f aca="false">'4.1.1'!A394</f>
        <v>2020</v>
      </c>
      <c r="C389" s="157" t="str">
        <f aca="false">'4.1.1'!B394</f>
        <v>December</v>
      </c>
      <c r="D389" s="198"/>
      <c r="E389" s="159" t="n">
        <f aca="false">'4.1.1'!D394</f>
        <v>127.209759</v>
      </c>
      <c r="F389" s="35" t="n">
        <f aca="false">'4.1.1'!E394</f>
        <v>114.040740956044</v>
      </c>
      <c r="G389" s="35" t="n">
        <f aca="false">'4.1.1'!F394</f>
        <v>118.661659</v>
      </c>
      <c r="H389" s="159" t="n">
        <f aca="false">'4.1.1'!G394</f>
        <v>31.551</v>
      </c>
      <c r="I389" s="159" t="n">
        <f aca="false">'4.1.1'!H394</f>
        <v>48.146516</v>
      </c>
      <c r="J389" s="178"/>
      <c r="K389" s="200" t="n">
        <f aca="false">'4.1.1'!I394</f>
        <v>70.930490424262</v>
      </c>
      <c r="L389" s="201"/>
      <c r="M389" s="160" t="n">
        <f aca="false">G389-F389</f>
        <v>4.62091804395608</v>
      </c>
      <c r="N389" s="195"/>
      <c r="O389" s="202"/>
      <c r="P389" s="197"/>
      <c r="Q389" s="197"/>
      <c r="R389" s="185"/>
      <c r="S389" s="57" t="n">
        <f aca="false">IF(ABS(F389-F388)&lt;0.05,0,F389-F388)</f>
        <v>1.53435375072637</v>
      </c>
      <c r="T389" s="178" t="n">
        <f aca="false">IF((ABS(G389/G388-1))&lt;0.0005,0,(G389/G388-1))</f>
        <v>0.0137717938986162</v>
      </c>
      <c r="U389" s="163" t="n">
        <f aca="false">IF(ABS(F389-F377)&lt;0.05,0,F389-F377)</f>
        <v>-10.3740850995831</v>
      </c>
      <c r="V389" s="164" t="n">
        <f aca="false">IF(ABS(F389/F377-1)&lt;0.0005,0,(F389/F377-1))</f>
        <v>-0.0833830294063568</v>
      </c>
      <c r="W389" s="57" t="n">
        <f aca="false">(F389/1.2)-57.95</f>
        <v>37.0839507967033</v>
      </c>
      <c r="X389" s="163" t="n">
        <f aca="false">IF(ABS(W389-W388)&lt;0.05,0,W389-W388)</f>
        <v>1.27862812560531</v>
      </c>
      <c r="Y389" s="184" t="n">
        <f aca="false">IF(ABS(W389/W388-1)&lt;0.0005,0,(W389/W388-1))</f>
        <v>0.0357105600569665</v>
      </c>
      <c r="Z389" s="163" t="n">
        <f aca="false">IF(ABS(W389-W377)&lt;0.05,0,W389-W377)</f>
        <v>-8.64507091631926</v>
      </c>
      <c r="AA389" s="155" t="n">
        <f aca="false">IF(ABS(W389/W377-1)&lt;0.0005,0,(W389/W377-1))</f>
        <v>-0.189049986036709</v>
      </c>
      <c r="AB389" s="185"/>
      <c r="AC389" s="57" t="n">
        <f aca="false">IF(ABS(G389-G388)&lt;0.05,0,G389-G388)</f>
        <v>1.61198400000001</v>
      </c>
      <c r="AD389" s="164" t="n">
        <f aca="false">IF(ABS(G389/G388-1)&lt;0.0005,0,(G389/G388-1))</f>
        <v>0.0137717938986162</v>
      </c>
      <c r="AE389" s="163" t="n">
        <f aca="false">IF(ABS(G389-G377)&lt;0.05,0,G389-G377)</f>
        <v>-10.768359</v>
      </c>
      <c r="AF389" s="164" t="n">
        <f aca="false">IF(ABS(G389/G377-1)&lt;0.0005,0,(G389/G377-1))</f>
        <v>-0.0831983118475654</v>
      </c>
      <c r="AG389" s="57" t="n">
        <f aca="false">(G389/1.2)-57.95</f>
        <v>40.9347158333333</v>
      </c>
      <c r="AH389" s="163" t="n">
        <f aca="false">IF(ABS(AG389-AG388)&lt;0.05,0,AG389-AG388)</f>
        <v>1.34332000000001</v>
      </c>
      <c r="AI389" s="164" t="n">
        <f aca="false">IF(ABS(AG389/AG388-1)&lt;0.0005,0,(AG389/AG388-1))</f>
        <v>0.0339295943405213</v>
      </c>
      <c r="AJ389" s="163" t="n">
        <f aca="false">IF(ABS(AG389-AG377)&lt;0.05,0,AG389-AG377)</f>
        <v>-8.97363250000001</v>
      </c>
      <c r="AK389" s="155" t="n">
        <f aca="false">IF(ABS(AG389/AG377-1)&lt;0.0005,0,(AG389/AG377-1))</f>
        <v>-0.17980223348739</v>
      </c>
      <c r="AL389" s="185"/>
      <c r="AM389" s="156" t="n">
        <f aca="false">IF(E389="..","",A389)</f>
        <v>44166</v>
      </c>
      <c r="AN389" s="57" t="n">
        <f aca="false">IF(ABS(E389-E388)&lt;0.05,0,E389-E388)</f>
        <v>1.18198499999997</v>
      </c>
      <c r="AO389" s="164" t="n">
        <f aca="false">IF(ABS(E389/E388-1)&lt;0.0005,0,(E389/E388-1))</f>
        <v>0.00937876598534526</v>
      </c>
      <c r="AP389" s="163" t="n">
        <f aca="false">IF(ABS(E389-E377)&lt;0.05,0,E389-E377)</f>
        <v>-9.36986100000004</v>
      </c>
      <c r="AQ389" s="164" t="n">
        <f aca="false">IF(ABS(E389/E377-1)&lt;0.0005,0,(E389/E377-1))</f>
        <v>-0.0686036540444324</v>
      </c>
      <c r="AR389" s="57" t="n">
        <f aca="false">(E389/1.2)-57.95</f>
        <v>48.0581325</v>
      </c>
      <c r="AS389" s="163" t="n">
        <f aca="false">IF(ABS(AR389-AR388)&lt;0.05,0,AR389-AR388)</f>
        <v>0.984987499999974</v>
      </c>
      <c r="AT389" s="164" t="n">
        <f aca="false">IF(ABS(AR389/AR388-1)&lt;0.0005,0,(AR389/AR388-1))</f>
        <v>0.0209246163603467</v>
      </c>
      <c r="AU389" s="163" t="n">
        <f aca="false">IF(ABS(AR389-AR377)&lt;0.05,0,AR389-AR377)</f>
        <v>-7.80821750000003</v>
      </c>
      <c r="AV389" s="155" t="n">
        <f aca="false">IF(ABS(AR389/AR377-1)&lt;0.0005,0,(AR389/AR377-1))</f>
        <v>-0.139766021943442</v>
      </c>
      <c r="AW389" s="185"/>
      <c r="AX389" s="163" t="n">
        <f aca="false">IF(ABS(H389-H388)&lt;0.05,0,H389-H388)</f>
        <v>4.124</v>
      </c>
      <c r="AY389" s="164" t="n">
        <f aca="false">IF(ABS(H389/H388-1)&lt;0.0005,0,(H389/H388-1))</f>
        <v>0.150362781201006</v>
      </c>
      <c r="AZ389" s="163" t="n">
        <f aca="false">IF(ABS(H389-H377)&lt;0.05,0,H389-H377)</f>
        <v>-14.751</v>
      </c>
      <c r="BA389" s="164" t="n">
        <f aca="false">IF(ABS(H389/H377-1)&lt;0.0005,0,(H389/H377-1))</f>
        <v>-0.318582350654399</v>
      </c>
      <c r="BB389" s="57" t="n">
        <f aca="false">(H389/1.05)</f>
        <v>30.0485714285714</v>
      </c>
      <c r="BC389" s="163" t="n">
        <f aca="false">IF(ABS(BB389-BB388)&lt;0.05,0,BB389-BB388)</f>
        <v>3.92761904761905</v>
      </c>
      <c r="BD389" s="164" t="n">
        <f aca="false">IF(ABS(BB389/BB388-1)&lt;0.0005,0,(BB389/BB388-1))</f>
        <v>0.150362781201006</v>
      </c>
      <c r="BE389" s="163" t="n">
        <f aca="false">IF(ABS(BB389-BB377)&lt;0.05,0,BB389-BB377)</f>
        <v>-14.0485714285714</v>
      </c>
      <c r="BF389" s="155" t="n">
        <f aca="false">IF(ABS(BB389/BB377-1)&lt;0.0005,0,(BB389/BB377-1))</f>
        <v>-0.318582350654399</v>
      </c>
      <c r="BG389" s="185"/>
      <c r="BH389" s="163" t="n">
        <f aca="false">IF(ABS(I389-I388)&lt;0.05,0,I389-I388)</f>
        <v>5.084924</v>
      </c>
      <c r="BI389" s="164" t="n">
        <f aca="false">IF(ABS(I389/I388-1)&lt;0.0005,0,(I389/I388-1))</f>
        <v>0.118084904989114</v>
      </c>
      <c r="BJ389" s="163" t="n">
        <f aca="false">IF(ABS(I389-I377)&lt;0.05,0,I389-I377)</f>
        <v>-9.372458</v>
      </c>
      <c r="BK389" s="164" t="n">
        <f aca="false">IF(ABS(I389/I377-1)&lt;0.0005,0,(I389/I377-1))</f>
        <v>-0.162945500383926</v>
      </c>
      <c r="BL389" s="57" t="n">
        <f aca="false">(I389/1.05)-11.14</f>
        <v>34.7138247619048</v>
      </c>
      <c r="BM389" s="163" t="n">
        <f aca="false">IF(ABS(BL389-BL388)&lt;0.05,0,BL389-BL388)</f>
        <v>4.84278476190477</v>
      </c>
      <c r="BN389" s="164" t="n">
        <f aca="false">IF(ABS(BL389/BL388-1)&lt;0.0005,0,(BL389/BL388-1))</f>
        <v>0.162123071774694</v>
      </c>
      <c r="BO389" s="163" t="n">
        <f aca="false">IF(ABS(BL389-BL377)&lt;0.05,0,BL389-BL377)</f>
        <v>-8.92615047619047</v>
      </c>
      <c r="BP389" s="155" t="n">
        <f aca="false">IF(ABS(BL389/BL377-1)&lt;0.0005,0,(BL389/BL377-1))</f>
        <v>-0.204540686090913</v>
      </c>
      <c r="BQ389" s="185"/>
    </row>
    <row r="390" customFormat="false" ht="12.75" hidden="false" customHeight="false" outlineLevel="0" collapsed="false">
      <c r="A390" s="156" t="n">
        <v>44197</v>
      </c>
      <c r="B390" s="73" t="n">
        <f aca="false">'4.1.1'!A395</f>
        <v>2021</v>
      </c>
      <c r="C390" s="157" t="str">
        <f aca="false">'4.1.1'!B395</f>
        <v>January</v>
      </c>
      <c r="D390" s="198"/>
      <c r="E390" s="159" t="n">
        <f aca="false">'4.1.1'!D395</f>
        <v>130.174705</v>
      </c>
      <c r="F390" s="35" t="n">
        <f aca="false">'4.1.1'!E395</f>
        <v>117.251800974627</v>
      </c>
      <c r="G390" s="35" t="n">
        <f aca="false">'4.1.1'!F395</f>
        <v>121.734642</v>
      </c>
      <c r="H390" s="159" t="n">
        <f aca="false">'4.1.1'!G395</f>
        <v>34.624</v>
      </c>
      <c r="I390" s="159" t="n">
        <f aca="false">'4.1.1'!H395</f>
        <v>49.851804</v>
      </c>
      <c r="J390" s="178"/>
      <c r="K390" s="200" t="n">
        <f aca="false">'4.1.1'!I395</f>
        <v>77.8270778976658</v>
      </c>
      <c r="L390" s="201"/>
      <c r="M390" s="160" t="n">
        <f aca="false">G390-F390</f>
        <v>4.48284102537274</v>
      </c>
      <c r="N390" s="195"/>
      <c r="O390" s="202"/>
      <c r="P390" s="197"/>
      <c r="Q390" s="197"/>
      <c r="R390" s="185"/>
      <c r="S390" s="57" t="n">
        <f aca="false">IF(ABS(F390-F389)&lt;0.05,0,F390-F389)</f>
        <v>3.21106001858335</v>
      </c>
      <c r="T390" s="178" t="n">
        <f aca="false">IF((ABS(G390/G389-1))&lt;0.0005,0,(G390/G389-1))</f>
        <v>0.0258970169968717</v>
      </c>
      <c r="U390" s="163" t="n">
        <f aca="false">IF(ABS(F390-F378)&lt;0.05,0,F390-F378)</f>
        <v>-9.88873402320324</v>
      </c>
      <c r="V390" s="164" t="n">
        <f aca="false">IF(ABS(F390/F378-1)&lt;0.0005,0,(F390/F378-1))</f>
        <v>-0.0777779802749138</v>
      </c>
      <c r="W390" s="57" t="n">
        <f aca="false">(F390/1.2)-57.95</f>
        <v>39.7598341455227</v>
      </c>
      <c r="X390" s="163" t="n">
        <f aca="false">IF(ABS(W390-W389)&lt;0.05,0,W390-W389)</f>
        <v>2.67588334881947</v>
      </c>
      <c r="Y390" s="184" t="n">
        <f aca="false">IF(ABS(W390/W389-1)&lt;0.0005,0,(W390/W389-1))</f>
        <v>0.0721574506311056</v>
      </c>
      <c r="Z390" s="163" t="n">
        <f aca="false">IF(ABS(W390-W378)&lt;0.05,0,W390-W378)</f>
        <v>-8.24061168600269</v>
      </c>
      <c r="AA390" s="155" t="n">
        <f aca="false">IF(ABS(W390/W378-1)&lt;0.0005,0,(W390/W378-1))</f>
        <v>-0.17167781555459</v>
      </c>
      <c r="AB390" s="185"/>
      <c r="AC390" s="57" t="n">
        <f aca="false">IF(ABS(G390-G389)&lt;0.05,0,G390-G389)</f>
        <v>3.07298300000001</v>
      </c>
      <c r="AD390" s="164" t="n">
        <f aca="false">IF(ABS(G390/G389-1)&lt;0.0005,0,(G390/G389-1))</f>
        <v>0.0258970169968717</v>
      </c>
      <c r="AE390" s="163" t="n">
        <f aca="false">IF(ABS(G390-G378)&lt;0.05,0,G390-G378)</f>
        <v>-10.899705</v>
      </c>
      <c r="AF390" s="164" t="n">
        <f aca="false">IF(ABS(G390/G378-1)&lt;0.0005,0,(G390/G378-1))</f>
        <v>-0.0821786003892342</v>
      </c>
      <c r="AG390" s="57" t="n">
        <f aca="false">(G390/1.2)-57.95</f>
        <v>43.495535</v>
      </c>
      <c r="AH390" s="163" t="n">
        <f aca="false">IF(ABS(AG390-AG389)&lt;0.05,0,AG390-AG389)</f>
        <v>2.56081916666668</v>
      </c>
      <c r="AI390" s="164" t="n">
        <f aca="false">IF(ABS(AG390/AG389-1)&lt;0.0005,0,(AG390/AG389-1))</f>
        <v>0.0625586159457687</v>
      </c>
      <c r="AJ390" s="163" t="n">
        <f aca="false">IF(ABS(AG390-AG378)&lt;0.05,0,AG390-AG378)</f>
        <v>-9.08308750000002</v>
      </c>
      <c r="AK390" s="155" t="n">
        <f aca="false">IF(ABS(AG390/AG378-1)&lt;0.0005,0,(AG390/AG378-1))</f>
        <v>-0.172752481295987</v>
      </c>
      <c r="AL390" s="185"/>
      <c r="AM390" s="156" t="n">
        <f aca="false">IF(E390="..","",A390)</f>
        <v>44197</v>
      </c>
      <c r="AN390" s="57" t="n">
        <f aca="false">IF(ABS(E390-E389)&lt;0.05,0,E390-E389)</f>
        <v>2.96494600000003</v>
      </c>
      <c r="AO390" s="164" t="n">
        <f aca="false">IF(ABS(E390/E389-1)&lt;0.0005,0,(E390/E389-1))</f>
        <v>0.0233075357056531</v>
      </c>
      <c r="AP390" s="163" t="n">
        <f aca="false">IF(ABS(E390-E378)&lt;0.05,0,E390-E378)</f>
        <v>-9.03692599999999</v>
      </c>
      <c r="AQ390" s="164" t="n">
        <f aca="false">IF(ABS(E390/E378-1)&lt;0.0005,0,(E390/E378-1))</f>
        <v>-0.0649150213605355</v>
      </c>
      <c r="AR390" s="57" t="n">
        <f aca="false">(E390/1.2)-57.95</f>
        <v>50.5289208333333</v>
      </c>
      <c r="AS390" s="163" t="n">
        <f aca="false">IF(ABS(AR390-AR389)&lt;0.05,0,AR390-AR389)</f>
        <v>2.47078833333335</v>
      </c>
      <c r="AT390" s="164" t="n">
        <f aca="false">IF(ABS(AR390/AR389-1)&lt;0.0005,0,(AR390/AR389-1))</f>
        <v>0.0514124915971994</v>
      </c>
      <c r="AU390" s="163" t="n">
        <f aca="false">IF(ABS(AR390-AR378)&lt;0.05,0,AR390-AR378)</f>
        <v>-7.53077166666667</v>
      </c>
      <c r="AV390" s="155" t="n">
        <f aca="false">IF(ABS(AR390/AR378-1)&lt;0.0005,0,(AR390/AR378-1))</f>
        <v>-0.129707398410122</v>
      </c>
      <c r="AW390" s="185"/>
      <c r="AX390" s="163" t="n">
        <f aca="false">IF(ABS(H390-H389)&lt;0.05,0,H390-H389)</f>
        <v>3.073</v>
      </c>
      <c r="AY390" s="164" t="n">
        <f aca="false">IF(ABS(H390/H389-1)&lt;0.0005,0,(H390/H389-1))</f>
        <v>0.0973978637761084</v>
      </c>
      <c r="AZ390" s="163" t="n">
        <f aca="false">IF(ABS(H390-H378)&lt;0.05,0,H390-H378)</f>
        <v>-13.573</v>
      </c>
      <c r="BA390" s="164" t="n">
        <f aca="false">IF(ABS(H390/H378-1)&lt;0.0005,0,(H390/H378-1))</f>
        <v>-0.281615038280391</v>
      </c>
      <c r="BB390" s="57" t="n">
        <f aca="false">(H390/1.05)</f>
        <v>32.9752380952381</v>
      </c>
      <c r="BC390" s="163" t="n">
        <f aca="false">IF(ABS(BB390-BB389)&lt;0.05,0,BB390-BB389)</f>
        <v>2.92666666666667</v>
      </c>
      <c r="BD390" s="164" t="n">
        <f aca="false">IF(ABS(BB390/BB389-1)&lt;0.0005,0,(BB390/BB389-1))</f>
        <v>0.0973978637761086</v>
      </c>
      <c r="BE390" s="163" t="n">
        <f aca="false">IF(ABS(BB390-BB378)&lt;0.05,0,BB390-BB378)</f>
        <v>-12.9266666666667</v>
      </c>
      <c r="BF390" s="155" t="n">
        <f aca="false">IF(ABS(BB390/BB378-1)&lt;0.0005,0,(BB390/BB378-1))</f>
        <v>-0.281615038280391</v>
      </c>
      <c r="BG390" s="185"/>
      <c r="BH390" s="163" t="n">
        <f aca="false">IF(ABS(I390-I389)&lt;0.05,0,I390-I389)</f>
        <v>1.705288</v>
      </c>
      <c r="BI390" s="164" t="n">
        <f aca="false">IF(ABS(I390/I389-1)&lt;0.0005,0,(I390/I389-1))</f>
        <v>0.0354187206401393</v>
      </c>
      <c r="BJ390" s="163" t="n">
        <f aca="false">IF(ABS(I390-I378)&lt;0.05,0,I390-I378)</f>
        <v>-9.968261</v>
      </c>
      <c r="BK390" s="164" t="n">
        <f aca="false">IF(ABS(I390/I378-1)&lt;0.0005,0,(I390/I378-1))</f>
        <v>-0.166637415054631</v>
      </c>
      <c r="BL390" s="57" t="n">
        <f aca="false">(I390/1.05)-11.14</f>
        <v>36.3379085714286</v>
      </c>
      <c r="BM390" s="163" t="n">
        <f aca="false">IF(ABS(BL390-BL389)&lt;0.05,0,BL390-BL389)</f>
        <v>1.6240838095238</v>
      </c>
      <c r="BN390" s="164" t="n">
        <f aca="false">IF(ABS(BL390/BL389-1)&lt;0.0005,0,(BL390/BL389-1))</f>
        <v>0.0467849285022055</v>
      </c>
      <c r="BO390" s="163" t="n">
        <f aca="false">IF(ABS(BL390-BL378)&lt;0.05,0,BL390-BL378)</f>
        <v>-9.4935819047619</v>
      </c>
      <c r="BP390" s="155" t="n">
        <f aca="false">IF(ABS(BL390/BL378-1)&lt;0.0005,0,(BL390/BL378-1))</f>
        <v>-0.207141024787178</v>
      </c>
      <c r="BQ390" s="185"/>
    </row>
    <row r="391" customFormat="false" ht="12.75" hidden="false" customHeight="false" outlineLevel="0" collapsed="false">
      <c r="A391" s="156" t="n">
        <v>44228</v>
      </c>
      <c r="B391" s="73" t="n">
        <f aca="false">'4.1.1'!A396</f>
        <v>2021</v>
      </c>
      <c r="C391" s="157" t="str">
        <f aca="false">'4.1.1'!B396</f>
        <v>February</v>
      </c>
      <c r="D391" s="198"/>
      <c r="E391" s="159" t="n">
        <f aca="false">'4.1.1'!D396</f>
        <v>133.636215</v>
      </c>
      <c r="F391" s="35" t="n">
        <f aca="false">'4.1.1'!E396</f>
        <v>120.687626542618</v>
      </c>
      <c r="G391" s="35" t="n">
        <f aca="false">'4.1.1'!F396</f>
        <v>124.912514</v>
      </c>
      <c r="H391" s="159" t="n">
        <f aca="false">'4.1.1'!G396</f>
        <v>36.858</v>
      </c>
      <c r="I391" s="159" t="n">
        <f aca="false">'4.1.1'!H396</f>
        <v>52.818608</v>
      </c>
      <c r="J391" s="178"/>
      <c r="K391" s="200" t="n">
        <f aca="false">'4.1.1'!I396</f>
        <v>84.4551300502844</v>
      </c>
      <c r="L391" s="201"/>
      <c r="M391" s="160" t="n">
        <f aca="false">G391-F391</f>
        <v>4.22488745738215</v>
      </c>
      <c r="N391" s="195"/>
      <c r="O391" s="202"/>
      <c r="P391" s="197"/>
      <c r="Q391" s="197"/>
      <c r="R391" s="185"/>
      <c r="S391" s="57" t="n">
        <f aca="false">IF(ABS(F391-F390)&lt;0.05,0,F391-F390)</f>
        <v>3.43582556799059</v>
      </c>
      <c r="T391" s="178" t="n">
        <f aca="false">IF((ABS(G391/G390-1))&lt;0.0005,0,(G391/G390-1))</f>
        <v>0.0261049110408524</v>
      </c>
      <c r="U391" s="163" t="n">
        <f aca="false">IF(ABS(F391-F379)&lt;0.05,0,F391-F379)</f>
        <v>-2.88944541598259</v>
      </c>
      <c r="V391" s="164" t="n">
        <f aca="false">IF(ABS(F391/F379-1)&lt;0.0005,0,(F391/F379-1))</f>
        <v>-0.0233817274530552</v>
      </c>
      <c r="W391" s="57" t="n">
        <f aca="false">(F391/1.2)-57.95</f>
        <v>42.6230221188482</v>
      </c>
      <c r="X391" s="163" t="n">
        <f aca="false">IF(ABS(W391-W390)&lt;0.05,0,W391-W390)</f>
        <v>2.86318797332548</v>
      </c>
      <c r="Y391" s="184" t="n">
        <f aca="false">IF(ABS(W391/W390-1)&lt;0.0005,0,(W391/W390-1))</f>
        <v>0.0720120703433038</v>
      </c>
      <c r="Z391" s="163" t="n">
        <f aca="false">IF(ABS(W391-W379)&lt;0.05,0,W391-W379)</f>
        <v>-2.40787117998551</v>
      </c>
      <c r="AA391" s="155" t="n">
        <f aca="false">IF(ABS(W391/W379-1)&lt;0.0005,0,(W391/W379-1))</f>
        <v>-0.0534715392831852</v>
      </c>
      <c r="AB391" s="185"/>
      <c r="AC391" s="57" t="n">
        <f aca="false">IF(ABS(G391-G390)&lt;0.05,0,G391-G390)</f>
        <v>3.17787200000001</v>
      </c>
      <c r="AD391" s="164" t="n">
        <f aca="false">IF(ABS(G391/G390-1)&lt;0.0005,0,(G391/G390-1))</f>
        <v>0.0261049110408524</v>
      </c>
      <c r="AE391" s="163" t="n">
        <f aca="false">IF(ABS(G391-G379)&lt;0.05,0,G391-G379)</f>
        <v>-2.87651499999998</v>
      </c>
      <c r="AF391" s="164" t="n">
        <f aca="false">IF(ABS(G391/G379-1)&lt;0.0005,0,(G391/G379-1))</f>
        <v>-0.0225098744587846</v>
      </c>
      <c r="AG391" s="57" t="n">
        <f aca="false">(G391/1.2)-57.95</f>
        <v>46.1437616666667</v>
      </c>
      <c r="AH391" s="163" t="n">
        <f aca="false">IF(ABS(AG391-AG390)&lt;0.05,0,AG391-AG390)</f>
        <v>2.64822666666667</v>
      </c>
      <c r="AI391" s="164" t="n">
        <f aca="false">IF(ABS(AG391/AG390-1)&lt;0.0005,0,(AG391/AG390-1))</f>
        <v>0.0608850234091078</v>
      </c>
      <c r="AJ391" s="163" t="n">
        <f aca="false">IF(ABS(AG391-AG379)&lt;0.05,0,AG391-AG379)</f>
        <v>-2.39709583333332</v>
      </c>
      <c r="AK391" s="155" t="n">
        <f aca="false">IF(ABS(AG391/AG379-1)&lt;0.0005,0,(AG391/AG379-1))</f>
        <v>-0.0493830549518686</v>
      </c>
      <c r="AL391" s="185"/>
      <c r="AM391" s="156" t="n">
        <f aca="false">IF(E391="..","",A391)</f>
        <v>44228</v>
      </c>
      <c r="AN391" s="57" t="n">
        <f aca="false">IF(ABS(E391-E390)&lt;0.05,0,E391-E390)</f>
        <v>3.46151</v>
      </c>
      <c r="AO391" s="164" t="n">
        <f aca="false">IF(ABS(E391/E390-1)&lt;0.0005,0,(E391/E390-1))</f>
        <v>0.0265912644088573</v>
      </c>
      <c r="AP391" s="163" t="n">
        <f aca="false">IF(ABS(E391-E379)&lt;0.05,0,E391-E379)</f>
        <v>-2.46476599999997</v>
      </c>
      <c r="AQ391" s="164" t="n">
        <f aca="false">IF(ABS(E391/E379-1)&lt;0.0005,0,(E391/E379-1))</f>
        <v>-0.0181098327278035</v>
      </c>
      <c r="AR391" s="57" t="n">
        <f aca="false">(E391/1.2)-57.95</f>
        <v>53.4135125</v>
      </c>
      <c r="AS391" s="163" t="n">
        <f aca="false">IF(ABS(AR391-AR390)&lt;0.05,0,AR391-AR390)</f>
        <v>2.88459166666668</v>
      </c>
      <c r="AT391" s="164" t="n">
        <f aca="false">IF(ABS(AR391/AR390-1)&lt;0.0005,0,(AR391/AR390-1))</f>
        <v>0.0570879333873235</v>
      </c>
      <c r="AU391" s="163" t="n">
        <f aca="false">IF(ABS(AR391-AR379)&lt;0.05,0,AR391-AR379)</f>
        <v>-2.05397166666664</v>
      </c>
      <c r="AV391" s="155" t="n">
        <f aca="false">IF(ABS(AR391/AR379-1)&lt;0.0005,0,(AR391/AR379-1))</f>
        <v>-0.0370301934101598</v>
      </c>
      <c r="AW391" s="185"/>
      <c r="AX391" s="163" t="n">
        <f aca="false">IF(ABS(H391-H390)&lt;0.05,0,H391-H390)</f>
        <v>2.23400000000001</v>
      </c>
      <c r="AY391" s="164" t="n">
        <f aca="false">IF(ABS(H391/H390-1)&lt;0.0005,0,(H391/H390-1))</f>
        <v>0.0645217190388172</v>
      </c>
      <c r="AZ391" s="163" t="n">
        <f aca="false">IF(ABS(H391-H379)&lt;0.05,0,H391-H379)</f>
        <v>-4.20399999999999</v>
      </c>
      <c r="BA391" s="164" t="n">
        <f aca="false">IF(ABS(H391/H379-1)&lt;0.0005,0,(H391/H379-1))</f>
        <v>-0.102381764161512</v>
      </c>
      <c r="BB391" s="57" t="n">
        <f aca="false">(H391/1.05)</f>
        <v>35.1028571428572</v>
      </c>
      <c r="BC391" s="163" t="n">
        <f aca="false">IF(ABS(BB391-BB390)&lt;0.05,0,BB391-BB390)</f>
        <v>2.12761904761906</v>
      </c>
      <c r="BD391" s="164" t="n">
        <f aca="false">IF(ABS(BB391/BB390-1)&lt;0.0005,0,(BB391/BB390-1))</f>
        <v>0.0645217190388172</v>
      </c>
      <c r="BE391" s="163" t="n">
        <f aca="false">IF(ABS(BB391-BB379)&lt;0.05,0,BB391-BB379)</f>
        <v>-4.00380952380952</v>
      </c>
      <c r="BF391" s="155" t="n">
        <f aca="false">IF(ABS(BB391/BB379-1)&lt;0.0005,0,(BB391/BB379-1))</f>
        <v>-0.102381764161512</v>
      </c>
      <c r="BG391" s="185"/>
      <c r="BH391" s="163" t="n">
        <f aca="false">IF(ABS(I391-I390)&lt;0.05,0,I391-I390)</f>
        <v>2.96680400000001</v>
      </c>
      <c r="BI391" s="164" t="n">
        <f aca="false">IF(ABS(I391/I390-1)&lt;0.0005,0,(I391/I390-1))</f>
        <v>0.0595124702006775</v>
      </c>
      <c r="BJ391" s="163" t="n">
        <f aca="false">IF(ABS(I391-I379)&lt;0.05,0,I391-I379)</f>
        <v>-1.381695</v>
      </c>
      <c r="BK391" s="164" t="n">
        <f aca="false">IF(ABS(I391/I379-1)&lt;0.0005,0,(I391/I379-1))</f>
        <v>-0.0254923851624962</v>
      </c>
      <c r="BL391" s="57" t="n">
        <f aca="false">(I391/1.05)-11.14</f>
        <v>39.1634361904762</v>
      </c>
      <c r="BM391" s="163" t="n">
        <f aca="false">IF(ABS(BL391-BL390)&lt;0.05,0,BL391-BL390)</f>
        <v>2.82552761904763</v>
      </c>
      <c r="BN391" s="164" t="n">
        <f aca="false">IF(ABS(BL391/BL390-1)&lt;0.0005,0,(BL391/BL390-1))</f>
        <v>0.0777570237289127</v>
      </c>
      <c r="BO391" s="163" t="n">
        <f aca="false">IF(ABS(BL391-BL379)&lt;0.05,0,BL391-BL379)</f>
        <v>-1.3159</v>
      </c>
      <c r="BP391" s="155" t="n">
        <f aca="false">IF(ABS(BL391/BL379-1)&lt;0.0005,0,(BL391/BL379-1))</f>
        <v>-0.0325079441473054</v>
      </c>
      <c r="BQ391" s="185"/>
    </row>
    <row r="392" customFormat="false" ht="12.75" hidden="false" customHeight="false" outlineLevel="0" collapsed="false">
      <c r="A392" s="156" t="n">
        <v>44256</v>
      </c>
      <c r="B392" s="73" t="n">
        <f aca="false">'4.1.1'!A397</f>
        <v>2021</v>
      </c>
      <c r="C392" s="157" t="str">
        <f aca="false">'4.1.1'!B397</f>
        <v>March</v>
      </c>
      <c r="D392" s="198"/>
      <c r="E392" s="159" t="n">
        <f aca="false">'4.1.1'!D397</f>
        <v>137.09541</v>
      </c>
      <c r="F392" s="35" t="n">
        <f aca="false">'4.1.1'!E397</f>
        <v>124.042627098907</v>
      </c>
      <c r="G392" s="35" t="n">
        <f aca="false">'4.1.1'!F397</f>
        <v>128.108541</v>
      </c>
      <c r="H392" s="159" t="n">
        <f aca="false">'4.1.1'!G397</f>
        <v>39.006</v>
      </c>
      <c r="I392" s="159" t="n">
        <f aca="false">'4.1.1'!H397</f>
        <v>55.739205</v>
      </c>
      <c r="J392" s="178"/>
      <c r="K392" s="200" t="n">
        <f aca="false">'4.1.1'!I397</f>
        <v>90.6820154172908</v>
      </c>
      <c r="L392" s="201"/>
      <c r="M392" s="160" t="n">
        <f aca="false">G392-F392</f>
        <v>4.06591390109296</v>
      </c>
      <c r="N392" s="195"/>
      <c r="O392" s="202"/>
      <c r="P392" s="197"/>
      <c r="Q392" s="197"/>
      <c r="R392" s="185"/>
      <c r="S392" s="57" t="n">
        <f aca="false">IF(ABS(F392-F391)&lt;0.05,0,F392-F391)</f>
        <v>3.35500055628917</v>
      </c>
      <c r="T392" s="178" t="n">
        <f aca="false">IF((ABS(G392/G391-1))&lt;0.0005,0,(G392/G391-1))</f>
        <v>0.0255861234207484</v>
      </c>
      <c r="U392" s="163" t="n">
        <f aca="false">IF(ABS(F392-F380)&lt;0.05,0,F392-F380)</f>
        <v>3.80340300789661</v>
      </c>
      <c r="V392" s="164" t="n">
        <f aca="false">IF(ABS(F392/F380-1)&lt;0.0005,0,(F392/F380-1))</f>
        <v>0.0316319656638651</v>
      </c>
      <c r="W392" s="57" t="n">
        <f aca="false">(F392/1.2)-57.95</f>
        <v>45.4188559157559</v>
      </c>
      <c r="X392" s="163" t="n">
        <f aca="false">IF(ABS(W392-W391)&lt;0.05,0,W392-W391)</f>
        <v>2.79583379690764</v>
      </c>
      <c r="Y392" s="184" t="n">
        <f aca="false">IF(ABS(W392/W391-1)&lt;0.0005,0,(W392/W391-1))</f>
        <v>0.0655944524325811</v>
      </c>
      <c r="Z392" s="163" t="n">
        <f aca="false">IF(ABS(W392-W380)&lt;0.05,0,W392-W380)</f>
        <v>3.1695025065805</v>
      </c>
      <c r="AA392" s="155" t="n">
        <f aca="false">IF(ABS(W392/W380-1)&lt;0.0005,0,(W392/W380-1))</f>
        <v>0.0750189588911479</v>
      </c>
      <c r="AB392" s="185"/>
      <c r="AC392" s="57" t="n">
        <f aca="false">IF(ABS(G392-G391)&lt;0.05,0,G392-G391)</f>
        <v>3.19602699999997</v>
      </c>
      <c r="AD392" s="164" t="n">
        <f aca="false">IF(ABS(G392/G391-1)&lt;0.0005,0,(G392/G391-1))</f>
        <v>0.0255861234207484</v>
      </c>
      <c r="AE392" s="163" t="n">
        <f aca="false">IF(ABS(G392-G380)&lt;0.05,0,G392-G380)</f>
        <v>4.02026999999998</v>
      </c>
      <c r="AF392" s="164" t="n">
        <f aca="false">IF(ABS(G392/G380-1)&lt;0.0005,0,(G392/G380-1))</f>
        <v>0.0323984689898691</v>
      </c>
      <c r="AG392" s="57" t="n">
        <f aca="false">(G392/1.2)-57.95</f>
        <v>48.8071175</v>
      </c>
      <c r="AH392" s="163" t="n">
        <f aca="false">IF(ABS(AG392-AG391)&lt;0.05,0,AG392-AG391)</f>
        <v>2.66335583333331</v>
      </c>
      <c r="AI392" s="164" t="n">
        <f aca="false">IF(ABS(AG392/AG391-1)&lt;0.0005,0,(AG392/AG391-1))</f>
        <v>0.0577186544212165</v>
      </c>
      <c r="AJ392" s="163" t="n">
        <f aca="false">IF(ABS(AG392-AG380)&lt;0.05,0,AG392-AG380)</f>
        <v>3.35022499999998</v>
      </c>
      <c r="AK392" s="155" t="n">
        <f aca="false">IF(ABS(AG392/AG380-1)&lt;0.0005,0,(AG392/AG380-1))</f>
        <v>0.0737011444414064</v>
      </c>
      <c r="AL392" s="185"/>
      <c r="AM392" s="156" t="n">
        <f aca="false">IF(E392="..","",A392)</f>
        <v>44256</v>
      </c>
      <c r="AN392" s="57" t="n">
        <f aca="false">IF(ABS(E392-E391)&lt;0.05,0,E392-E391)</f>
        <v>3.45919499999999</v>
      </c>
      <c r="AO392" s="164" t="n">
        <f aca="false">IF(ABS(E392/E391-1)&lt;0.0005,0,(E392/E391-1))</f>
        <v>0.0258851614436999</v>
      </c>
      <c r="AP392" s="163" t="n">
        <f aca="false">IF(ABS(E392-E380)&lt;0.05,0,E392-E380)</f>
        <v>4.35739500000003</v>
      </c>
      <c r="AQ392" s="164" t="n">
        <f aca="false">IF(ABS(E392/E380-1)&lt;0.0005,0,(E392/E380-1))</f>
        <v>0.0328270315026182</v>
      </c>
      <c r="AR392" s="57" t="n">
        <f aca="false">(E392/1.2)-57.95</f>
        <v>56.296175</v>
      </c>
      <c r="AS392" s="163" t="n">
        <f aca="false">IF(ABS(AR392-AR391)&lt;0.05,0,AR392-AR391)</f>
        <v>2.8826625</v>
      </c>
      <c r="AT392" s="164" t="n">
        <f aca="false">IF(ABS(AR392/AR391-1)&lt;0.0005,0,(AR392/AR391-1))</f>
        <v>0.0539687873925159</v>
      </c>
      <c r="AU392" s="163" t="n">
        <f aca="false">IF(ABS(AR392-AR380)&lt;0.05,0,AR392-AR380)</f>
        <v>3.63116250000003</v>
      </c>
      <c r="AV392" s="155" t="n">
        <f aca="false">IF(ABS(AR392/AR380-1)&lt;0.0005,0,(AR392/AR380-1))</f>
        <v>0.0689482889612916</v>
      </c>
      <c r="AW392" s="185"/>
      <c r="AX392" s="163" t="n">
        <f aca="false">IF(ABS(H392-H391)&lt;0.05,0,H392-H391)</f>
        <v>2.148</v>
      </c>
      <c r="AY392" s="164" t="n">
        <f aca="false">IF(ABS(H392/H391-1)&lt;0.0005,0,(H392/H391-1))</f>
        <v>0.0582777144717563</v>
      </c>
      <c r="AZ392" s="163" t="n">
        <f aca="false">IF(ABS(H392-H380)&lt;0.05,0,H392-H380)</f>
        <v>7.065</v>
      </c>
      <c r="BA392" s="164" t="n">
        <f aca="false">IF(ABS(H392/H380-1)&lt;0.0005,0,(H392/H380-1))</f>
        <v>0.221189067342913</v>
      </c>
      <c r="BB392" s="57" t="n">
        <f aca="false">(H392/1.05)</f>
        <v>37.1485714285714</v>
      </c>
      <c r="BC392" s="163" t="n">
        <f aca="false">IF(ABS(BB392-BB391)&lt;0.05,0,BB392-BB391)</f>
        <v>2.04571428571428</v>
      </c>
      <c r="BD392" s="164" t="n">
        <f aca="false">IF(ABS(BB392/BB391-1)&lt;0.0005,0,(BB392/BB391-1))</f>
        <v>0.0582777144717563</v>
      </c>
      <c r="BE392" s="163" t="n">
        <f aca="false">IF(ABS(BB392-BB380)&lt;0.05,0,BB392-BB380)</f>
        <v>6.72857142857143</v>
      </c>
      <c r="BF392" s="155" t="n">
        <f aca="false">IF(ABS(BB392/BB380-1)&lt;0.0005,0,(BB392/BB380-1))</f>
        <v>0.221189067342914</v>
      </c>
      <c r="BG392" s="185"/>
      <c r="BH392" s="163" t="n">
        <f aca="false">IF(ABS(I392-I391)&lt;0.05,0,I392-I391)</f>
        <v>2.92059699999999</v>
      </c>
      <c r="BI392" s="164" t="n">
        <f aca="false">IF(ABS(I392/I391-1)&lt;0.0005,0,(I392/I391-1))</f>
        <v>0.0552948498756347</v>
      </c>
      <c r="BJ392" s="163" t="n">
        <f aca="false">IF(ABS(I392-I380)&lt;0.05,0,I392-I380)</f>
        <v>9.51407199999999</v>
      </c>
      <c r="BK392" s="164" t="n">
        <f aca="false">IF(ABS(I392/I380-1)&lt;0.0005,0,(I392/I380-1))</f>
        <v>0.205820327223288</v>
      </c>
      <c r="BL392" s="57" t="n">
        <f aca="false">(I392/1.05)-11.14</f>
        <v>41.9449571428571</v>
      </c>
      <c r="BM392" s="163" t="n">
        <f aca="false">IF(ABS(BL392-BL391)&lt;0.05,0,BL392-BL391)</f>
        <v>2.78152095238095</v>
      </c>
      <c r="BN392" s="164" t="n">
        <f aca="false">IF(ABS(BL392/BL391-1)&lt;0.0005,0,(BL392/BL391-1))</f>
        <v>0.0710234142594812</v>
      </c>
      <c r="BO392" s="163" t="n">
        <f aca="false">IF(ABS(BL392-BL380)&lt;0.05,0,BL392-BL380)</f>
        <v>9.06102095238095</v>
      </c>
      <c r="BP392" s="155" t="n">
        <f aca="false">IF(ABS(BL392/BL380-1)&lt;0.0005,0,(BL392/BL380-1))</f>
        <v>0.275545509512489</v>
      </c>
      <c r="BQ392" s="185"/>
    </row>
    <row r="393" customFormat="false" ht="12.75" hidden="false" customHeight="false" outlineLevel="0" collapsed="false">
      <c r="A393" s="156" t="n">
        <v>44287</v>
      </c>
      <c r="B393" s="73" t="n">
        <f aca="false">'4.1.1'!A398</f>
        <v>2021</v>
      </c>
      <c r="C393" s="157" t="str">
        <f aca="false">'4.1.1'!B398</f>
        <v>April</v>
      </c>
      <c r="D393" s="198"/>
      <c r="E393" s="159" t="n">
        <f aca="false">'4.1.1'!D398</f>
        <v>138.415157</v>
      </c>
      <c r="F393" s="35" t="n">
        <f aca="false">'4.1.1'!E398</f>
        <v>125.472934167432</v>
      </c>
      <c r="G393" s="35" t="n">
        <f aca="false">'4.1.1'!F398</f>
        <v>129.224259</v>
      </c>
      <c r="H393" s="159" t="n">
        <f aca="false">'4.1.1'!G398</f>
        <v>41.247</v>
      </c>
      <c r="I393" s="159" t="n">
        <f aca="false">'4.1.1'!H398</f>
        <v>54.181309</v>
      </c>
      <c r="J393" s="178"/>
      <c r="K393" s="200" t="n">
        <f aca="false">'4.1.1'!I398</f>
        <v>91.0610154487598</v>
      </c>
      <c r="L393" s="201"/>
      <c r="M393" s="160" t="n">
        <f aca="false">G393-F393</f>
        <v>3.7513248325682</v>
      </c>
      <c r="N393" s="195"/>
      <c r="O393" s="202"/>
      <c r="P393" s="197"/>
      <c r="Q393" s="197"/>
      <c r="R393" s="185"/>
      <c r="S393" s="57" t="n">
        <f aca="false">IF(ABS(F393-F392)&lt;0.05,0,F393-F392)</f>
        <v>1.43030706852477</v>
      </c>
      <c r="T393" s="178" t="n">
        <f aca="false">IF((ABS(G393/G392-1))&lt;0.0005,0,(G393/G392-1))</f>
        <v>0.00870916170999103</v>
      </c>
      <c r="U393" s="163" t="n">
        <f aca="false">IF(ABS(F393-F381)&lt;0.05,0,F393-F381)</f>
        <v>16.5026852273318</v>
      </c>
      <c r="V393" s="164" t="n">
        <f aca="false">IF(ABS(F393/F381-1)&lt;0.0005,0,(F393/F381-1))</f>
        <v>0.151442117347123</v>
      </c>
      <c r="W393" s="57" t="n">
        <f aca="false">(F393/1.2)-57.95</f>
        <v>46.6107784728599</v>
      </c>
      <c r="X393" s="163" t="n">
        <f aca="false">IF(ABS(W393-W392)&lt;0.05,0,W393-W392)</f>
        <v>1.19192255710398</v>
      </c>
      <c r="Y393" s="184" t="n">
        <f aca="false">IF(ABS(W393/W392-1)&lt;0.0005,0,(W393/W392-1))</f>
        <v>0.026242901391325</v>
      </c>
      <c r="Z393" s="163" t="n">
        <f aca="false">IF(ABS(W393-W381)&lt;0.05,0,W393-W381)</f>
        <v>13.7522376894431</v>
      </c>
      <c r="AA393" s="155" t="n">
        <f aca="false">IF(ABS(W393/W381-1)&lt;0.0005,0,(W393/W381-1))</f>
        <v>0.418528557920129</v>
      </c>
      <c r="AB393" s="185"/>
      <c r="AC393" s="57" t="n">
        <f aca="false">IF(ABS(G393-G392)&lt;0.05,0,G393-G392)</f>
        <v>1.11571800000002</v>
      </c>
      <c r="AD393" s="164" t="n">
        <f aca="false">IF(ABS(G393/G392-1)&lt;0.0005,0,(G393/G392-1))</f>
        <v>0.00870916170999103</v>
      </c>
      <c r="AE393" s="163" t="n">
        <f aca="false">IF(ABS(G393-G381)&lt;0.05,0,G393-G381)</f>
        <v>13.410831</v>
      </c>
      <c r="AF393" s="164" t="n">
        <f aca="false">IF(ABS(G393/G381-1)&lt;0.0005,0,(G393/G381-1))</f>
        <v>0.115796857338512</v>
      </c>
      <c r="AG393" s="57" t="n">
        <f aca="false">(G393/1.2)-57.95</f>
        <v>49.7368825</v>
      </c>
      <c r="AH393" s="163" t="n">
        <f aca="false">IF(ABS(AG393-AG392)&lt;0.05,0,AG393-AG392)</f>
        <v>0.929765000000018</v>
      </c>
      <c r="AI393" s="164" t="n">
        <f aca="false">IF(ABS(AG393/AG392-1)&lt;0.0005,0,(AG393/AG392-1))</f>
        <v>0.019049783056744</v>
      </c>
      <c r="AJ393" s="163" t="n">
        <f aca="false">IF(ABS(AG393-AG381)&lt;0.05,0,AG393-AG381)</f>
        <v>11.1756925</v>
      </c>
      <c r="AK393" s="155" t="n">
        <f aca="false">IF(ABS(AG393/AG381-1)&lt;0.0005,0,(AG393/AG381-1))</f>
        <v>0.28981710626669</v>
      </c>
      <c r="AL393" s="185"/>
      <c r="AM393" s="156" t="n">
        <f aca="false">IF(E393="..","",A393)</f>
        <v>44287</v>
      </c>
      <c r="AN393" s="57" t="n">
        <f aca="false">IF(ABS(E393-E392)&lt;0.05,0,E393-E392)</f>
        <v>1.31974700000001</v>
      </c>
      <c r="AO393" s="164" t="n">
        <f aca="false">IF(ABS(E393/E392-1)&lt;0.0005,0,(E393/E392-1))</f>
        <v>0.009626485671548</v>
      </c>
      <c r="AP393" s="163" t="n">
        <f aca="false">IF(ABS(E393-E381)&lt;0.05,0,E393-E381)</f>
        <v>15.287435</v>
      </c>
      <c r="AQ393" s="164" t="n">
        <f aca="false">IF(ABS(E393/E381-1)&lt;0.0005,0,(E393/E381-1))</f>
        <v>0.124159163766548</v>
      </c>
      <c r="AR393" s="57" t="n">
        <f aca="false">(E393/1.2)-57.95</f>
        <v>57.3959641666667</v>
      </c>
      <c r="AS393" s="163" t="n">
        <f aca="false">IF(ABS(AR393-AR392)&lt;0.05,0,AR393-AR392)</f>
        <v>1.09978916666667</v>
      </c>
      <c r="AT393" s="164" t="n">
        <f aca="false">IF(ABS(AR393/AR392-1)&lt;0.0005,0,(AR393/AR392-1))</f>
        <v>0.0195357707102954</v>
      </c>
      <c r="AU393" s="163" t="n">
        <f aca="false">IF(ABS(AR393-AR381)&lt;0.05,0,AR393-AR381)</f>
        <v>12.7395291666667</v>
      </c>
      <c r="AV393" s="155" t="n">
        <f aca="false">IF(ABS(AR393/AR381-1)&lt;0.0005,0,(AR393/AR381-1))</f>
        <v>0.285278687532193</v>
      </c>
      <c r="AW393" s="185"/>
      <c r="AX393" s="163" t="n">
        <f aca="false">IF(ABS(H393-H392)&lt;0.05,0,H393-H392)</f>
        <v>2.241</v>
      </c>
      <c r="AY393" s="164" t="n">
        <f aca="false">IF(ABS(H393/H392-1)&lt;0.0005,0,(H393/H392-1))</f>
        <v>0.0574526995846794</v>
      </c>
      <c r="AZ393" s="163" t="n">
        <f aca="false">IF(ABS(H393-H381)&lt;0.05,0,H393-H381)</f>
        <v>18.827</v>
      </c>
      <c r="BA393" s="164" t="n">
        <f aca="false">IF(ABS(H393/H381-1)&lt;0.0005,0,(H393/H381-1))</f>
        <v>0.839741302408564</v>
      </c>
      <c r="BB393" s="57" t="n">
        <f aca="false">(H393/1.05)</f>
        <v>39.2828571428571</v>
      </c>
      <c r="BC393" s="163" t="n">
        <f aca="false">IF(ABS(BB393-BB392)&lt;0.05,0,BB393-BB392)</f>
        <v>2.13428571428571</v>
      </c>
      <c r="BD393" s="164" t="n">
        <f aca="false">IF(ABS(BB393/BB392-1)&lt;0.0005,0,(BB393/BB392-1))</f>
        <v>0.0574526995846791</v>
      </c>
      <c r="BE393" s="163" t="n">
        <f aca="false">IF(ABS(BB393-BB381)&lt;0.05,0,BB393-BB381)</f>
        <v>17.9304761904762</v>
      </c>
      <c r="BF393" s="155" t="n">
        <f aca="false">IF(ABS(BB393/BB381-1)&lt;0.0005,0,(BB393/BB381-1))</f>
        <v>0.839741302408563</v>
      </c>
      <c r="BG393" s="185"/>
      <c r="BH393" s="163" t="n">
        <f aca="false">IF(ABS(I393-I392)&lt;0.05,0,I393-I392)</f>
        <v>-1.557896</v>
      </c>
      <c r="BI393" s="164" t="n">
        <f aca="false">IF(ABS(I393/I392-1)&lt;0.0005,0,(I393/I392-1))</f>
        <v>-0.0279497348410334</v>
      </c>
      <c r="BJ393" s="163" t="n">
        <f aca="false">IF(ABS(I393-I381)&lt;0.05,0,I393-I381)</f>
        <v>12.954629</v>
      </c>
      <c r="BK393" s="164" t="n">
        <f aca="false">IF(ABS(I393/I381-1)&lt;0.0005,0,(I393/I381-1))</f>
        <v>0.31422925639416</v>
      </c>
      <c r="BL393" s="57" t="n">
        <f aca="false">(I393/1.05)-11.14</f>
        <v>40.4612466666667</v>
      </c>
      <c r="BM393" s="163" t="n">
        <f aca="false">IF(ABS(BL393-BL392)&lt;0.05,0,BL393-BL392)</f>
        <v>-1.48371047619048</v>
      </c>
      <c r="BN393" s="164" t="n">
        <f aca="false">IF(ABS(BL393/BL392-1)&lt;0.0005,0,(BL393/BL392-1))</f>
        <v>-0.0353727975245564</v>
      </c>
      <c r="BO393" s="163" t="n">
        <f aca="false">IF(ABS(BL393-BL381)&lt;0.05,0,BL393-BL381)</f>
        <v>12.3377419047619</v>
      </c>
      <c r="BP393" s="155" t="n">
        <f aca="false">IF(ABS(BL393/BL381-1)&lt;0.0005,0,(BL393/BL381-1))</f>
        <v>0.438698590706029</v>
      </c>
      <c r="BQ393" s="185"/>
    </row>
    <row r="394" customFormat="false" ht="12.75" hidden="false" customHeight="false" outlineLevel="0" collapsed="false">
      <c r="A394" s="156" t="n">
        <v>44317</v>
      </c>
      <c r="B394" s="73" t="n">
        <f aca="false">'4.1.1'!A399</f>
        <v>2021</v>
      </c>
      <c r="C394" s="157" t="str">
        <f aca="false">'4.1.1'!B399</f>
        <v>May</v>
      </c>
      <c r="D394" s="198"/>
      <c r="E394" s="159" t="n">
        <f aca="false">'4.1.1'!D399</f>
        <v>140.538731</v>
      </c>
      <c r="F394" s="35" t="n">
        <f aca="false">'4.1.1'!E399</f>
        <v>127.307223713343</v>
      </c>
      <c r="G394" s="35" t="n">
        <f aca="false">'4.1.1'!F399</f>
        <v>130.931119</v>
      </c>
      <c r="H394" s="159" t="n">
        <f aca="false">'4.1.1'!G399</f>
        <v>39.534</v>
      </c>
      <c r="I394" s="159" t="n">
        <f aca="false">'4.1.1'!H399</f>
        <v>56.469793</v>
      </c>
      <c r="J394" s="178"/>
      <c r="K394" s="200" t="n">
        <f aca="false">'4.1.1'!I399</f>
        <v>93.0168494630398</v>
      </c>
      <c r="L394" s="201"/>
      <c r="M394" s="160" t="n">
        <f aca="false">G394-F394</f>
        <v>3.62389528665665</v>
      </c>
      <c r="N394" s="195"/>
      <c r="O394" s="202"/>
      <c r="P394" s="197"/>
      <c r="Q394" s="197"/>
      <c r="R394" s="185"/>
      <c r="S394" s="57" t="n">
        <f aca="false">IF(ABS(F394-F393)&lt;0.05,0,F394-F393)</f>
        <v>1.83428954591156</v>
      </c>
      <c r="T394" s="178" t="n">
        <f aca="false">IF((ABS(G394/G393-1))&lt;0.0005,0,(G394/G393-1))</f>
        <v>0.0132085106404054</v>
      </c>
      <c r="U394" s="163" t="n">
        <f aca="false">IF(ABS(F394-F382)&lt;0.05,0,F394-F382)</f>
        <v>22.5276639288546</v>
      </c>
      <c r="V394" s="164" t="n">
        <f aca="false">IF(ABS(F394/F382-1)&lt;0.0005,0,(F394/F382-1))</f>
        <v>0.215000559032598</v>
      </c>
      <c r="W394" s="57" t="n">
        <f aca="false">(F394/1.2)-57.95</f>
        <v>48.1393530944528</v>
      </c>
      <c r="X394" s="163" t="n">
        <f aca="false">IF(ABS(W394-W393)&lt;0.05,0,W394-W393)</f>
        <v>1.52857462159297</v>
      </c>
      <c r="Y394" s="184" t="n">
        <f aca="false">IF(ABS(W394/W393-1)&lt;0.0005,0,(W394/W393-1))</f>
        <v>0.0327944452265052</v>
      </c>
      <c r="Z394" s="163" t="n">
        <f aca="false">IF(ABS(W394-W382)&lt;0.05,0,W394-W382)</f>
        <v>18.7730532740455</v>
      </c>
      <c r="AA394" s="155" t="n">
        <f aca="false">IF(ABS(W394/W382-1)&lt;0.0005,0,(W394/W382-1))</f>
        <v>0.639272001881549</v>
      </c>
      <c r="AB394" s="185"/>
      <c r="AC394" s="57" t="n">
        <f aca="false">IF(ABS(G394-G393)&lt;0.05,0,G394-G393)</f>
        <v>1.70686000000001</v>
      </c>
      <c r="AD394" s="164" t="n">
        <f aca="false">IF(ABS(G394/G393-1)&lt;0.0005,0,(G394/G393-1))</f>
        <v>0.0132085106404054</v>
      </c>
      <c r="AE394" s="163" t="n">
        <f aca="false">IF(ABS(G394-G382)&lt;0.05,0,G394-G382)</f>
        <v>19.315364</v>
      </c>
      <c r="AF394" s="164" t="n">
        <f aca="false">IF(ABS(G394/G382-1)&lt;0.0005,0,(G394/G382-1))</f>
        <v>0.173052307893272</v>
      </c>
      <c r="AG394" s="57" t="n">
        <f aca="false">(G394/1.2)-57.95</f>
        <v>51.1592658333334</v>
      </c>
      <c r="AH394" s="163" t="n">
        <f aca="false">IF(ABS(AG394-AG393)&lt;0.05,0,AG394-AG393)</f>
        <v>1.42238333333333</v>
      </c>
      <c r="AI394" s="164" t="n">
        <f aca="false">IF(ABS(AG394/AG393-1)&lt;0.0005,0,(AG394/AG393-1))</f>
        <v>0.0285981601949685</v>
      </c>
      <c r="AJ394" s="163" t="n">
        <f aca="false">IF(ABS(AG394-AG382)&lt;0.05,0,AG394-AG382)</f>
        <v>16.0961366666667</v>
      </c>
      <c r="AK394" s="155" t="n">
        <f aca="false">IF(ABS(AG394/AG382-1)&lt;0.0005,0,(AG394/AG382-1))</f>
        <v>0.459061613986487</v>
      </c>
      <c r="AL394" s="185"/>
      <c r="AM394" s="156" t="n">
        <f aca="false">IF(E394="..","",A394)</f>
        <v>44317</v>
      </c>
      <c r="AN394" s="57" t="n">
        <f aca="false">IF(ABS(E394-E393)&lt;0.05,0,E394-E393)</f>
        <v>2.12357399999999</v>
      </c>
      <c r="AO394" s="164" t="n">
        <f aca="false">IF(ABS(E394/E393-1)&lt;0.0005,0,(E394/E393-1))</f>
        <v>0.0153420625748377</v>
      </c>
      <c r="AP394" s="163" t="n">
        <f aca="false">IF(ABS(E394-E382)&lt;0.05,0,E394-E382)</f>
        <v>21.693018</v>
      </c>
      <c r="AQ394" s="164" t="n">
        <f aca="false">IF(ABS(E394/E382-1)&lt;0.0005,0,(E394/E382-1))</f>
        <v>0.182530925621188</v>
      </c>
      <c r="AR394" s="57" t="n">
        <f aca="false">(E394/1.2)-57.95</f>
        <v>59.1656091666667</v>
      </c>
      <c r="AS394" s="163" t="n">
        <f aca="false">IF(ABS(AR394-AR393)&lt;0.05,0,AR394-AR393)</f>
        <v>1.769645</v>
      </c>
      <c r="AT394" s="164" t="n">
        <f aca="false">IF(ABS(AR394/AR393-1)&lt;0.0005,0,(AR394/AR393-1))</f>
        <v>0.0308322200993312</v>
      </c>
      <c r="AU394" s="163" t="n">
        <f aca="false">IF(ABS(AR394-AR382)&lt;0.05,0,AR394-AR382)</f>
        <v>18.077515</v>
      </c>
      <c r="AV394" s="155" t="n">
        <f aca="false">IF(ABS(AR394/AR382-1)&lt;0.0005,0,(AR394/AR382-1))</f>
        <v>0.439969664367291</v>
      </c>
      <c r="AW394" s="185"/>
      <c r="AX394" s="163" t="n">
        <f aca="false">IF(ABS(H394-H393)&lt;0.05,0,H394-H393)</f>
        <v>-1.713</v>
      </c>
      <c r="AY394" s="164" t="n">
        <f aca="false">IF(ABS(H394/H393-1)&lt;0.0005,0,(H394/H393-1))</f>
        <v>-0.0415302931122263</v>
      </c>
      <c r="AZ394" s="163" t="n">
        <f aca="false">IF(ABS(H394-H382)&lt;0.05,0,H394-H382)</f>
        <v>19.27</v>
      </c>
      <c r="BA394" s="164" t="n">
        <f aca="false">IF(ABS(H394/H382-1)&lt;0.0005,0,(H394/H382-1))</f>
        <v>0.950947493091196</v>
      </c>
      <c r="BB394" s="57" t="n">
        <f aca="false">(H394/1.05)</f>
        <v>37.6514285714286</v>
      </c>
      <c r="BC394" s="163" t="n">
        <f aca="false">IF(ABS(BB394-BB393)&lt;0.05,0,BB394-BB393)</f>
        <v>-1.63142857142857</v>
      </c>
      <c r="BD394" s="164" t="n">
        <f aca="false">IF(ABS(BB394/BB393-1)&lt;0.0005,0,(BB394/BB393-1))</f>
        <v>-0.0415302931122263</v>
      </c>
      <c r="BE394" s="163" t="n">
        <f aca="false">IF(ABS(BB394-BB382)&lt;0.05,0,BB394-BB382)</f>
        <v>18.352380952381</v>
      </c>
      <c r="BF394" s="155" t="n">
        <f aca="false">IF(ABS(BB394/BB382-1)&lt;0.0005,0,(BB394/BB382-1))</f>
        <v>0.950947493091196</v>
      </c>
      <c r="BG394" s="185"/>
      <c r="BH394" s="163" t="n">
        <f aca="false">IF(ABS(I394-I393)&lt;0.05,0,I394-I393)</f>
        <v>2.288484</v>
      </c>
      <c r="BI394" s="164" t="n">
        <f aca="false">IF(ABS(I394/I393-1)&lt;0.0005,0,(I394/I393-1))</f>
        <v>0.0422375177388203</v>
      </c>
      <c r="BJ394" s="163" t="n">
        <f aca="false">IF(ABS(I394-I382)&lt;0.05,0,I394-I382)</f>
        <v>18.070415</v>
      </c>
      <c r="BK394" s="164" t="n">
        <f aca="false">IF(ABS(I394/I382-1)&lt;0.0005,0,(I394/I382-1))</f>
        <v>0.470591346557749</v>
      </c>
      <c r="BL394" s="57" t="n">
        <f aca="false">(I394/1.05)-11.14</f>
        <v>42.6407552380952</v>
      </c>
      <c r="BM394" s="163" t="n">
        <f aca="false">IF(ABS(BL394-BL393)&lt;0.05,0,BL394-BL393)</f>
        <v>2.17950857142858</v>
      </c>
      <c r="BN394" s="164" t="n">
        <f aca="false">IF(ABS(BL394/BL393-1)&lt;0.0005,0,(BL394/BL393-1))</f>
        <v>0.0538665698905449</v>
      </c>
      <c r="BO394" s="163" t="n">
        <f aca="false">IF(ABS(BL394-BL382)&lt;0.05,0,BL394-BL382)</f>
        <v>17.2099190476191</v>
      </c>
      <c r="BP394" s="155" t="n">
        <f aca="false">IF(ABS(BL394/BL382-1)&lt;0.0005,0,(BL394/BL382-1))</f>
        <v>0.676734296848019</v>
      </c>
      <c r="BQ394" s="185"/>
    </row>
    <row r="395" customFormat="false" ht="12.75" hidden="false" customHeight="false" outlineLevel="0" collapsed="false">
      <c r="A395" s="156" t="n">
        <v>44348</v>
      </c>
      <c r="B395" s="73" t="n">
        <f aca="false">'4.1.1'!A400</f>
        <v>2021</v>
      </c>
      <c r="C395" s="157" t="str">
        <f aca="false">'4.1.1'!B400</f>
        <v>June</v>
      </c>
      <c r="D395" s="198"/>
      <c r="E395" s="159" t="n">
        <f aca="false">'4.1.1'!D400</f>
        <v>142.554143149</v>
      </c>
      <c r="F395" s="35" t="n">
        <f aca="false">'4.1.1'!E400</f>
        <v>129.318973927591</v>
      </c>
      <c r="G395" s="35" t="n">
        <f aca="false">'4.1.1'!F400</f>
        <v>132.9087992</v>
      </c>
      <c r="H395" s="159" t="n">
        <f aca="false">'4.1.1'!G400</f>
        <v>39.905</v>
      </c>
      <c r="I395" s="159" t="n">
        <f aca="false">'4.1.1'!H400</f>
        <v>56.754743</v>
      </c>
      <c r="J395" s="178"/>
      <c r="K395" s="200" t="n">
        <f aca="false">'4.1.1'!I400</f>
        <v>98.7159276065051</v>
      </c>
      <c r="L395" s="201"/>
      <c r="M395" s="160" t="n">
        <f aca="false">G395-F395</f>
        <v>3.58982527240906</v>
      </c>
      <c r="N395" s="195"/>
      <c r="O395" s="202"/>
      <c r="P395" s="197"/>
      <c r="Q395" s="197"/>
      <c r="R395" s="185"/>
      <c r="S395" s="57" t="n">
        <f aca="false">IF(ABS(F395-F394)&lt;0.05,0,F395-F394)</f>
        <v>2.01175021424763</v>
      </c>
      <c r="T395" s="178" t="n">
        <f aca="false">IF((ABS(G395/G394-1))&lt;0.0005,0,(G395/G394-1))</f>
        <v>0.015104737629257</v>
      </c>
      <c r="U395" s="163" t="n">
        <f aca="false">IF(ABS(F395-F383)&lt;0.05,0,F395-F383)</f>
        <v>23.4842426952494</v>
      </c>
      <c r="V395" s="164" t="n">
        <f aca="false">IF(ABS(F395/F383-1)&lt;0.0005,0,(F395/F383-1))</f>
        <v>0.221895425271066</v>
      </c>
      <c r="W395" s="57" t="n">
        <f aca="false">(F395/1.2)-57.95</f>
        <v>49.8158116063258</v>
      </c>
      <c r="X395" s="163" t="n">
        <f aca="false">IF(ABS(W395-W394)&lt;0.05,0,W395-W394)</f>
        <v>1.67645851187302</v>
      </c>
      <c r="Y395" s="184" t="n">
        <f aca="false">IF(ABS(W395/W394-1)&lt;0.0005,0,(W395/W394-1))</f>
        <v>0.0348251150900116</v>
      </c>
      <c r="Z395" s="163" t="n">
        <f aca="false">IF(ABS(W395-W383)&lt;0.05,0,W395-W383)</f>
        <v>19.5702022460412</v>
      </c>
      <c r="AA395" s="155" t="n">
        <f aca="false">IF(ABS(W395/W383-1)&lt;0.0005,0,(W395/W383-1))</f>
        <v>0.647042749673899</v>
      </c>
      <c r="AB395" s="185"/>
      <c r="AC395" s="57" t="n">
        <f aca="false">IF(ABS(G395-G394)&lt;0.05,0,G395-G394)</f>
        <v>1.97768020000004</v>
      </c>
      <c r="AD395" s="164" t="n">
        <f aca="false">IF(ABS(G395/G394-1)&lt;0.0005,0,(G395/G394-1))</f>
        <v>0.015104737629257</v>
      </c>
      <c r="AE395" s="163" t="n">
        <f aca="false">IF(ABS(G395-G383)&lt;0.05,0,G395-G383)</f>
        <v>21.0072952000001</v>
      </c>
      <c r="AF395" s="164" t="n">
        <f aca="false">IF(ABS(G395/G383-1)&lt;0.0005,0,(G395/G383-1))</f>
        <v>0.187730231043187</v>
      </c>
      <c r="AG395" s="57" t="n">
        <f aca="false">(G395/1.2)-57.95</f>
        <v>52.8073326666667</v>
      </c>
      <c r="AH395" s="163" t="n">
        <f aca="false">IF(ABS(AG395-AG394)&lt;0.05,0,AG395-AG394)</f>
        <v>1.64806683333337</v>
      </c>
      <c r="AI395" s="164" t="n">
        <f aca="false">IF(ABS(AG395/AG394-1)&lt;0.0005,0,(AG395/AG394-1))</f>
        <v>0.0322144347947144</v>
      </c>
      <c r="AJ395" s="163" t="n">
        <f aca="false">IF(ABS(AG395-AG383)&lt;0.05,0,AG395-AG383)</f>
        <v>17.5060793333334</v>
      </c>
      <c r="AK395" s="155" t="n">
        <f aca="false">IF(ABS(AG395/AG383-1)&lt;0.0005,0,(AG395/AG383-1))</f>
        <v>0.495905320075512</v>
      </c>
      <c r="AL395" s="185"/>
      <c r="AM395" s="156" t="n">
        <f aca="false">IF(E395="..","",A395)</f>
        <v>44348</v>
      </c>
      <c r="AN395" s="57" t="n">
        <f aca="false">IF(ABS(E395-E394)&lt;0.05,0,E395-E394)</f>
        <v>2.01541214899999</v>
      </c>
      <c r="AO395" s="164" t="n">
        <f aca="false">IF(ABS(E395/E394-1)&lt;0.0005,0,(E395/E394-1))</f>
        <v>0.0143406172423741</v>
      </c>
      <c r="AP395" s="163" t="n">
        <f aca="false">IF(ABS(E395-E383)&lt;0.05,0,E395-E383)</f>
        <v>22.463098149</v>
      </c>
      <c r="AQ395" s="164" t="n">
        <f aca="false">IF(ABS(E395/E383-1)&lt;0.0005,0,(E395/E383-1))</f>
        <v>0.187050567750493</v>
      </c>
      <c r="AR395" s="57" t="n">
        <f aca="false">(E395/1.2)-57.95</f>
        <v>60.8451192908333</v>
      </c>
      <c r="AS395" s="163" t="n">
        <f aca="false">IF(ABS(AR395-AR394)&lt;0.05,0,AR395-AR394)</f>
        <v>1.67951012416665</v>
      </c>
      <c r="AT395" s="164" t="n">
        <f aca="false">IF(ABS(AR395/AR394-1)&lt;0.0005,0,(AR395/AR394-1))</f>
        <v>0.0283865939660244</v>
      </c>
      <c r="AU395" s="163" t="n">
        <f aca="false">IF(ABS(AR395-AR383)&lt;0.05,0,AR395-AR383)</f>
        <v>18.7192484575</v>
      </c>
      <c r="AV395" s="155" t="n">
        <f aca="false">IF(ABS(AR395/AR383-1)&lt;0.0005,0,(AR395/AR383-1))</f>
        <v>0.444364664449568</v>
      </c>
      <c r="AW395" s="185"/>
      <c r="AX395" s="163" t="n">
        <f aca="false">IF(ABS(H395-H394)&lt;0.05,0,H395-H394)</f>
        <v>0.371000000000002</v>
      </c>
      <c r="AY395" s="164" t="n">
        <f aca="false">IF(ABS(H395/H394-1)&lt;0.0005,0,(H395/H394-1))</f>
        <v>0.00938432741437745</v>
      </c>
      <c r="AZ395" s="163" t="n">
        <f aca="false">IF(ABS(H395-H383)&lt;0.05,0,H395-H383)</f>
        <v>13.693</v>
      </c>
      <c r="BA395" s="164" t="n">
        <f aca="false">IF(ABS(H395/H383-1)&lt;0.0005,0,(H395/H383-1))</f>
        <v>0.522394323210743</v>
      </c>
      <c r="BB395" s="57" t="n">
        <f aca="false">(H395/1.05)</f>
        <v>38.0047619047619</v>
      </c>
      <c r="BC395" s="163" t="n">
        <f aca="false">IF(ABS(BB395-BB394)&lt;0.05,0,BB395-BB394)</f>
        <v>0.353333333333339</v>
      </c>
      <c r="BD395" s="164" t="n">
        <f aca="false">IF(ABS(BB395/BB394-1)&lt;0.0005,0,(BB395/BB394-1))</f>
        <v>0.00938432741437767</v>
      </c>
      <c r="BE395" s="163" t="n">
        <f aca="false">IF(ABS(BB395-BB383)&lt;0.05,0,BB395-BB383)</f>
        <v>13.0409523809524</v>
      </c>
      <c r="BF395" s="155" t="n">
        <f aca="false">IF(ABS(BB395/BB383-1)&lt;0.0005,0,(BB395/BB383-1))</f>
        <v>0.522394323210743</v>
      </c>
      <c r="BG395" s="185"/>
      <c r="BH395" s="163" t="n">
        <f aca="false">IF(ABS(I395-I394)&lt;0.05,0,I395-I394)</f>
        <v>0.284949999999995</v>
      </c>
      <c r="BI395" s="164" t="n">
        <f aca="false">IF(ABS(I395/I394-1)&lt;0.0005,0,(I395/I394-1))</f>
        <v>0.00504606064343105</v>
      </c>
      <c r="BJ395" s="163" t="n">
        <f aca="false">IF(ABS(I395-I383)&lt;0.05,0,I395-I383)</f>
        <v>13.518664</v>
      </c>
      <c r="BK395" s="164" t="n">
        <f aca="false">IF(ABS(I395/I383-1)&lt;0.0005,0,(I395/I383-1))</f>
        <v>0.312670906166121</v>
      </c>
      <c r="BL395" s="57" t="n">
        <f aca="false">(I395/1.05)-11.14</f>
        <v>42.9121361904762</v>
      </c>
      <c r="BM395" s="163" t="n">
        <f aca="false">IF(ABS(BL395-BL394)&lt;0.05,0,BL395-BL394)</f>
        <v>0.271380952380945</v>
      </c>
      <c r="BN395" s="164" t="n">
        <f aca="false">IF(ABS(BL395/BL394-1)&lt;0.0005,0,(BL395/BL394-1))</f>
        <v>0.00636435613922926</v>
      </c>
      <c r="BO395" s="163" t="n">
        <f aca="false">IF(ABS(BL395-BL383)&lt;0.05,0,BL395-BL383)</f>
        <v>12.8749180952381</v>
      </c>
      <c r="BP395" s="155" t="n">
        <f aca="false">IF(ABS(BL395/BL383-1)&lt;0.0005,0,(BL395/BL383-1))</f>
        <v>0.428632174072046</v>
      </c>
      <c r="BQ395" s="185"/>
    </row>
    <row r="396" customFormat="false" ht="12.75" hidden="false" customHeight="false" outlineLevel="0" collapsed="false">
      <c r="A396" s="156" t="n">
        <v>44348</v>
      </c>
      <c r="B396" s="73" t="n">
        <f aca="false">'4.1.1'!A401</f>
        <v>2021</v>
      </c>
      <c r="C396" s="157" t="str">
        <f aca="false">'4.1.1'!B401</f>
        <v>July</v>
      </c>
      <c r="D396" s="198"/>
      <c r="E396" s="159" t="n">
        <f aca="false">'4.1.1'!D401</f>
        <v>146.87655023</v>
      </c>
      <c r="F396" s="35" t="n">
        <f aca="false">'4.1.1'!E401</f>
        <v>132.743216429512</v>
      </c>
      <c r="G396" s="35" t="n">
        <f aca="false">'4.1.1'!F401</f>
        <v>135.365912064</v>
      </c>
      <c r="H396" s="159" t="n">
        <f aca="false">'4.1.1'!G401</f>
        <v>41.717</v>
      </c>
      <c r="I396" s="159" t="n">
        <f aca="false">'4.1.1'!H401</f>
        <v>58.049391</v>
      </c>
      <c r="J396" s="178"/>
      <c r="K396" s="200" t="n">
        <f aca="false">'4.1.1'!I401</f>
        <v>104.553542805261</v>
      </c>
      <c r="L396" s="201"/>
      <c r="M396" s="160" t="n">
        <f aca="false">G396-F396</f>
        <v>2.6226956344882</v>
      </c>
      <c r="N396" s="195"/>
      <c r="O396" s="202"/>
      <c r="P396" s="197"/>
      <c r="Q396" s="197"/>
      <c r="R396" s="185"/>
      <c r="S396" s="57" t="n">
        <f aca="false">IF(ABS(F396-F395)&lt;0.05,0,F396-F395)</f>
        <v>3.42424250192082</v>
      </c>
      <c r="T396" s="178" t="n">
        <f aca="false">IF((ABS(G396/G395-1))&lt;0.0005,0,(G396/G395-1))</f>
        <v>0.0184872098671398</v>
      </c>
      <c r="U396" s="163" t="n">
        <f aca="false">IF(ABS(F396-F384)&lt;0.05,0,F396-F384)</f>
        <v>21.5958764239809</v>
      </c>
      <c r="V396" s="164" t="n">
        <f aca="false">IF(ABS(F396/F384-1)&lt;0.0005,0,(F396/F384-1))</f>
        <v>0.194299534499937</v>
      </c>
      <c r="W396" s="57" t="n">
        <f aca="false">(F396/1.2)-57.95</f>
        <v>52.6693470245932</v>
      </c>
      <c r="X396" s="163" t="n">
        <f aca="false">IF(ABS(W396-W395)&lt;0.05,0,W396-W395)</f>
        <v>2.85353541826734</v>
      </c>
      <c r="Y396" s="184" t="n">
        <f aca="false">IF(ABS(W396/W395-1)&lt;0.0005,0,(W396/W395-1))</f>
        <v>0.0572817209286416</v>
      </c>
      <c r="Z396" s="163" t="n">
        <f aca="false">IF(ABS(W396-W384)&lt;0.05,0,W396-W384)</f>
        <v>17.9965636866508</v>
      </c>
      <c r="AA396" s="155" t="n">
        <f aca="false">IF(ABS(W396/W384-1)&lt;0.0005,0,(W396/W384-1))</f>
        <v>0.519040064111528</v>
      </c>
      <c r="AB396" s="185"/>
      <c r="AC396" s="57" t="n">
        <f aca="false">IF(ABS(G396-G395)&lt;0.05,0,G396-G395)</f>
        <v>2.45711286399995</v>
      </c>
      <c r="AD396" s="164" t="n">
        <f aca="false">IF(ABS(G396/G395-1)&lt;0.0005,0,(G396/G395-1))</f>
        <v>0.0184872098671398</v>
      </c>
      <c r="AE396" s="163" t="n">
        <f aca="false">IF(ABS(G396-G384)&lt;0.05,0,G396-G384)</f>
        <v>18.818278064</v>
      </c>
      <c r="AF396" s="164" t="n">
        <f aca="false">IF(ABS(G396/G384-1)&lt;0.0005,0,(G396/G384-1))</f>
        <v>0.161464265023175</v>
      </c>
      <c r="AG396" s="57" t="n">
        <f aca="false">(G396/1.2)-57.95</f>
        <v>54.85492672</v>
      </c>
      <c r="AH396" s="163" t="n">
        <f aca="false">IF(ABS(AG396-AG395)&lt;0.05,0,AG396-AG395)</f>
        <v>2.04759405333328</v>
      </c>
      <c r="AI396" s="164" t="n">
        <f aca="false">IF(ABS(AG396/AG395-1)&lt;0.0005,0,(AG396/AG395-1))</f>
        <v>0.038774805503967</v>
      </c>
      <c r="AJ396" s="163" t="n">
        <f aca="false">IF(ABS(AG396-AG384)&lt;0.05,0,AG396-AG384)</f>
        <v>15.6818983866667</v>
      </c>
      <c r="AK396" s="155" t="n">
        <f aca="false">IF(ABS(AG396/AG384-1)&lt;0.0005,0,(AG396/AG384-1))</f>
        <v>0.400323872160849</v>
      </c>
      <c r="AL396" s="185"/>
      <c r="AM396" s="156" t="n">
        <f aca="false">IF(E396="..","",A396)</f>
        <v>44348</v>
      </c>
      <c r="AN396" s="57" t="n">
        <f aca="false">IF(ABS(E396-E395)&lt;0.05,0,E396-E395)</f>
        <v>4.32240708100002</v>
      </c>
      <c r="AO396" s="164" t="n">
        <f aca="false">IF(ABS(E396/E395-1)&lt;0.0005,0,(E396/E395-1))</f>
        <v>0.030321160686871</v>
      </c>
      <c r="AP396" s="163" t="n">
        <f aca="false">IF(ABS(E396-E384)&lt;0.05,0,E396-E384)</f>
        <v>22.28261123</v>
      </c>
      <c r="AQ396" s="164" t="n">
        <f aca="false">IF(ABS(E396/E384-1)&lt;0.0005,0,(E396/E384-1))</f>
        <v>0.178841855461364</v>
      </c>
      <c r="AR396" s="57" t="n">
        <f aca="false">(E396/1.2)-57.95</f>
        <v>64.4471251916667</v>
      </c>
      <c r="AS396" s="163" t="n">
        <f aca="false">IF(ABS(AR396-AR395)&lt;0.05,0,AR396-AR395)</f>
        <v>3.60200590083335</v>
      </c>
      <c r="AT396" s="164" t="n">
        <f aca="false">IF(ABS(AR396/AR395-1)&lt;0.0005,0,(AR396/AR395-1))</f>
        <v>0.0591995864716139</v>
      </c>
      <c r="AU396" s="163" t="n">
        <f aca="false">IF(ABS(AR396-AR384)&lt;0.05,0,AR396-AR384)</f>
        <v>18.5688426916667</v>
      </c>
      <c r="AV396" s="155" t="n">
        <f aca="false">IF(ABS(AR396/AR384-1)&lt;0.0005,0,(AR396/AR384-1))</f>
        <v>0.404741452378185</v>
      </c>
      <c r="AW396" s="185"/>
      <c r="AX396" s="163" t="n">
        <f aca="false">IF(ABS(H396-H395)&lt;0.05,0,H396-H395)</f>
        <v>1.812</v>
      </c>
      <c r="AY396" s="164" t="n">
        <f aca="false">IF(ABS(H396/H395-1)&lt;0.0005,0,(H396/H395-1))</f>
        <v>0.0454078436286181</v>
      </c>
      <c r="AZ396" s="163" t="n">
        <f aca="false">IF(ABS(H396-H384)&lt;0.05,0,H396-H384)</f>
        <v>14.409</v>
      </c>
      <c r="BA396" s="164" t="n">
        <f aca="false">IF(ABS(H396/H384-1)&lt;0.0005,0,(H396/H384-1))</f>
        <v>0.527647575801963</v>
      </c>
      <c r="BB396" s="57" t="n">
        <f aca="false">(H396/1.05)</f>
        <v>39.7304761904762</v>
      </c>
      <c r="BC396" s="163" t="n">
        <f aca="false">IF(ABS(BB396-BB395)&lt;0.05,0,BB396-BB395)</f>
        <v>1.72571428571429</v>
      </c>
      <c r="BD396" s="164" t="n">
        <f aca="false">IF(ABS(BB396/BB395-1)&lt;0.0005,0,(BB396/BB395-1))</f>
        <v>0.0454078436286181</v>
      </c>
      <c r="BE396" s="163" t="n">
        <f aca="false">IF(ABS(BB396-BB384)&lt;0.05,0,BB396-BB384)</f>
        <v>13.7228571428572</v>
      </c>
      <c r="BF396" s="155" t="n">
        <f aca="false">IF(ABS(BB396/BB384-1)&lt;0.0005,0,(BB396/BB384-1))</f>
        <v>0.527647575801963</v>
      </c>
      <c r="BG396" s="185"/>
      <c r="BH396" s="163" t="n">
        <f aca="false">IF(ABS(I396-I395)&lt;0.05,0,I396-I395)</f>
        <v>1.294648</v>
      </c>
      <c r="BI396" s="164" t="n">
        <f aca="false">IF(ABS(I396/I395-1)&lt;0.0005,0,(I396/I395-1))</f>
        <v>0.0228112741167728</v>
      </c>
      <c r="BJ396" s="163" t="n">
        <f aca="false">IF(ABS(I396-I384)&lt;0.05,0,I396-I384)</f>
        <v>12.01346</v>
      </c>
      <c r="BK396" s="164" t="n">
        <f aca="false">IF(ABS(I396/I384-1)&lt;0.0005,0,(I396/I384-1))</f>
        <v>0.260958337086742</v>
      </c>
      <c r="BL396" s="57" t="n">
        <f aca="false">(I396/1.05)-11.14</f>
        <v>44.1451342857143</v>
      </c>
      <c r="BM396" s="163" t="n">
        <f aca="false">IF(ABS(BL396-BL395)&lt;0.05,0,BL396-BL395)</f>
        <v>1.2329980952381</v>
      </c>
      <c r="BN396" s="164" t="n">
        <f aca="false">IF(ABS(BL396/BL395-1)&lt;0.0005,0,(BL396/BL395-1))</f>
        <v>0.028733085898244</v>
      </c>
      <c r="BO396" s="163" t="n">
        <f aca="false">IF(ABS(BL396-BL384)&lt;0.05,0,BL396-BL384)</f>
        <v>11.4413904761905</v>
      </c>
      <c r="BP396" s="155" t="n">
        <f aca="false">IF(ABS(BL396/BL384-1)&lt;0.0005,0,(BL396/BL384-1))</f>
        <v>0.349849562876608</v>
      </c>
      <c r="BQ396" s="185"/>
    </row>
    <row r="397" customFormat="false" ht="12.75" hidden="false" customHeight="false" outlineLevel="0" collapsed="false">
      <c r="A397" s="156" t="n">
        <v>44378</v>
      </c>
      <c r="B397" s="73" t="n">
        <f aca="false">'4.1.1'!A402</f>
        <v>2021</v>
      </c>
      <c r="C397" s="157" t="str">
        <f aca="false">'4.1.1'!B402</f>
        <v>August</v>
      </c>
      <c r="D397" s="198"/>
      <c r="E397" s="159" t="n">
        <f aca="false">'4.1.1'!D402</f>
        <v>147.99973723</v>
      </c>
      <c r="F397" s="35" t="n">
        <f aca="false">'4.1.1'!E402</f>
        <v>134.524504996314</v>
      </c>
      <c r="G397" s="35" t="n">
        <f aca="false">'4.1.1'!F402</f>
        <v>136.923156</v>
      </c>
      <c r="H397" s="159" t="n">
        <f aca="false">'4.1.1'!G402</f>
        <v>39.771</v>
      </c>
      <c r="I397" s="159" t="n">
        <f aca="false">'4.1.1'!H402</f>
        <v>57.425378</v>
      </c>
      <c r="J397" s="178"/>
      <c r="K397" s="200" t="n">
        <f aca="false">'4.1.1'!I402</f>
        <v>100.058709945279</v>
      </c>
      <c r="L397" s="201"/>
      <c r="M397" s="77"/>
      <c r="N397" s="195"/>
      <c r="O397" s="202"/>
      <c r="P397" s="197"/>
      <c r="Q397" s="197"/>
      <c r="R397" s="185"/>
      <c r="S397" s="57" t="n">
        <f aca="false">IF(ABS(F397-F396)&lt;0.05,0,F397-F396)</f>
        <v>1.78128856680237</v>
      </c>
      <c r="T397" s="178" t="n">
        <f aca="false">IF((ABS(G397/G396-1))&lt;0.0005,0,(G397/G396-1))</f>
        <v>0.0115039592483501</v>
      </c>
      <c r="U397" s="163" t="n">
        <f aca="false">IF(ABS(F397-F385)&lt;0.05,0,F397-F385)</f>
        <v>21.7591871898287</v>
      </c>
      <c r="V397" s="164" t="n">
        <f aca="false">IF(ABS(F397/F385-1)&lt;0.0005,0,(F397/F385-1))</f>
        <v>0.192959924319721</v>
      </c>
      <c r="W397" s="57" t="n">
        <f aca="false">(F397/1.2)-57.95</f>
        <v>54.1537541635952</v>
      </c>
      <c r="X397" s="163" t="n">
        <f aca="false">IF(ABS(W397-W396)&lt;0.05,0,W397-W396)</f>
        <v>1.48440713900199</v>
      </c>
      <c r="Y397" s="184" t="n">
        <f aca="false">IF(ABS(W397/W396-1)&lt;0.0005,0,(W397/W396-1))</f>
        <v>0.0281835113374174</v>
      </c>
      <c r="Z397" s="163" t="n">
        <f aca="false">IF(ABS(W397-W385)&lt;0.05,0,W397-W385)</f>
        <v>18.1326559915239</v>
      </c>
      <c r="AA397" s="155" t="n">
        <f aca="false">IF(ABS(W397/W385-1)&lt;0.0005,0,(W397/W385-1))</f>
        <v>0.503389871816373</v>
      </c>
      <c r="AB397" s="185"/>
      <c r="AC397" s="57" t="n">
        <f aca="false">IF(ABS(G397-G396)&lt;0.05,0,G397-G396)</f>
        <v>1.55724393599999</v>
      </c>
      <c r="AD397" s="164" t="n">
        <f aca="false">IF(ABS(G397/G396-1)&lt;0.0005,0,(G397/G396-1))</f>
        <v>0.0115039592483501</v>
      </c>
      <c r="AE397" s="163" t="n">
        <f aca="false">IF(ABS(G397-G385)&lt;0.05,0,G397-G385)</f>
        <v>19.249</v>
      </c>
      <c r="AF397" s="164" t="n">
        <f aca="false">IF(ABS(G397/G385-1)&lt;0.0005,0,(G397/G385-1))</f>
        <v>0.163578823543888</v>
      </c>
      <c r="AG397" s="57" t="n">
        <f aca="false">(G397/1.2)-57.95</f>
        <v>56.15263</v>
      </c>
      <c r="AH397" s="163" t="n">
        <f aca="false">IF(ABS(AG397-AG396)&lt;0.05,0,AG397-AG396)</f>
        <v>1.29770327999999</v>
      </c>
      <c r="AI397" s="164" t="n">
        <f aca="false">IF(ABS(AG397/AG396-1)&lt;0.0005,0,(AG397/AG396-1))</f>
        <v>0.0236570050785767</v>
      </c>
      <c r="AJ397" s="163" t="n">
        <f aca="false">IF(ABS(AG397-AG385)&lt;0.05,0,AG397-AG385)</f>
        <v>16.0408333333333</v>
      </c>
      <c r="AK397" s="155" t="n">
        <f aca="false">IF(ABS(AG397/AG385-1)&lt;0.0005,0,(AG397/AG385-1))</f>
        <v>0.39990313738959</v>
      </c>
      <c r="AL397" s="185"/>
      <c r="AM397" s="156" t="n">
        <f aca="false">IF(E397="..","",A397)</f>
        <v>44378</v>
      </c>
      <c r="AN397" s="57" t="n">
        <f aca="false">IF(ABS(E397-E396)&lt;0.05,0,E397-E396)</f>
        <v>1.123187</v>
      </c>
      <c r="AO397" s="164" t="n">
        <f aca="false">IF(ABS(E397/E396-1)&lt;0.0005,0,(E397/E396-1))</f>
        <v>0.00764714992448523</v>
      </c>
      <c r="AP397" s="163" t="n">
        <f aca="false">IF(ABS(E397-E385)&lt;0.05,0,E397-E385)</f>
        <v>21.66287523</v>
      </c>
      <c r="AQ397" s="164" t="n">
        <f aca="false">IF(ABS(E397/E385-1)&lt;0.0005,0,(E397/E385-1))</f>
        <v>0.171469157038268</v>
      </c>
      <c r="AR397" s="57" t="n">
        <f aca="false">(E397/1.2)-57.95</f>
        <v>65.3831143583334</v>
      </c>
      <c r="AS397" s="163" t="n">
        <f aca="false">IF(ABS(AR397-AR396)&lt;0.05,0,AR397-AR396)</f>
        <v>0.935989166666673</v>
      </c>
      <c r="AT397" s="164" t="n">
        <f aca="false">IF(ABS(AR397/AR396-1)&lt;0.0005,0,(AR397/AR396-1))</f>
        <v>0.0145233656875001</v>
      </c>
      <c r="AU397" s="163" t="n">
        <f aca="false">IF(ABS(AR397-AR385)&lt;0.05,0,AR397-AR385)</f>
        <v>18.052396025</v>
      </c>
      <c r="AV397" s="155" t="n">
        <f aca="false">IF(ABS(AR397/AR385-1)&lt;0.0005,0,(AR397/AR385-1))</f>
        <v>0.381409719959529</v>
      </c>
      <c r="AW397" s="185"/>
      <c r="AX397" s="163" t="n">
        <f aca="false">IF(ABS(H397-H396)&lt;0.05,0,H397-H396)</f>
        <v>-1.94600000000001</v>
      </c>
      <c r="AY397" s="164" t="n">
        <f aca="false">IF(ABS(H397/H396-1)&lt;0.0005,0,(H397/H396-1))</f>
        <v>-0.046647649639236</v>
      </c>
      <c r="AZ397" s="163" t="n">
        <f aca="false">IF(ABS(H397-H385)&lt;0.05,0,H397-H385)</f>
        <v>12.565</v>
      </c>
      <c r="BA397" s="164" t="n">
        <f aca="false">IF(ABS(H397/H385-1)&lt;0.0005,0,(H397/H385-1))</f>
        <v>0.46184665147394</v>
      </c>
      <c r="BB397" s="57" t="n">
        <f aca="false">(H397/1.05)</f>
        <v>37.8771428571429</v>
      </c>
      <c r="BC397" s="163" t="n">
        <f aca="false">IF(ABS(BB397-BB396)&lt;0.05,0,BB397-BB396)</f>
        <v>-1.85333333333334</v>
      </c>
      <c r="BD397" s="164" t="n">
        <f aca="false">IF(ABS(BB397/BB396-1)&lt;0.0005,0,(BB397/BB396-1))</f>
        <v>-0.046647649639236</v>
      </c>
      <c r="BE397" s="163" t="n">
        <f aca="false">IF(ABS(BB397-BB385)&lt;0.05,0,BB397-BB385)</f>
        <v>11.9666666666667</v>
      </c>
      <c r="BF397" s="155" t="n">
        <f aca="false">IF(ABS(BB397/BB385-1)&lt;0.0005,0,(BB397/BB385-1))</f>
        <v>0.46184665147394</v>
      </c>
      <c r="BG397" s="185"/>
      <c r="BH397" s="163" t="n">
        <f aca="false">IF(ABS(I397-I396)&lt;0.05,0,I397-I396)</f>
        <v>-0.624012999999991</v>
      </c>
      <c r="BI397" s="164" t="n">
        <f aca="false">IF(ABS(I397/I396-1)&lt;0.0005,0,(I397/I396-1))</f>
        <v>-0.0107496907245761</v>
      </c>
      <c r="BJ397" s="163" t="n">
        <f aca="false">IF(ABS(I397-I385)&lt;0.05,0,I397-I385)</f>
        <v>11.295516</v>
      </c>
      <c r="BK397" s="164" t="n">
        <f aca="false">IF(ABS(I397/I385-1)&lt;0.0005,0,(I397/I385-1))</f>
        <v>0.244863424911178</v>
      </c>
      <c r="BL397" s="57" t="n">
        <f aca="false">(I397/1.05)-11.14</f>
        <v>43.5508361904762</v>
      </c>
      <c r="BM397" s="163" t="n">
        <f aca="false">IF(ABS(BL397-BL396)&lt;0.05,0,BL397-BL396)</f>
        <v>-0.594298095238088</v>
      </c>
      <c r="BN397" s="164" t="n">
        <f aca="false">IF(ABS(BL397/BL396-1)&lt;0.0005,0,(BL397/BL396-1))</f>
        <v>-0.0134623691796177</v>
      </c>
      <c r="BO397" s="163" t="n">
        <f aca="false">IF(ABS(BL397-BL385)&lt;0.05,0,BL397-BL385)</f>
        <v>10.7576342857143</v>
      </c>
      <c r="BP397" s="155" t="n">
        <f aca="false">IF(ABS(BL397/BL385-1)&lt;0.0005,0,(BL397/BL385-1))</f>
        <v>0.328044645257777</v>
      </c>
      <c r="BQ397" s="185"/>
    </row>
    <row r="398" customFormat="false" ht="12.75" hidden="false" customHeight="false" outlineLevel="0" collapsed="false">
      <c r="A398" s="156" t="n">
        <v>44409</v>
      </c>
      <c r="B398" s="73" t="n">
        <f aca="false">'4.1.1'!A403</f>
        <v>2021</v>
      </c>
      <c r="C398" s="157" t="str">
        <f aca="false">'4.1.1'!B403</f>
        <v>September</v>
      </c>
      <c r="D398" s="198"/>
      <c r="E398" s="159" t="n">
        <f aca="false">'4.1.1'!D403</f>
        <v>147.85043623</v>
      </c>
      <c r="F398" s="35" t="n">
        <f aca="false">'4.1.1'!E403</f>
        <v>134.587796629751</v>
      </c>
      <c r="G398" s="35" t="n">
        <f aca="false">'4.1.1'!F403</f>
        <v>136.843815</v>
      </c>
      <c r="H398" s="159" t="n">
        <f aca="false">'4.1.1'!G403</f>
        <v>41.479</v>
      </c>
      <c r="I398" s="159" t="n">
        <f aca="false">'4.1.1'!H403</f>
        <v>59.647313</v>
      </c>
      <c r="J398" s="178"/>
      <c r="K398" s="200" t="n">
        <f aca="false">'4.1.1'!I403</f>
        <v>102.821479565154</v>
      </c>
      <c r="L398" s="201"/>
      <c r="M398" s="77"/>
      <c r="N398" s="195"/>
      <c r="O398" s="202"/>
      <c r="P398" s="197"/>
      <c r="Q398" s="197"/>
      <c r="R398" s="185"/>
      <c r="S398" s="57" t="n">
        <f aca="false">IF(ABS(F398-F397)&lt;0.05,0,F398-F397)</f>
        <v>0.0632916334371316</v>
      </c>
      <c r="T398" s="178" t="n">
        <f aca="false">IF((ABS(G398/G397-1))&lt;0.0005,0,(G398/G397-1))</f>
        <v>-0.000579456406920698</v>
      </c>
      <c r="U398" s="163" t="n">
        <f aca="false">IF(ABS(F398-F386)&lt;0.05,0,F398-F386)</f>
        <v>21.3758818638032</v>
      </c>
      <c r="V398" s="164" t="n">
        <f aca="false">IF(ABS(F398/F386-1)&lt;0.0005,0,(F398/F386-1))</f>
        <v>0.188813005309514</v>
      </c>
      <c r="W398" s="57" t="n">
        <f aca="false">(F398/1.2)-57.95</f>
        <v>54.2064971914594</v>
      </c>
      <c r="X398" s="163" t="n">
        <f aca="false">IF(ABS(W398-W397)&lt;0.05,0,W398-W397)</f>
        <v>0.0527430278642669</v>
      </c>
      <c r="Y398" s="184" t="n">
        <f aca="false">IF(ABS(W398/W397-1)&lt;0.0005,0,(W398/W397-1))</f>
        <v>0.000973949612153024</v>
      </c>
      <c r="Z398" s="163" t="n">
        <f aca="false">IF(ABS(W398-W386)&lt;0.05,0,W398-W386)</f>
        <v>17.8132348865027</v>
      </c>
      <c r="AA398" s="155" t="n">
        <f aca="false">IF(ABS(W398/W386-1)&lt;0.0005,0,(W398/W386-1))</f>
        <v>0.489465185540032</v>
      </c>
      <c r="AB398" s="185"/>
      <c r="AC398" s="57" t="n">
        <f aca="false">IF(ABS(G398-G397)&lt;0.05,0,G398-G397)</f>
        <v>-0.0793409999999994</v>
      </c>
      <c r="AD398" s="164" t="n">
        <f aca="false">IF(ABS(G398/G397-1)&lt;0.0005,0,(G398/G397-1))</f>
        <v>-0.000579456406920698</v>
      </c>
      <c r="AE398" s="163" t="n">
        <f aca="false">IF(ABS(G398-G386)&lt;0.05,0,G398-G386)</f>
        <v>18.846448</v>
      </c>
      <c r="AF398" s="164" t="n">
        <f aca="false">IF(ABS(G398/G386-1)&lt;0.0005,0,(G398/G386-1))</f>
        <v>0.159719224921349</v>
      </c>
      <c r="AG398" s="57" t="n">
        <f aca="false">(G398/1.2)-57.95</f>
        <v>56.0865125</v>
      </c>
      <c r="AH398" s="163" t="n">
        <f aca="false">IF(ABS(AG398-AG397)&lt;0.05,0,AG398-AG397)</f>
        <v>-0.0661174999999901</v>
      </c>
      <c r="AI398" s="164" t="n">
        <f aca="false">IF(ABS(AG398/AG397-1)&lt;0.0005,0,(AG398/AG397-1))</f>
        <v>-0.0011774604323963</v>
      </c>
      <c r="AJ398" s="163" t="n">
        <f aca="false">IF(ABS(AG398-AG386)&lt;0.05,0,AG398-AG386)</f>
        <v>15.7053733333333</v>
      </c>
      <c r="AK398" s="155" t="n">
        <f aca="false">IF(ABS(AG398/AG386-1)&lt;0.0005,0,(AG398/AG386-1))</f>
        <v>0.388928436825715</v>
      </c>
      <c r="AL398" s="185"/>
      <c r="AM398" s="156" t="n">
        <f aca="false">IF(E398="..","",A398)</f>
        <v>44409</v>
      </c>
      <c r="AN398" s="57" t="n">
        <f aca="false">IF(ABS(E398-E397)&lt;0.05,0,E398-E397)</f>
        <v>-0.14930099999998</v>
      </c>
      <c r="AO398" s="164" t="n">
        <f aca="false">IF(ABS(E398/E397-1)&lt;0.0005,0,(E398/E397-1))</f>
        <v>-0.00100879233162388</v>
      </c>
      <c r="AP398" s="163" t="n">
        <f aca="false">IF(ABS(E398-E386)&lt;0.05,0,E398-E386)</f>
        <v>21.34268023</v>
      </c>
      <c r="AQ398" s="164" t="n">
        <f aca="false">IF(ABS(E398/E386-1)&lt;0.0005,0,(E398/E386-1))</f>
        <v>0.168706495987487</v>
      </c>
      <c r="AR398" s="57" t="n">
        <f aca="false">(E398/1.2)-57.95</f>
        <v>65.2586968583334</v>
      </c>
      <c r="AS398" s="163" t="n">
        <f aca="false">IF(ABS(AR398-AR397)&lt;0.05,0,AR398-AR397)</f>
        <v>-0.124417499999993</v>
      </c>
      <c r="AT398" s="164" t="n">
        <f aca="false">IF(ABS(AR398/AR397-1)&lt;0.0005,0,(AR398/AR397-1))</f>
        <v>-0.00190289956697565</v>
      </c>
      <c r="AU398" s="163" t="n">
        <f aca="false">IF(ABS(AR398-AR386)&lt;0.05,0,AR398-AR386)</f>
        <v>17.7855668583334</v>
      </c>
      <c r="AV398" s="155" t="n">
        <f aca="false">IF(ABS(AR398/AR386-1)&lt;0.0005,0,(AR398/AR386-1))</f>
        <v>0.374644917205446</v>
      </c>
      <c r="AW398" s="185"/>
      <c r="AX398" s="163" t="n">
        <f aca="false">IF(ABS(H398-H397)&lt;0.05,0,H398-H397)</f>
        <v>1.708</v>
      </c>
      <c r="AY398" s="164" t="n">
        <f aca="false">IF(ABS(H398/H397-1)&lt;0.0005,0,(H398/H397-1))</f>
        <v>0.0429458650775691</v>
      </c>
      <c r="AZ398" s="163" t="n">
        <f aca="false">IF(ABS(H398-H386)&lt;0.05,0,H398-H386)</f>
        <v>16.052</v>
      </c>
      <c r="BA398" s="164" t="n">
        <f aca="false">IF(ABS(H398/H386-1)&lt;0.0005,0,(H398/H386-1))</f>
        <v>0.631297439729421</v>
      </c>
      <c r="BB398" s="57" t="n">
        <f aca="false">(H398/1.05)</f>
        <v>39.5038095238095</v>
      </c>
      <c r="BC398" s="163" t="n">
        <f aca="false">IF(ABS(BB398-BB397)&lt;0.05,0,BB398-BB397)</f>
        <v>1.62666666666667</v>
      </c>
      <c r="BD398" s="164" t="n">
        <f aca="false">IF(ABS(BB398/BB397-1)&lt;0.0005,0,(BB398/BB397-1))</f>
        <v>0.0429458650775691</v>
      </c>
      <c r="BE398" s="163" t="n">
        <f aca="false">IF(ABS(BB398-BB386)&lt;0.05,0,BB398-BB386)</f>
        <v>15.287619047619</v>
      </c>
      <c r="BF398" s="155" t="n">
        <f aca="false">IF(ABS(BB398/BB386-1)&lt;0.0005,0,(BB398/BB386-1))</f>
        <v>0.631297439729421</v>
      </c>
      <c r="BG398" s="185"/>
      <c r="BH398" s="163" t="n">
        <f aca="false">IF(ABS(I398-I397)&lt;0.05,0,I398-I397)</f>
        <v>2.221935</v>
      </c>
      <c r="BI398" s="164" t="n">
        <f aca="false">IF(ABS(I398/I397-1)&lt;0.0005,0,(I398/I397-1))</f>
        <v>0.0386925620237102</v>
      </c>
      <c r="BJ398" s="163" t="n">
        <f aca="false">IF(ABS(I398-I386)&lt;0.05,0,I398-I386)</f>
        <v>17.274786</v>
      </c>
      <c r="BK398" s="164" t="n">
        <f aca="false">IF(ABS(I398/I386-1)&lt;0.0005,0,(I398/I386-1))</f>
        <v>0.407688359016209</v>
      </c>
      <c r="BL398" s="57" t="n">
        <f aca="false">(I398/1.05)-11.14</f>
        <v>45.6669647619048</v>
      </c>
      <c r="BM398" s="163" t="n">
        <f aca="false">IF(ABS(BL398-BL397)&lt;0.05,0,BL398-BL397)</f>
        <v>2.11612857142858</v>
      </c>
      <c r="BN398" s="164" t="n">
        <f aca="false">IF(ABS(BL398/BL397-1)&lt;0.0005,0,(BL398/BL397-1))</f>
        <v>0.0485898493928652</v>
      </c>
      <c r="BO398" s="163" t="n">
        <f aca="false">IF(ABS(BL398-BL386)&lt;0.05,0,BL398-BL386)</f>
        <v>16.4521771428572</v>
      </c>
      <c r="BP398" s="155" t="n">
        <f aca="false">IF(ABS(BL398/BL386-1)&lt;0.0005,0,(BL398/BL386-1))</f>
        <v>0.563145532919451</v>
      </c>
      <c r="BQ398" s="185"/>
    </row>
    <row r="399" customFormat="false" ht="12.75" hidden="false" customHeight="false" outlineLevel="0" collapsed="false">
      <c r="A399" s="156" t="n">
        <v>44440</v>
      </c>
      <c r="B399" s="73" t="n">
        <f aca="false">'4.1.1'!A404</f>
        <v>2021</v>
      </c>
      <c r="C399" s="157" t="str">
        <f aca="false">'4.1.1'!B404</f>
        <v>October</v>
      </c>
      <c r="D399" s="203"/>
      <c r="E399" s="159" t="n">
        <f aca="false">'4.1.1'!D404</f>
        <v>152.50692323</v>
      </c>
      <c r="F399" s="35" t="n">
        <f aca="false">'4.1.1'!E404</f>
        <v>137.657835398589</v>
      </c>
      <c r="G399" s="35" t="n">
        <f aca="false">'4.1.1'!F404</f>
        <v>143.2812</v>
      </c>
      <c r="H399" s="159" t="n">
        <f aca="false">'4.1.1'!G404</f>
        <v>59.822</v>
      </c>
      <c r="I399" s="159" t="n">
        <f aca="false">'4.1.1'!H404</f>
        <v>73.270448</v>
      </c>
      <c r="J399" s="178"/>
      <c r="K399" s="200" t="n">
        <f aca="false">'4.1.1'!I404</f>
        <v>115.142093520798</v>
      </c>
      <c r="L399" s="201"/>
      <c r="M399" s="204"/>
      <c r="N399" s="195"/>
      <c r="O399" s="202"/>
      <c r="P399" s="197"/>
      <c r="Q399" s="197"/>
      <c r="R399" s="185"/>
      <c r="S399" s="57" t="n">
        <f aca="false">IF(ABS(F399-F398)&lt;0.05,0,F399-F398)</f>
        <v>3.07003876883789</v>
      </c>
      <c r="T399" s="178" t="n">
        <f aca="false">IF((ABS(G399/G398-1))&lt;0.0005,0,(G399/G398-1))</f>
        <v>0.0470418410945352</v>
      </c>
      <c r="U399" s="163" t="n">
        <f aca="false">IF(ABS(F399-F387)&lt;0.05,0,F399-F387)</f>
        <v>24.5033936552868</v>
      </c>
      <c r="V399" s="164" t="n">
        <f aca="false">IF(ABS(F399/F387-1)&lt;0.0005,0,(F399/F387-1))</f>
        <v>0.216548226280628</v>
      </c>
      <c r="W399" s="57" t="n">
        <f aca="false">(F399/1.2)-57.95</f>
        <v>56.7648628321577</v>
      </c>
      <c r="X399" s="163" t="n">
        <f aca="false">IF(ABS(W399-W398)&lt;0.05,0,W399-W398)</f>
        <v>2.55836564069824</v>
      </c>
      <c r="Y399" s="184" t="n">
        <f aca="false">IF(ABS(W399/W398-1)&lt;0.0005,0,(W399/W398-1))</f>
        <v>0.0471966604236018</v>
      </c>
      <c r="Z399" s="163" t="n">
        <f aca="false">IF(ABS(W399-W387)&lt;0.05,0,W399-W387)</f>
        <v>20.419494712739</v>
      </c>
      <c r="AA399" s="155" t="n">
        <f aca="false">IF(ABS(W399/W387-1)&lt;0.0005,0,(W399/W387-1))</f>
        <v>0.561818349057502</v>
      </c>
      <c r="AB399" s="185"/>
      <c r="AC399" s="57" t="n">
        <f aca="false">IF(ABS(G399-G398)&lt;0.05,0,G399-G398)</f>
        <v>6.43738499999998</v>
      </c>
      <c r="AD399" s="164" t="n">
        <f aca="false">IF(ABS(G399/G398-1)&lt;0.0005,0,(G399/G398-1))</f>
        <v>0.0470418410945352</v>
      </c>
      <c r="AE399" s="163" t="n">
        <f aca="false">IF(ABS(G399-G387)&lt;0.05,0,G399-G387)</f>
        <v>25.431346</v>
      </c>
      <c r="AF399" s="164" t="n">
        <f aca="false">IF(ABS(G399/G387-1)&lt;0.0005,0,(G399/G387-1))</f>
        <v>0.215794463351647</v>
      </c>
      <c r="AG399" s="57" t="n">
        <f aca="false">(G399/1.2)-57.95</f>
        <v>61.451</v>
      </c>
      <c r="AH399" s="163" t="n">
        <f aca="false">IF(ABS(AG399-AG398)&lt;0.05,0,AG399-AG398)</f>
        <v>5.36448749999998</v>
      </c>
      <c r="AI399" s="164" t="n">
        <f aca="false">IF(ABS(AG399/AG398-1)&lt;0.0005,0,(AG399/AG398-1))</f>
        <v>0.0956466583655025</v>
      </c>
      <c r="AJ399" s="163" t="n">
        <f aca="false">IF(ABS(AG399-AG387)&lt;0.05,0,AG399-AG387)</f>
        <v>21.1927883333333</v>
      </c>
      <c r="AK399" s="155" t="n">
        <f aca="false">IF(ABS(AG399/AG387-1)&lt;0.0005,0,(AG399/AG387-1))</f>
        <v>0.526421503985501</v>
      </c>
      <c r="AL399" s="185"/>
      <c r="AM399" s="156" t="n">
        <f aca="false">IF(E399="..","",A399)</f>
        <v>44440</v>
      </c>
      <c r="AN399" s="57" t="n">
        <f aca="false">IF(ABS(E399-E398)&lt;0.05,0,E399-E398)</f>
        <v>4.656487</v>
      </c>
      <c r="AO399" s="164" t="n">
        <f aca="false">IF(ABS(E399/E398-1)&lt;0.0005,0,(E399/E398-1))</f>
        <v>0.0314945773494793</v>
      </c>
      <c r="AP399" s="163" t="n">
        <f aca="false">IF(ABS(E399-E387)&lt;0.05,0,E399-E387)</f>
        <v>25.94985423</v>
      </c>
      <c r="AQ399" s="164" t="n">
        <f aca="false">IF(ABS(E399/E387-1)&lt;0.0005,0,(E399/E387-1))</f>
        <v>0.205044684070552</v>
      </c>
      <c r="AR399" s="57" t="n">
        <f aca="false">(E399/1.2)-57.95</f>
        <v>69.1391026916667</v>
      </c>
      <c r="AS399" s="163" t="n">
        <f aca="false">IF(ABS(AR399-AR398)&lt;0.05,0,AR399-AR398)</f>
        <v>3.88040583333334</v>
      </c>
      <c r="AT399" s="164" t="n">
        <f aca="false">IF(ABS(AR399/AR398-1)&lt;0.0005,0,(AR399/AR398-1))</f>
        <v>0.0594618958107163</v>
      </c>
      <c r="AU399" s="163" t="n">
        <f aca="false">IF(ABS(AR399-AR387)&lt;0.05,0,AR399-AR387)</f>
        <v>21.624878525</v>
      </c>
      <c r="AV399" s="155" t="n">
        <f aca="false">IF(ABS(AR399/AR387-1)&lt;0.0005,0,(AR399/AR387-1))</f>
        <v>0.455124310756838</v>
      </c>
      <c r="AW399" s="185"/>
      <c r="AX399" s="163" t="n">
        <f aca="false">IF(ABS(H399-H398)&lt;0.05,0,H399-H398)</f>
        <v>18.343</v>
      </c>
      <c r="AY399" s="164" t="n">
        <f aca="false">IF(ABS(H399/H398-1)&lt;0.0005,0,(H399/H398-1))</f>
        <v>0.442223775886593</v>
      </c>
      <c r="AZ399" s="163" t="n">
        <f aca="false">IF(ABS(H399-H387)&lt;0.05,0,H399-H387)</f>
        <v>33.77</v>
      </c>
      <c r="BA399" s="164" t="n">
        <f aca="false">IF(ABS(H399/H387-1)&lt;0.0005,0,(H399/H387-1))</f>
        <v>1.29625364655305</v>
      </c>
      <c r="BB399" s="57" t="n">
        <f aca="false">(H399/1.05)</f>
        <v>56.9733333333333</v>
      </c>
      <c r="BC399" s="163" t="n">
        <f aca="false">IF(ABS(BB399-BB398)&lt;0.05,0,BB399-BB398)</f>
        <v>17.4695238095238</v>
      </c>
      <c r="BD399" s="164" t="n">
        <f aca="false">IF(ABS(BB399/BB398-1)&lt;0.0005,0,(BB399/BB398-1))</f>
        <v>0.442223775886593</v>
      </c>
      <c r="BE399" s="163" t="n">
        <f aca="false">IF(ABS(BB399-BB387)&lt;0.05,0,BB399-BB387)</f>
        <v>32.1619047619048</v>
      </c>
      <c r="BF399" s="155" t="n">
        <f aca="false">IF(ABS(BB399/BB387-1)&lt;0.0005,0,(BB399/BB387-1))</f>
        <v>1.29625364655305</v>
      </c>
      <c r="BG399" s="185"/>
      <c r="BH399" s="163" t="n">
        <f aca="false">IF(ABS(I399-I398)&lt;0.05,0,I399-I398)</f>
        <v>13.623135</v>
      </c>
      <c r="BI399" s="164" t="n">
        <f aca="false">IF(ABS(I399/I398-1)&lt;0.0005,0,(I399/I398-1))</f>
        <v>0.228394781169774</v>
      </c>
      <c r="BJ399" s="163" t="n">
        <f aca="false">IF(ABS(I399-I387)&lt;0.05,0,I399-I387)</f>
        <v>28.92516</v>
      </c>
      <c r="BK399" s="164" t="n">
        <f aca="false">IF(ABS(I399/I387-1)&lt;0.0005,0,(I399/I387-1))</f>
        <v>0.652271330383512</v>
      </c>
      <c r="BL399" s="57" t="n">
        <f aca="false">(I399/1.05)-11.14</f>
        <v>58.641379047619</v>
      </c>
      <c r="BM399" s="163" t="n">
        <f aca="false">IF(ABS(BL399-BL398)&lt;0.05,0,BL399-BL398)</f>
        <v>12.9744142857143</v>
      </c>
      <c r="BN399" s="164" t="n">
        <f aca="false">IF(ABS(BL399/BL398-1)&lt;0.0005,0,(BL399/BL398-1))</f>
        <v>0.284109407169042</v>
      </c>
      <c r="BO399" s="163" t="n">
        <f aca="false">IF(ABS(BL399-BL387)&lt;0.05,0,BL399-BL387)</f>
        <v>27.5477714285714</v>
      </c>
      <c r="BP399" s="155" t="n">
        <f aca="false">IF(ABS(BL399/BL387-1)&lt;0.0005,0,(BL399/BL387-1))</f>
        <v>0.885962535003367</v>
      </c>
      <c r="BQ399" s="185"/>
    </row>
    <row r="400" customFormat="false" ht="12.75" hidden="false" customHeight="false" outlineLevel="0" collapsed="false">
      <c r="A400" s="156" t="n">
        <v>44470</v>
      </c>
      <c r="B400" s="73" t="n">
        <f aca="false">'4.1.1'!A405</f>
        <v>2021</v>
      </c>
      <c r="C400" s="157" t="str">
        <f aca="false">'4.1.1'!B405</f>
        <v>November</v>
      </c>
      <c r="D400" s="203"/>
      <c r="E400" s="159" t="n">
        <f aca="false">'4.1.1'!D405</f>
        <v>160.485274126156</v>
      </c>
      <c r="F400" s="35" t="n">
        <f aca="false">'4.1.1'!E405</f>
        <v>145.94636215755</v>
      </c>
      <c r="G400" s="35" t="n">
        <f aca="false">'4.1.1'!F405</f>
        <v>149.814849</v>
      </c>
      <c r="H400" s="159" t="n">
        <f aca="false">'4.1.1'!G405</f>
        <v>50.864</v>
      </c>
      <c r="I400" s="159" t="n">
        <f aca="false">'4.1.1'!H405</f>
        <v>73.11826</v>
      </c>
      <c r="J400" s="178"/>
      <c r="K400" s="200" t="n">
        <f aca="false">'4.1.1'!I405</f>
        <v>118.782155939203</v>
      </c>
      <c r="L400" s="201"/>
      <c r="M400" s="204"/>
      <c r="N400" s="195"/>
      <c r="O400" s="202"/>
      <c r="P400" s="197"/>
      <c r="Q400" s="197"/>
      <c r="R400" s="185"/>
      <c r="S400" s="57" t="n">
        <f aca="false">IF(ABS(F400-F399)&lt;0.05,0,F400-F399)</f>
        <v>8.28852675896093</v>
      </c>
      <c r="T400" s="178" t="n">
        <f aca="false">IF((ABS(G400/G399-1))&lt;0.0005,0,(G400/G399-1))</f>
        <v>0.0456001834155495</v>
      </c>
      <c r="U400" s="163" t="n">
        <f aca="false">IF(ABS(F400-F388)&lt;0.05,0,F400-F388)</f>
        <v>33.4399749522326</v>
      </c>
      <c r="V400" s="164" t="n">
        <f aca="false">IF(ABS(F400/F388-1)&lt;0.0005,0,(F400/F388-1))</f>
        <v>0.297227346667941</v>
      </c>
      <c r="W400" s="57" t="n">
        <f aca="false">(F400/1.2)-57.95</f>
        <v>63.6719684646251</v>
      </c>
      <c r="X400" s="163" t="n">
        <f aca="false">IF(ABS(W400-W399)&lt;0.05,0,W400-W399)</f>
        <v>6.90710563246745</v>
      </c>
      <c r="Y400" s="184" t="n">
        <f aca="false">IF(ABS(W400/W399-1)&lt;0.0005,0,(W400/W399-1))</f>
        <v>0.121679244656864</v>
      </c>
      <c r="Z400" s="163" t="n">
        <f aca="false">IF(ABS(W400-W388)&lt;0.05,0,W400-W388)</f>
        <v>27.8666457935272</v>
      </c>
      <c r="AA400" s="155" t="n">
        <f aca="false">IF(ABS(W400/W388-1)&lt;0.0005,0,(W400/W388-1))</f>
        <v>0.778282213778822</v>
      </c>
      <c r="AB400" s="185"/>
      <c r="AC400" s="57" t="n">
        <f aca="false">IF(ABS(G400-G399)&lt;0.05,0,G400-G399)</f>
        <v>6.53364900000003</v>
      </c>
      <c r="AD400" s="164" t="n">
        <f aca="false">IF(ABS(G400/G399-1)&lt;0.0005,0,(G400/G399-1))</f>
        <v>0.0456001834155495</v>
      </c>
      <c r="AE400" s="163" t="n">
        <f aca="false">IF(ABS(G400-G388)&lt;0.05,0,G400-G388)</f>
        <v>32.765174</v>
      </c>
      <c r="AF400" s="164" t="n">
        <f aca="false">IF(ABS(G400/G388-1)&lt;0.0005,0,(G400/G388-1))</f>
        <v>0.279925373564685</v>
      </c>
      <c r="AG400" s="57" t="n">
        <f aca="false">(G400/1.2)-57.95</f>
        <v>66.8957075</v>
      </c>
      <c r="AH400" s="163" t="n">
        <f aca="false">IF(ABS(AG400-AG399)&lt;0.05,0,AG400-AG399)</f>
        <v>5.44470750000002</v>
      </c>
      <c r="AI400" s="164" t="n">
        <f aca="false">IF(ABS(AG400/AG399-1)&lt;0.0005,0,(AG400/AG399-1))</f>
        <v>0.088602423068787</v>
      </c>
      <c r="AJ400" s="163" t="n">
        <f aca="false">IF(ABS(AG400-AG388)&lt;0.05,0,AG400-AG388)</f>
        <v>27.3043116666667</v>
      </c>
      <c r="AK400" s="155" t="n">
        <f aca="false">IF(ABS(AG400/AG388-1)&lt;0.0005,0,(AG400/AG388-1))</f>
        <v>0.689652665483399</v>
      </c>
      <c r="AL400" s="185"/>
      <c r="AM400" s="156" t="n">
        <f aca="false">IF(E400="..","",A400)</f>
        <v>44470</v>
      </c>
      <c r="AN400" s="57" t="n">
        <f aca="false">IF(ABS(E400-E399)&lt;0.05,0,E400-E399)</f>
        <v>7.97835089615563</v>
      </c>
      <c r="AO400" s="164" t="n">
        <f aca="false">IF(ABS(E400/E399-1)&lt;0.0005,0,(E400/E399-1))</f>
        <v>0.0523146800629062</v>
      </c>
      <c r="AP400" s="163" t="n">
        <f aca="false">IF(ABS(E400-E388)&lt;0.05,0,E400-E388)</f>
        <v>34.4575001261557</v>
      </c>
      <c r="AQ400" s="164" t="n">
        <f aca="false">IF(ABS(E400/E388-1)&lt;0.0005,0,(E400/E388-1))</f>
        <v>0.273411955416714</v>
      </c>
      <c r="AR400" s="57" t="n">
        <f aca="false">(E400/1.2)-57.95</f>
        <v>75.7877284384631</v>
      </c>
      <c r="AS400" s="163" t="n">
        <f aca="false">IF(ABS(AR400-AR399)&lt;0.05,0,AR400-AR399)</f>
        <v>6.64862574679637</v>
      </c>
      <c r="AT400" s="164" t="n">
        <f aca="false">IF(ABS(AR400/AR399-1)&lt;0.0005,0,(AR400/AR399-1))</f>
        <v>0.0961630320319116</v>
      </c>
      <c r="AU400" s="163" t="n">
        <f aca="false">IF(ABS(AR400-AR388)&lt;0.05,0,AR400-AR388)</f>
        <v>28.7145834384631</v>
      </c>
      <c r="AV400" s="155" t="n">
        <f aca="false">IF(ABS(AR400/AR388-1)&lt;0.0005,0,(AR400/AR388-1))</f>
        <v>0.609999256231192</v>
      </c>
      <c r="AW400" s="185"/>
      <c r="AX400" s="163" t="n">
        <f aca="false">IF(ABS(H400-H399)&lt;0.05,0,H400-H399)</f>
        <v>-8.958</v>
      </c>
      <c r="AY400" s="164" t="n">
        <f aca="false">IF(ABS(H400/H399-1)&lt;0.0005,0,(H400/H399-1))</f>
        <v>-0.149744241249039</v>
      </c>
      <c r="AZ400" s="163" t="n">
        <f aca="false">IF(ABS(H400-H388)&lt;0.05,0,H400-H388)</f>
        <v>23.437</v>
      </c>
      <c r="BA400" s="164" t="n">
        <f aca="false">IF(ABS(H400/H388-1)&lt;0.0005,0,(H400/H388-1))</f>
        <v>0.85452291537536</v>
      </c>
      <c r="BB400" s="57" t="n">
        <f aca="false">(H400/1.05)</f>
        <v>48.4419047619048</v>
      </c>
      <c r="BC400" s="163" t="n">
        <f aca="false">IF(ABS(BB400-BB399)&lt;0.05,0,BB400-BB399)</f>
        <v>-8.53142857142857</v>
      </c>
      <c r="BD400" s="164" t="n">
        <f aca="false">IF(ABS(BB400/BB399-1)&lt;0.0005,0,(BB400/BB399-1))</f>
        <v>-0.149744241249039</v>
      </c>
      <c r="BE400" s="163" t="n">
        <f aca="false">IF(ABS(BB400-BB388)&lt;0.05,0,BB400-BB388)</f>
        <v>22.3209523809524</v>
      </c>
      <c r="BF400" s="155" t="n">
        <f aca="false">IF(ABS(BB400/BB388-1)&lt;0.0005,0,(BB400/BB388-1))</f>
        <v>0.85452291537536</v>
      </c>
      <c r="BG400" s="185"/>
      <c r="BH400" s="163" t="n">
        <f aca="false">IF(ABS(I400-I399)&lt;0.05,0,I400-I399)</f>
        <v>-0.152187999999995</v>
      </c>
      <c r="BI400" s="164" t="n">
        <f aca="false">IF(ABS(I400/I399-1)&lt;0.0005,0,(I400/I399-1))</f>
        <v>-0.0020770720550255</v>
      </c>
      <c r="BJ400" s="163" t="n">
        <f aca="false">IF(ABS(I400-I388)&lt;0.05,0,I400-I388)</f>
        <v>30.056668</v>
      </c>
      <c r="BK400" s="164" t="n">
        <f aca="false">IF(ABS(I400/I388-1)&lt;0.0005,0,(I400/I388-1))</f>
        <v>0.697992494100079</v>
      </c>
      <c r="BL400" s="57" t="n">
        <f aca="false">(I400/1.05)-11.14</f>
        <v>58.4964380952381</v>
      </c>
      <c r="BM400" s="163" t="n">
        <f aca="false">IF(ABS(BL400-BL399)&lt;0.05,0,BL400-BL399)</f>
        <v>-0.144940952380935</v>
      </c>
      <c r="BN400" s="164" t="n">
        <f aca="false">IF(ABS(BL400/BL399-1)&lt;0.0005,0,(BL400/BL399-1))</f>
        <v>-0.0024716497929429</v>
      </c>
      <c r="BO400" s="163" t="n">
        <f aca="false">IF(ABS(BL400-BL388)&lt;0.05,0,BL400-BL388)</f>
        <v>28.6253980952381</v>
      </c>
      <c r="BP400" s="155" t="n">
        <f aca="false">IF(ABS(BL400/BL388-1)&lt;0.0005,0,(BL400/BL388-1))</f>
        <v>0.958299345963117</v>
      </c>
      <c r="BQ400" s="185"/>
    </row>
    <row r="401" customFormat="false" ht="12.75" hidden="false" customHeight="false" outlineLevel="0" collapsed="false">
      <c r="A401" s="156" t="n">
        <v>44501</v>
      </c>
      <c r="B401" s="73" t="n">
        <f aca="false">'4.1.1'!A406</f>
        <v>2021</v>
      </c>
      <c r="C401" s="157" t="str">
        <f aca="false">'4.1.1'!B406</f>
        <v>December</v>
      </c>
      <c r="D401" s="203"/>
      <c r="E401" s="159" t="n">
        <f aca="false">'4.1.1'!D406</f>
        <v>160.271684000475</v>
      </c>
      <c r="F401" s="35" t="n">
        <f aca="false">'4.1.1'!E406</f>
        <v>145.694044961267</v>
      </c>
      <c r="G401" s="35" t="n">
        <f aca="false">'4.1.1'!F406</f>
        <v>149.195282</v>
      </c>
      <c r="H401" s="159" t="n">
        <f aca="false">'4.1.1'!G406</f>
        <v>48.469</v>
      </c>
      <c r="I401" s="159" t="n">
        <f aca="false">'4.1.1'!H406</f>
        <v>71.5265</v>
      </c>
      <c r="J401" s="178"/>
      <c r="K401" s="200" t="n">
        <f aca="false">'4.1.1'!I406</f>
        <v>110.749314064679</v>
      </c>
      <c r="L401" s="201"/>
      <c r="M401" s="204"/>
      <c r="N401" s="195"/>
      <c r="O401" s="202"/>
      <c r="P401" s="197"/>
      <c r="Q401" s="197"/>
      <c r="R401" s="185"/>
      <c r="S401" s="57" t="n">
        <f aca="false">IF(ABS(F401-F400)&lt;0.05,0,F401-F400)</f>
        <v>-0.252317196282661</v>
      </c>
      <c r="T401" s="178" t="n">
        <f aca="false">IF((ABS(G401/G400-1))&lt;0.0005,0,(G401/G400-1))</f>
        <v>-0.00413555134311161</v>
      </c>
      <c r="U401" s="163" t="n">
        <f aca="false">IF(ABS(F401-F389)&lt;0.05,0,F401-F389)</f>
        <v>31.6533040052235</v>
      </c>
      <c r="V401" s="164" t="n">
        <f aca="false">IF(ABS(F401/F389-1)&lt;0.0005,0,(F401/F389-1))</f>
        <v>0.27756136745397</v>
      </c>
      <c r="W401" s="57" t="n">
        <f aca="false">(F401/1.2)-57.95</f>
        <v>63.4617041343896</v>
      </c>
      <c r="X401" s="163" t="n">
        <f aca="false">IF(ABS(W401-W400)&lt;0.05,0,W401-W400)</f>
        <v>-0.21026433023556</v>
      </c>
      <c r="Y401" s="184" t="n">
        <f aca="false">IF(ABS(W401/W400-1)&lt;0.0005,0,(W401/W400-1))</f>
        <v>-0.00330230610590243</v>
      </c>
      <c r="Z401" s="163" t="n">
        <f aca="false">IF(ABS(W401-W389)&lt;0.05,0,W401-W389)</f>
        <v>26.3777533376863</v>
      </c>
      <c r="AA401" s="155" t="n">
        <f aca="false">IF(ABS(W401/W389-1)&lt;0.0005,0,(W401/W389-1))</f>
        <v>0.711298358750687</v>
      </c>
      <c r="AB401" s="185"/>
      <c r="AC401" s="57" t="n">
        <f aca="false">IF(ABS(G401-G400)&lt;0.05,0,G401-G400)</f>
        <v>-0.619567000000018</v>
      </c>
      <c r="AD401" s="164" t="n">
        <f aca="false">IF(ABS(G401/G400-1)&lt;0.0005,0,(G401/G400-1))</f>
        <v>-0.00413555134311161</v>
      </c>
      <c r="AE401" s="163" t="n">
        <f aca="false">IF(ABS(G401-G389)&lt;0.05,0,G401-G389)</f>
        <v>30.533623</v>
      </c>
      <c r="AF401" s="164" t="n">
        <f aca="false">IF(ABS(G401/G389-1)&lt;0.0005,0,(G401/G389-1))</f>
        <v>0.257316670416684</v>
      </c>
      <c r="AG401" s="57" t="n">
        <f aca="false">(G401/1.2)-57.95</f>
        <v>66.3794016666667</v>
      </c>
      <c r="AH401" s="163" t="n">
        <f aca="false">IF(ABS(AG401-AG400)&lt;0.05,0,AG401-AG400)</f>
        <v>-0.516305833333348</v>
      </c>
      <c r="AI401" s="164" t="n">
        <f aca="false">IF(ABS(AG401/AG400-1)&lt;0.0005,0,(AG401/AG400-1))</f>
        <v>-0.00771807119811607</v>
      </c>
      <c r="AJ401" s="163" t="n">
        <f aca="false">IF(ABS(AG401-AG389)&lt;0.05,0,AG401-AG389)</f>
        <v>25.4446858333333</v>
      </c>
      <c r="AK401" s="155" t="n">
        <f aca="false">IF(ABS(AG401/AG389-1)&lt;0.0005,0,(AG401/AG389-1))</f>
        <v>0.621591852180725</v>
      </c>
      <c r="AL401" s="185"/>
      <c r="AM401" s="156" t="n">
        <f aca="false">IF(E401="..","",A401)</f>
        <v>44501</v>
      </c>
      <c r="AN401" s="57" t="n">
        <f aca="false">IF(ABS(E401-E400)&lt;0.05,0,E401-E400)</f>
        <v>-0.213590125680526</v>
      </c>
      <c r="AO401" s="164" t="n">
        <f aca="false">IF(ABS(E401/E400-1)&lt;0.0005,0,(E401/E400-1))</f>
        <v>-0.00133090170947792</v>
      </c>
      <c r="AP401" s="163" t="n">
        <f aca="false">IF(ABS(E401-E389)&lt;0.05,0,E401-E389)</f>
        <v>33.0619250004752</v>
      </c>
      <c r="AQ401" s="164" t="n">
        <f aca="false">IF(ABS(E401/E389-1)&lt;0.0005,0,(E401/E389-1))</f>
        <v>0.259900853994033</v>
      </c>
      <c r="AR401" s="57" t="n">
        <f aca="false">(E401/1.2)-57.95</f>
        <v>75.6097366670626</v>
      </c>
      <c r="AS401" s="163" t="n">
        <f aca="false">IF(ABS(AR401-AR400)&lt;0.05,0,AR401-AR400)</f>
        <v>-0.177991771400457</v>
      </c>
      <c r="AT401" s="164" t="n">
        <f aca="false">IF(ABS(AR401/AR400-1)&lt;0.0005,0,(AR401/AR400-1))</f>
        <v>-0.00234855662081201</v>
      </c>
      <c r="AU401" s="163" t="n">
        <f aca="false">IF(ABS(AR401-AR389)&lt;0.05,0,AR401-AR389)</f>
        <v>27.5516041670626</v>
      </c>
      <c r="AV401" s="155" t="n">
        <f aca="false">IF(ABS(AR401/AR389-1)&lt;0.0005,0,(AR401/AR389-1))</f>
        <v>0.573297436538189</v>
      </c>
      <c r="AW401" s="185"/>
      <c r="AX401" s="163" t="n">
        <f aca="false">IF(ABS(H401-H400)&lt;0.05,0,H401-H400)</f>
        <v>-2.395</v>
      </c>
      <c r="AY401" s="164" t="n">
        <f aca="false">IF(ABS(H401/H400-1)&lt;0.0005,0,(H401/H400-1))</f>
        <v>-0.0470863479081473</v>
      </c>
      <c r="AZ401" s="163" t="n">
        <f aca="false">IF(ABS(H401-H389)&lt;0.05,0,H401-H389)</f>
        <v>16.918</v>
      </c>
      <c r="BA401" s="164" t="n">
        <f aca="false">IF(ABS(H401/H389-1)&lt;0.0005,0,(H401/H389-1))</f>
        <v>0.536211213590694</v>
      </c>
      <c r="BB401" s="57" t="n">
        <f aca="false">(H401/1.05)</f>
        <v>46.1609523809524</v>
      </c>
      <c r="BC401" s="163" t="n">
        <f aca="false">IF(ABS(BB401-BB400)&lt;0.05,0,BB401-BB400)</f>
        <v>-2.28095238095239</v>
      </c>
      <c r="BD401" s="164" t="n">
        <f aca="false">IF(ABS(BB401/BB400-1)&lt;0.0005,0,(BB401/BB400-1))</f>
        <v>-0.0470863479081474</v>
      </c>
      <c r="BE401" s="163" t="n">
        <f aca="false">IF(ABS(BB401-BB389)&lt;0.05,0,BB401-BB389)</f>
        <v>16.112380952381</v>
      </c>
      <c r="BF401" s="155" t="n">
        <f aca="false">IF(ABS(BB401/BB389-1)&lt;0.0005,0,(BB401/BB389-1))</f>
        <v>0.536211213590695</v>
      </c>
      <c r="BG401" s="185"/>
      <c r="BH401" s="163" t="n">
        <f aca="false">IF(ABS(I401-I400)&lt;0.05,0,I401-I400)</f>
        <v>-1.59176000000001</v>
      </c>
      <c r="BI401" s="164" t="n">
        <f aca="false">IF(ABS(I401/I400-1)&lt;0.0005,0,(I401/I400-1))</f>
        <v>-0.0217696646501162</v>
      </c>
      <c r="BJ401" s="163" t="n">
        <f aca="false">IF(ABS(I401-I389)&lt;0.05,0,I401-I389)</f>
        <v>23.379984</v>
      </c>
      <c r="BK401" s="164" t="n">
        <f aca="false">IF(ABS(I401/I389-1)&lt;0.0005,0,(I401/I389-1))</f>
        <v>0.485600744195073</v>
      </c>
      <c r="BL401" s="57" t="n">
        <f aca="false">(I401/1.05)-11.14</f>
        <v>56.9804761904762</v>
      </c>
      <c r="BM401" s="163" t="n">
        <f aca="false">IF(ABS(BL401-BL400)&lt;0.05,0,BL401-BL400)</f>
        <v>-1.51596190476192</v>
      </c>
      <c r="BN401" s="164" t="n">
        <f aca="false">IF(ABS(BL401/BL400-1)&lt;0.0005,0,(BL401/BL400-1))</f>
        <v>-0.0259154566350481</v>
      </c>
      <c r="BO401" s="163" t="n">
        <f aca="false">IF(ABS(BL401-BL389)&lt;0.05,0,BL401-BL389)</f>
        <v>22.2666514285714</v>
      </c>
      <c r="BP401" s="155" t="n">
        <f aca="false">IF(ABS(BL401/BL389-1)&lt;0.0005,0,(BL401/BL389-1))</f>
        <v>0.641434690106722</v>
      </c>
      <c r="BQ401" s="185"/>
    </row>
    <row r="402" customFormat="false" ht="12.75" hidden="false" customHeight="false" outlineLevel="0" collapsed="false">
      <c r="A402" s="156" t="n">
        <v>44531</v>
      </c>
      <c r="B402" s="73" t="n">
        <f aca="false">'4.1.1'!A407</f>
        <v>2022</v>
      </c>
      <c r="C402" s="157" t="str">
        <f aca="false">'4.1.1'!B407</f>
        <v>January</v>
      </c>
      <c r="D402" s="203"/>
      <c r="E402" s="159" t="n">
        <f aca="false">'4.1.1'!D407</f>
        <v>156.9926</v>
      </c>
      <c r="F402" s="35" t="n">
        <f aca="false">'4.1.1'!E407</f>
        <v>144.9245</v>
      </c>
      <c r="G402" s="35" t="n">
        <f aca="false">'4.1.1'!F407</f>
        <v>148.7429</v>
      </c>
      <c r="H402" s="159" t="n">
        <f aca="false">'4.1.1'!G407</f>
        <v>53.925</v>
      </c>
      <c r="I402" s="159" t="n">
        <f aca="false">'4.1.1'!H407</f>
        <v>71.8762</v>
      </c>
      <c r="J402" s="178"/>
      <c r="K402" s="200" t="n">
        <f aca="false">'4.1.1'!I407</f>
        <v>121.152505767637</v>
      </c>
      <c r="L402" s="201"/>
      <c r="M402" s="204"/>
      <c r="N402" s="195"/>
      <c r="O402" s="202"/>
      <c r="P402" s="197"/>
      <c r="Q402" s="197"/>
      <c r="R402" s="185"/>
      <c r="S402" s="57" t="n">
        <f aca="false">IF(ABS(F402-F401)&lt;0.05,0,F402-F401)</f>
        <v>-0.769544961267485</v>
      </c>
      <c r="T402" s="178" t="n">
        <f aca="false">IF((ABS(G402/G401-1))&lt;0.0005,0,(G402/G401-1))</f>
        <v>-0.00303214682083575</v>
      </c>
      <c r="U402" s="163" t="n">
        <f aca="false">IF(ABS(F402-F390)&lt;0.05,0,F402-F390)</f>
        <v>27.6726990253727</v>
      </c>
      <c r="V402" s="164" t="n">
        <f aca="false">IF(ABS(F402/F390-1)&lt;0.0005,0,(F402/F390-1))</f>
        <v>0.236010865465179</v>
      </c>
      <c r="W402" s="57" t="n">
        <f aca="false">(F402/1.2)-57.95</f>
        <v>62.8204166666667</v>
      </c>
      <c r="X402" s="163" t="n">
        <f aca="false">IF(ABS(W402-W401)&lt;0.05,0,W402-W401)</f>
        <v>-0.641287467722904</v>
      </c>
      <c r="Y402" s="184" t="n">
        <f aca="false">IF(ABS(W402/W401-1)&lt;0.0005,0,(W402/W401-1))</f>
        <v>-0.0101051094746035</v>
      </c>
      <c r="Z402" s="163" t="n">
        <f aca="false">IF(ABS(W402-W390)&lt;0.05,0,W402-W390)</f>
        <v>23.0605825211439</v>
      </c>
      <c r="AA402" s="155" t="n">
        <f aca="false">IF(ABS(W402/W390-1)&lt;0.0005,0,(W402/W390-1))</f>
        <v>0.579996949603491</v>
      </c>
      <c r="AB402" s="185"/>
      <c r="AC402" s="57" t="n">
        <f aca="false">IF(ABS(G402-G401)&lt;0.05,0,G402-G401)</f>
        <v>-0.452382</v>
      </c>
      <c r="AD402" s="164" t="n">
        <f aca="false">IF(ABS(G402/G401-1)&lt;0.0005,0,(G402/G401-1))</f>
        <v>-0.00303214682083575</v>
      </c>
      <c r="AE402" s="163" t="n">
        <f aca="false">IF(ABS(G402-G390)&lt;0.05,0,G402-G390)</f>
        <v>27.008258</v>
      </c>
      <c r="AF402" s="164" t="n">
        <f aca="false">IF(ABS(G402/G390-1)&lt;0.0005,0,(G402/G390-1))</f>
        <v>0.221861727740572</v>
      </c>
      <c r="AG402" s="57" t="n">
        <f aca="false">(G402/1.2)-57.95</f>
        <v>66.0024166666667</v>
      </c>
      <c r="AH402" s="163" t="n">
        <f aca="false">IF(ABS(AG402-AG401)&lt;0.05,0,AG402-AG401)</f>
        <v>-0.376985000000005</v>
      </c>
      <c r="AI402" s="164" t="n">
        <f aca="false">IF(ABS(AG402/AG401-1)&lt;0.0005,0,(AG402/AG401-1))</f>
        <v>-0.00567924673218789</v>
      </c>
      <c r="AJ402" s="163" t="n">
        <f aca="false">IF(ABS(AG402-AG390)&lt;0.05,0,AG402-AG390)</f>
        <v>22.5068816666666</v>
      </c>
      <c r="AK402" s="155" t="n">
        <f aca="false">IF(ABS(AG402/AG390-1)&lt;0.0005,0,(AG402/AG390-1))</f>
        <v>0.51745269179162</v>
      </c>
      <c r="AL402" s="185"/>
      <c r="AM402" s="156" t="n">
        <f aca="false">IF(E402="..","",A402)</f>
        <v>44531</v>
      </c>
      <c r="AN402" s="57" t="n">
        <f aca="false">IF(ABS(E402-E401)&lt;0.05,0,E402-E401)</f>
        <v>-3.27908400047514</v>
      </c>
      <c r="AO402" s="164" t="n">
        <f aca="false">IF(ABS(E402/E401-1)&lt;0.0005,0,(E402/E401-1))</f>
        <v>-0.0204595342023449</v>
      </c>
      <c r="AP402" s="163" t="n">
        <f aca="false">IF(ABS(E402-E390)&lt;0.05,0,E402-E390)</f>
        <v>26.817895</v>
      </c>
      <c r="AQ402" s="164" t="n">
        <f aca="false">IF(ABS(E402/E390-1)&lt;0.0005,0,(E402/E390-1))</f>
        <v>0.206014640094633</v>
      </c>
      <c r="AR402" s="57" t="n">
        <f aca="false">(E402/1.2)-57.95</f>
        <v>72.8771666666667</v>
      </c>
      <c r="AS402" s="163" t="n">
        <f aca="false">IF(ABS(AR402-AR401)&lt;0.05,0,AR402-AR401)</f>
        <v>-2.73257000039595</v>
      </c>
      <c r="AT402" s="164" t="n">
        <f aca="false">IF(ABS(AR402/AR401-1)&lt;0.0005,0,(AR402/AR401-1))</f>
        <v>-0.0361404512282387</v>
      </c>
      <c r="AU402" s="163" t="n">
        <f aca="false">IF(ABS(AR402-AR390)&lt;0.05,0,AR402-AR390)</f>
        <v>22.3482458333333</v>
      </c>
      <c r="AV402" s="155" t="n">
        <f aca="false">IF(ABS(AR402/AR390-1)&lt;0.0005,0,(AR402/AR390-1))</f>
        <v>0.442286228654035</v>
      </c>
      <c r="AW402" s="185"/>
      <c r="AX402" s="163" t="n">
        <f aca="false">IF(ABS(H402-H401)&lt;0.05,0,H402-H401)</f>
        <v>5.456</v>
      </c>
      <c r="AY402" s="164" t="n">
        <f aca="false">IF(ABS(H402/H401-1)&lt;0.0005,0,(H402/H401-1))</f>
        <v>0.112566795271204</v>
      </c>
      <c r="AZ402" s="163" t="n">
        <f aca="false">IF(ABS(H402-H390)&lt;0.05,0,H402-H390)</f>
        <v>19.301</v>
      </c>
      <c r="BA402" s="164" t="n">
        <f aca="false">IF(ABS(H402/H390-1)&lt;0.0005,0,(H402/H390-1))</f>
        <v>0.557445702402958</v>
      </c>
      <c r="BB402" s="57" t="n">
        <f aca="false">(H402/1.05)</f>
        <v>51.3571428571429</v>
      </c>
      <c r="BC402" s="163" t="n">
        <f aca="false">IF(ABS(BB402-BB401)&lt;0.05,0,BB402-BB401)</f>
        <v>5.19619047619048</v>
      </c>
      <c r="BD402" s="164" t="n">
        <f aca="false">IF(ABS(BB402/BB401-1)&lt;0.0005,0,(BB402/BB401-1))</f>
        <v>0.112566795271204</v>
      </c>
      <c r="BE402" s="163" t="n">
        <f aca="false">IF(ABS(BB402-BB390)&lt;0.05,0,BB402-BB390)</f>
        <v>18.3819047619048</v>
      </c>
      <c r="BF402" s="155" t="n">
        <f aca="false">IF(ABS(BB402/BB390-1)&lt;0.0005,0,(BB402/BB390-1))</f>
        <v>0.557445702402958</v>
      </c>
      <c r="BG402" s="185"/>
      <c r="BH402" s="163" t="n">
        <f aca="false">IF(ABS(I402-I401)&lt;0.05,0,I402-I401)</f>
        <v>0.349699999999999</v>
      </c>
      <c r="BI402" s="164" t="n">
        <f aca="false">IF(ABS(I402/I401-1)&lt;0.0005,0,(I402/I401-1))</f>
        <v>0.00488909704794716</v>
      </c>
      <c r="BJ402" s="163" t="n">
        <f aca="false">IF(ABS(I402-I390)&lt;0.05,0,I402-I390)</f>
        <v>22.024396</v>
      </c>
      <c r="BK402" s="164" t="n">
        <f aca="false">IF(ABS(I402/I390-1)&lt;0.0005,0,(I402/I390-1))</f>
        <v>0.441797372067017</v>
      </c>
      <c r="BL402" s="57" t="n">
        <f aca="false">(I402/1.05)-11.14</f>
        <v>57.3135238095238</v>
      </c>
      <c r="BM402" s="163" t="n">
        <f aca="false">IF(ABS(BL402-BL401)&lt;0.05,0,BL402-BL401)</f>
        <v>0.333047619047619</v>
      </c>
      <c r="BN402" s="164" t="n">
        <f aca="false">IF(ABS(BL402/BL401-1)&lt;0.0005,0,(BL402/BL401-1))</f>
        <v>0.00584494271220715</v>
      </c>
      <c r="BO402" s="163" t="n">
        <f aca="false">IF(ABS(BL402-BL390)&lt;0.05,0,BL402-BL390)</f>
        <v>20.9756152380952</v>
      </c>
      <c r="BP402" s="155" t="n">
        <f aca="false">IF(ABS(BL402/BL390-1)&lt;0.0005,0,(BL402/BL390-1))</f>
        <v>0.577237823053684</v>
      </c>
      <c r="BQ402" s="185"/>
    </row>
    <row r="403" customFormat="false" ht="12.75" hidden="false" customHeight="false" outlineLevel="0" collapsed="false">
      <c r="A403" s="156" t="n">
        <v>44562</v>
      </c>
      <c r="B403" s="73" t="n">
        <f aca="false">'4.1.1'!A408</f>
        <v>2022</v>
      </c>
      <c r="C403" s="157" t="str">
        <f aca="false">'4.1.1'!B408</f>
        <v>February</v>
      </c>
      <c r="D403" s="203"/>
      <c r="E403" s="159" t="n">
        <f aca="false">'4.1.1'!D408</f>
        <v>159.056791</v>
      </c>
      <c r="F403" s="35" t="n">
        <f aca="false">'4.1.1'!E408</f>
        <v>147.004610553948</v>
      </c>
      <c r="G403" s="35" t="n">
        <f aca="false">'4.1.1'!F408</f>
        <v>151.076496</v>
      </c>
      <c r="H403" s="159" t="n">
        <f aca="false">'4.1.1'!G408</f>
        <v>59.115</v>
      </c>
      <c r="I403" s="159" t="n">
        <f aca="false">'4.1.1'!H408</f>
        <v>77.304022</v>
      </c>
      <c r="J403" s="178"/>
      <c r="K403" s="200" t="n">
        <f aca="false">'4.1.1'!I408</f>
        <v>139.608953714427</v>
      </c>
      <c r="L403" s="201"/>
      <c r="M403" s="204"/>
      <c r="N403" s="195"/>
      <c r="O403" s="202"/>
      <c r="P403" s="197"/>
      <c r="Q403" s="197"/>
      <c r="R403" s="185"/>
      <c r="S403" s="57" t="n">
        <f aca="false">IF(ABS(F403-F402)&lt;0.05,0,F403-F402)</f>
        <v>2.08011055394755</v>
      </c>
      <c r="T403" s="178" t="n">
        <f aca="false">IF((ABS(G403/G402-1))&lt;0.0005,0,(G403/G402-1))</f>
        <v>0.0156887891791813</v>
      </c>
      <c r="U403" s="163" t="n">
        <f aca="false">IF(ABS(F403-F391)&lt;0.05,0,F403-F391)</f>
        <v>26.3169840113297</v>
      </c>
      <c r="V403" s="164" t="n">
        <f aca="false">IF(ABS(F403/F391-1)&lt;0.0005,0,(F403/F391-1))</f>
        <v>0.218058675650867</v>
      </c>
      <c r="W403" s="57" t="n">
        <f aca="false">(F403/1.2)-57.95</f>
        <v>64.5538421282896</v>
      </c>
      <c r="X403" s="163" t="n">
        <f aca="false">IF(ABS(W403-W402)&lt;0.05,0,W403-W402)</f>
        <v>1.73342546162296</v>
      </c>
      <c r="Y403" s="184" t="n">
        <f aca="false">IF(ABS(W403/W402-1)&lt;0.0005,0,(W403/W402-1))</f>
        <v>0.0275933455013637</v>
      </c>
      <c r="Z403" s="163" t="n">
        <f aca="false">IF(ABS(W403-W391)&lt;0.05,0,W403-W391)</f>
        <v>21.9308200094414</v>
      </c>
      <c r="AA403" s="155" t="n">
        <f aca="false">IF(ABS(W403/W391-1)&lt;0.0005,0,(W403/W391-1))</f>
        <v>0.51452991644493</v>
      </c>
      <c r="AB403" s="185"/>
      <c r="AC403" s="57" t="n">
        <f aca="false">IF(ABS(G403-G402)&lt;0.05,0,G403-G402)</f>
        <v>2.33359600000006</v>
      </c>
      <c r="AD403" s="164" t="n">
        <f aca="false">IF(ABS(G403/G402-1)&lt;0.0005,0,(G403/G402-1))</f>
        <v>0.0156887891791813</v>
      </c>
      <c r="AE403" s="163" t="n">
        <f aca="false">IF(ABS(G403-G391)&lt;0.05,0,G403-G391)</f>
        <v>26.163982</v>
      </c>
      <c r="AF403" s="164" t="n">
        <f aca="false">IF(ABS(G403/G391-1)&lt;0.0005,0,(G403/G391-1))</f>
        <v>0.209458453458074</v>
      </c>
      <c r="AG403" s="57" t="n">
        <f aca="false">(G403/1.2)-57.95</f>
        <v>67.94708</v>
      </c>
      <c r="AH403" s="163" t="n">
        <f aca="false">IF(ABS(AG403-AG402)&lt;0.05,0,AG403-AG402)</f>
        <v>1.94466333333338</v>
      </c>
      <c r="AI403" s="164" t="n">
        <f aca="false">IF(ABS(AG403/AG402-1)&lt;0.0005,0,(AG403/AG402-1))</f>
        <v>0.0294635171186921</v>
      </c>
      <c r="AJ403" s="163" t="n">
        <f aca="false">IF(ABS(AG403-AG391)&lt;0.05,0,AG403-AG391)</f>
        <v>21.8033183333334</v>
      </c>
      <c r="AK403" s="155" t="n">
        <f aca="false">IF(ABS(AG403/AG391-1)&lt;0.0005,0,(AG403/AG391-1))</f>
        <v>0.472508472344239</v>
      </c>
      <c r="AL403" s="185"/>
      <c r="AM403" s="156" t="n">
        <f aca="false">IF(E403="..","",A403)</f>
        <v>44562</v>
      </c>
      <c r="AN403" s="57" t="n">
        <f aca="false">IF(ABS(E403-E402)&lt;0.05,0,E403-E402)</f>
        <v>2.06419099999999</v>
      </c>
      <c r="AO403" s="164" t="n">
        <f aca="false">IF(ABS(E403/E402-1)&lt;0.0005,0,(E403/E402-1))</f>
        <v>0.0131483331061464</v>
      </c>
      <c r="AP403" s="163" t="n">
        <f aca="false">IF(ABS(E403-E391)&lt;0.05,0,E403-E391)</f>
        <v>25.420576</v>
      </c>
      <c r="AQ403" s="164" t="n">
        <f aca="false">IF(ABS(E403/E391-1)&lt;0.0005,0,(E403/E391-1))</f>
        <v>0.190222208852593</v>
      </c>
      <c r="AR403" s="57" t="n">
        <f aca="false">(E403/1.2)-57.95</f>
        <v>74.5973258333333</v>
      </c>
      <c r="AS403" s="163" t="n">
        <f aca="false">IF(ABS(AR403-AR402)&lt;0.05,0,AR403-AR402)</f>
        <v>1.72015916666666</v>
      </c>
      <c r="AT403" s="164" t="n">
        <f aca="false">IF(ABS(AR403/AR402-1)&lt;0.0005,0,(AR403/AR402-1))</f>
        <v>0.0236035406608837</v>
      </c>
      <c r="AU403" s="163" t="n">
        <f aca="false">IF(ABS(AR403-AR391)&lt;0.05,0,AR403-AR391)</f>
        <v>21.1838133333333</v>
      </c>
      <c r="AV403" s="155" t="n">
        <f aca="false">IF(ABS(AR403/AR391-1)&lt;0.0005,0,(AR403/AR391-1))</f>
        <v>0.396600267270071</v>
      </c>
      <c r="AW403" s="185"/>
      <c r="AX403" s="163" t="n">
        <f aca="false">IF(ABS(H403-H402)&lt;0.05,0,H403-H402)</f>
        <v>5.19000000000001</v>
      </c>
      <c r="AY403" s="164" t="n">
        <f aca="false">IF(ABS(H403/H402-1)&lt;0.0005,0,(H403/H402-1))</f>
        <v>0.0962447844228096</v>
      </c>
      <c r="AZ403" s="163" t="n">
        <f aca="false">IF(ABS(H403-H391)&lt;0.05,0,H403-H391)</f>
        <v>22.257</v>
      </c>
      <c r="BA403" s="164" t="n">
        <f aca="false">IF(ABS(H403/H391-1)&lt;0.0005,0,(H403/H391-1))</f>
        <v>0.603858049812795</v>
      </c>
      <c r="BB403" s="57" t="n">
        <f aca="false">(H403/1.05)</f>
        <v>56.3</v>
      </c>
      <c r="BC403" s="163" t="n">
        <f aca="false">IF(ABS(BB403-BB402)&lt;0.05,0,BB403-BB402)</f>
        <v>4.94285714285714</v>
      </c>
      <c r="BD403" s="164" t="n">
        <f aca="false">IF(ABS(BB403/BB402-1)&lt;0.0005,0,(BB403/BB402-1))</f>
        <v>0.0962447844228094</v>
      </c>
      <c r="BE403" s="163" t="n">
        <f aca="false">IF(ABS(BB403-BB391)&lt;0.05,0,BB403-BB391)</f>
        <v>21.1971428571429</v>
      </c>
      <c r="BF403" s="155" t="n">
        <f aca="false">IF(ABS(BB403/BB391-1)&lt;0.0005,0,(BB403/BB391-1))</f>
        <v>0.603858049812795</v>
      </c>
      <c r="BG403" s="185"/>
      <c r="BH403" s="163" t="n">
        <f aca="false">IF(ABS(I403-I402)&lt;0.05,0,I403-I402)</f>
        <v>5.42782199999999</v>
      </c>
      <c r="BI403" s="164" t="n">
        <f aca="false">IF(ABS(I403/I402-1)&lt;0.0005,0,(I403/I402-1))</f>
        <v>0.0755162626850054</v>
      </c>
      <c r="BJ403" s="163" t="n">
        <f aca="false">IF(ABS(I403-I391)&lt;0.05,0,I403-I391)</f>
        <v>24.485414</v>
      </c>
      <c r="BK403" s="164" t="n">
        <f aca="false">IF(ABS(I403/I391-1)&lt;0.0005,0,(I403/I391-1))</f>
        <v>0.463575526261502</v>
      </c>
      <c r="BL403" s="57" t="n">
        <f aca="false">(I403/1.05)-11.14</f>
        <v>62.4828780952381</v>
      </c>
      <c r="BM403" s="163" t="n">
        <f aca="false">IF(ABS(BL403-BL402)&lt;0.05,0,BL403-BL402)</f>
        <v>5.16935428571428</v>
      </c>
      <c r="BN403" s="164" t="n">
        <f aca="false">IF(ABS(BL403/BL402-1)&lt;0.0005,0,(BL403/BL402-1))</f>
        <v>0.0901943196320323</v>
      </c>
      <c r="BO403" s="163" t="n">
        <f aca="false">IF(ABS(BL403-BL391)&lt;0.05,0,BL403-BL391)</f>
        <v>23.3194419047619</v>
      </c>
      <c r="BP403" s="155" t="n">
        <f aca="false">IF(ABS(BL403/BL391-1)&lt;0.0005,0,(BL403/BL391-1))</f>
        <v>0.595439118042271</v>
      </c>
      <c r="BQ403" s="185"/>
    </row>
    <row r="404" customFormat="false" ht="12.75" hidden="false" customHeight="false" outlineLevel="0" collapsed="false">
      <c r="A404" s="156" t="n">
        <v>44593</v>
      </c>
      <c r="B404" s="73" t="n">
        <f aca="false">'4.1.1'!A409</f>
        <v>2022</v>
      </c>
      <c r="C404" s="157" t="str">
        <f aca="false">'4.1.1'!B409</f>
        <v>March</v>
      </c>
      <c r="D404" s="203"/>
      <c r="E404" s="159" t="n">
        <f aca="false">'4.1.1'!D409</f>
        <v>173.887328</v>
      </c>
      <c r="F404" s="35" t="n">
        <f aca="false">'4.1.1'!E409</f>
        <v>161.857640837614</v>
      </c>
      <c r="G404" s="35" t="n">
        <f aca="false">'4.1.1'!F409</f>
        <v>171.390692</v>
      </c>
      <c r="H404" s="159" t="n">
        <f aca="false">'4.1.1'!G409</f>
        <v>84.861</v>
      </c>
      <c r="I404" s="159" t="n">
        <f aca="false">'4.1.1'!H409</f>
        <v>121.690985</v>
      </c>
      <c r="J404" s="178"/>
      <c r="K404" s="200" t="n">
        <f aca="false">'4.1.1'!I409</f>
        <v>176.239748252714</v>
      </c>
      <c r="L404" s="201"/>
      <c r="M404" s="204"/>
      <c r="N404" s="195"/>
      <c r="O404" s="202"/>
      <c r="P404" s="197"/>
      <c r="Q404" s="197"/>
      <c r="R404" s="185"/>
      <c r="S404" s="57" t="n">
        <f aca="false">IF(ABS(F404-F403)&lt;0.05,0,F404-F403)</f>
        <v>14.8530302836665</v>
      </c>
      <c r="T404" s="178" t="n">
        <f aca="false">IF((ABS(G404/G403-1))&lt;0.0005,0,(G404/G403-1))</f>
        <v>0.134462980925901</v>
      </c>
      <c r="U404" s="163" t="n">
        <f aca="false">IF(ABS(F404-F392)&lt;0.05,0,F404-F392)</f>
        <v>37.815013738707</v>
      </c>
      <c r="V404" s="164" t="n">
        <f aca="false">IF(ABS(F404/F392-1)&lt;0.0005,0,(F404/F392-1))</f>
        <v>0.304854989152678</v>
      </c>
      <c r="W404" s="57" t="n">
        <f aca="false">(F404/1.2)-57.95</f>
        <v>76.9313673646783</v>
      </c>
      <c r="X404" s="163" t="n">
        <f aca="false">IF(ABS(W404-W403)&lt;0.05,0,W404-W403)</f>
        <v>12.3775252363887</v>
      </c>
      <c r="Y404" s="184" t="n">
        <f aca="false">IF(ABS(W404/W403-1)&lt;0.0005,0,(W404/W403-1))</f>
        <v>0.191739559231665</v>
      </c>
      <c r="Z404" s="163" t="n">
        <f aca="false">IF(ABS(W404-W392)&lt;0.05,0,W404-W392)</f>
        <v>31.5125114489225</v>
      </c>
      <c r="AA404" s="155" t="n">
        <f aca="false">IF(ABS(W404/W392-1)&lt;0.0005,0,(W404/W392-1))</f>
        <v>0.693820018438437</v>
      </c>
      <c r="AB404" s="185"/>
      <c r="AC404" s="57" t="n">
        <f aca="false">IF(ABS(G404-G403)&lt;0.05,0,G404-G403)</f>
        <v>20.314196</v>
      </c>
      <c r="AD404" s="164" t="n">
        <f aca="false">IF(ABS(G404/G403-1)&lt;0.0005,0,(G404/G403-1))</f>
        <v>0.134462980925901</v>
      </c>
      <c r="AE404" s="163" t="n">
        <f aca="false">IF(ABS(G404-G392)&lt;0.05,0,G404-G392)</f>
        <v>43.282151</v>
      </c>
      <c r="AF404" s="164" t="n">
        <f aca="false">IF(ABS(G404/G392-1)&lt;0.0005,0,(G404/G392-1))</f>
        <v>0.337855311302</v>
      </c>
      <c r="AG404" s="57" t="n">
        <f aca="false">(G404/1.2)-57.95</f>
        <v>84.8755766666667</v>
      </c>
      <c r="AH404" s="163" t="n">
        <f aca="false">IF(ABS(AG404-AG403)&lt;0.05,0,AG404-AG403)</f>
        <v>16.9284966666667</v>
      </c>
      <c r="AI404" s="164" t="n">
        <f aca="false">IF(ABS(AG404/AG403-1)&lt;0.0005,0,(AG404/AG403-1))</f>
        <v>0.249142371779135</v>
      </c>
      <c r="AJ404" s="163" t="n">
        <f aca="false">IF(ABS(AG404-AG392)&lt;0.05,0,AG404-AG392)</f>
        <v>36.0684591666667</v>
      </c>
      <c r="AK404" s="155" t="n">
        <f aca="false">IF(ABS(AG404/AG392-1)&lt;0.0005,0,(AG404/AG392-1))</f>
        <v>0.738999986357865</v>
      </c>
      <c r="AL404" s="185"/>
      <c r="AM404" s="156" t="n">
        <f aca="false">IF(E404="..","",A404)</f>
        <v>44593</v>
      </c>
      <c r="AN404" s="57" t="n">
        <f aca="false">IF(ABS(E404-E403)&lt;0.05,0,E404-E403)</f>
        <v>14.830537</v>
      </c>
      <c r="AO404" s="164" t="n">
        <f aca="false">IF(ABS(E404/E403-1)&lt;0.0005,0,(E404/E403-1))</f>
        <v>0.0932405143267352</v>
      </c>
      <c r="AP404" s="163" t="n">
        <f aca="false">IF(ABS(E404-E392)&lt;0.05,0,E404-E392)</f>
        <v>36.791918</v>
      </c>
      <c r="AQ404" s="164" t="n">
        <f aca="false">IF(ABS(E404/E392-1)&lt;0.0005,0,(E404/E392-1))</f>
        <v>0.26836724876493</v>
      </c>
      <c r="AR404" s="57" t="n">
        <f aca="false">(E404/1.2)-57.95</f>
        <v>86.9561066666667</v>
      </c>
      <c r="AS404" s="163" t="n">
        <f aca="false">IF(ABS(AR404-AR403)&lt;0.05,0,AR404-AR403)</f>
        <v>12.3587808333334</v>
      </c>
      <c r="AT404" s="164" t="n">
        <f aca="false">IF(ABS(AR404/AR403-1)&lt;0.0005,0,(AR404/AR403-1))</f>
        <v>0.165673242241224</v>
      </c>
      <c r="AU404" s="163" t="n">
        <f aca="false">IF(ABS(AR404-AR392)&lt;0.05,0,AR404-AR392)</f>
        <v>30.6599316666667</v>
      </c>
      <c r="AV404" s="155" t="n">
        <f aca="false">IF(ABS(AR404/AR392-1)&lt;0.0005,0,(AR404/AR392-1))</f>
        <v>0.544618380674471</v>
      </c>
      <c r="AW404" s="185"/>
      <c r="AX404" s="163" t="n">
        <f aca="false">IF(ABS(H404-H403)&lt;0.05,0,H404-H403)</f>
        <v>25.746</v>
      </c>
      <c r="AY404" s="164" t="n">
        <f aca="false">IF(ABS(H404/H403-1)&lt;0.0005,0,(H404/H403-1))</f>
        <v>0.435523978685613</v>
      </c>
      <c r="AZ404" s="163" t="n">
        <f aca="false">IF(ABS(H404-H392)&lt;0.05,0,H404-H392)</f>
        <v>45.855</v>
      </c>
      <c r="BA404" s="164" t="n">
        <f aca="false">IF(ABS(H404/H392-1)&lt;0.0005,0,(H404/H392-1))</f>
        <v>1.17558837101984</v>
      </c>
      <c r="BB404" s="57" t="n">
        <f aca="false">(H404/1.05)</f>
        <v>80.82</v>
      </c>
      <c r="BC404" s="163" t="n">
        <f aca="false">IF(ABS(BB404-BB403)&lt;0.05,0,BB404-BB403)</f>
        <v>24.52</v>
      </c>
      <c r="BD404" s="164" t="n">
        <f aca="false">IF(ABS(BB404/BB403-1)&lt;0.0005,0,(BB404/BB403-1))</f>
        <v>0.435523978685613</v>
      </c>
      <c r="BE404" s="163" t="n">
        <f aca="false">IF(ABS(BB404-BB392)&lt;0.05,0,BB404-BB392)</f>
        <v>43.6714285714286</v>
      </c>
      <c r="BF404" s="155" t="n">
        <f aca="false">IF(ABS(BB404/BB392-1)&lt;0.0005,0,(BB404/BB392-1))</f>
        <v>1.17558837101984</v>
      </c>
      <c r="BG404" s="185"/>
      <c r="BH404" s="163" t="n">
        <f aca="false">IF(ABS(I404-I403)&lt;0.05,0,I404-I403)</f>
        <v>44.386963</v>
      </c>
      <c r="BI404" s="164" t="n">
        <f aca="false">IF(ABS(I404/I403-1)&lt;0.0005,0,(I404/I403-1))</f>
        <v>0.574186980853338</v>
      </c>
      <c r="BJ404" s="163" t="n">
        <f aca="false">IF(ABS(I404-I392)&lt;0.05,0,I404-I392)</f>
        <v>65.95178</v>
      </c>
      <c r="BK404" s="164" t="n">
        <f aca="false">IF(ABS(I404/I392-1)&lt;0.0005,0,(I404/I392-1))</f>
        <v>1.18322067923287</v>
      </c>
      <c r="BL404" s="57" t="n">
        <f aca="false">(I404/1.05)-11.14</f>
        <v>104.756176190476</v>
      </c>
      <c r="BM404" s="163" t="n">
        <f aca="false">IF(ABS(BL404-BL403)&lt;0.05,0,BL404-BL403)</f>
        <v>42.2732980952381</v>
      </c>
      <c r="BN404" s="164" t="n">
        <f aca="false">IF(ABS(BL404/BL403-1)&lt;0.0005,0,(BL404/BL403-1))</f>
        <v>0.676558112941021</v>
      </c>
      <c r="BO404" s="163" t="n">
        <f aca="false">IF(ABS(BL404-BL392)&lt;0.05,0,BL404-BL392)</f>
        <v>62.811219047619</v>
      </c>
      <c r="BP404" s="155" t="n">
        <f aca="false">IF(ABS(BL404/BL392-1)&lt;0.0005,0,(BL404/BL392-1))</f>
        <v>1.49746771307204</v>
      </c>
      <c r="BQ404" s="185"/>
    </row>
    <row r="405" customFormat="false" ht="12.75" hidden="false" customHeight="false" outlineLevel="0" collapsed="false">
      <c r="A405" s="156"/>
      <c r="B405" s="73"/>
      <c r="C405" s="157"/>
      <c r="D405" s="203"/>
      <c r="E405" s="159"/>
      <c r="F405" s="35"/>
      <c r="G405" s="35"/>
      <c r="H405" s="159"/>
      <c r="I405" s="159"/>
      <c r="J405" s="178"/>
      <c r="K405" s="200"/>
      <c r="L405" s="201"/>
      <c r="M405" s="204"/>
      <c r="N405" s="195"/>
      <c r="O405" s="202"/>
      <c r="P405" s="197"/>
      <c r="Q405" s="197"/>
      <c r="R405" s="185"/>
      <c r="S405" s="57"/>
      <c r="T405" s="178"/>
      <c r="U405" s="163"/>
      <c r="V405" s="164"/>
      <c r="W405" s="57"/>
      <c r="X405" s="163"/>
      <c r="Y405" s="184"/>
      <c r="Z405" s="163"/>
      <c r="AA405" s="155"/>
      <c r="AB405" s="185"/>
      <c r="AC405" s="57"/>
      <c r="AD405" s="164"/>
      <c r="AE405" s="163"/>
      <c r="AF405" s="164"/>
      <c r="AG405" s="57"/>
      <c r="AH405" s="163"/>
      <c r="AI405" s="164"/>
      <c r="AJ405" s="163"/>
      <c r="AK405" s="155"/>
      <c r="AL405" s="185"/>
      <c r="AM405" s="156"/>
      <c r="AN405" s="57"/>
      <c r="AO405" s="164"/>
      <c r="AP405" s="163"/>
      <c r="AQ405" s="164"/>
      <c r="AR405" s="57"/>
      <c r="AS405" s="163"/>
      <c r="AT405" s="164"/>
      <c r="AU405" s="163"/>
      <c r="AV405" s="155"/>
      <c r="AW405" s="185"/>
      <c r="AX405" s="163"/>
      <c r="AY405" s="164"/>
      <c r="AZ405" s="163"/>
      <c r="BA405" s="164"/>
      <c r="BB405" s="57"/>
      <c r="BC405" s="163"/>
      <c r="BD405" s="164"/>
      <c r="BE405" s="163"/>
      <c r="BF405" s="155"/>
      <c r="BG405" s="185"/>
      <c r="BH405" s="163"/>
      <c r="BI405" s="164"/>
      <c r="BJ405" s="163"/>
      <c r="BK405" s="164"/>
      <c r="BL405" s="57"/>
      <c r="BM405" s="163"/>
      <c r="BN405" s="164"/>
      <c r="BO405" s="163"/>
      <c r="BP405" s="155"/>
      <c r="BQ405" s="185"/>
    </row>
    <row r="406" customFormat="false" ht="12.75" hidden="false" customHeight="false" outlineLevel="0" collapsed="false">
      <c r="B406" s="205"/>
      <c r="C406" s="206" t="s">
        <v>211</v>
      </c>
      <c r="D406" s="203"/>
      <c r="E406" s="207" t="n">
        <f aca="false">E404-E403</f>
        <v>14.830537</v>
      </c>
      <c r="F406" s="207" t="n">
        <f aca="false">F404-F403</f>
        <v>14.8530302836665</v>
      </c>
      <c r="G406" s="207" t="n">
        <f aca="false">G404-G403</f>
        <v>20.314196</v>
      </c>
      <c r="H406" s="207" t="n">
        <f aca="false">H404-H403</f>
        <v>25.746</v>
      </c>
      <c r="I406" s="207" t="n">
        <f aca="false">I404-I403</f>
        <v>44.386963</v>
      </c>
      <c r="J406" s="207"/>
      <c r="K406" s="207" t="n">
        <f aca="false">K404-K403</f>
        <v>36.6307945382876</v>
      </c>
      <c r="L406" s="201"/>
      <c r="M406" s="204"/>
      <c r="N406" s="195"/>
      <c r="O406" s="202"/>
      <c r="P406" s="197"/>
      <c r="Q406" s="197"/>
      <c r="R406" s="185"/>
      <c r="S406" s="208"/>
      <c r="T406" s="208"/>
      <c r="U406" s="68"/>
      <c r="W406" s="207" t="n">
        <f aca="false">W404-W403</f>
        <v>12.3775252363887</v>
      </c>
      <c r="Y406" s="209"/>
      <c r="AB406" s="185"/>
      <c r="AD406" s="163"/>
      <c r="AE406" s="172"/>
      <c r="AF406" s="163"/>
      <c r="AG406" s="207" t="n">
        <f aca="false">AG404-AG403</f>
        <v>16.9284966666667</v>
      </c>
      <c r="AL406" s="185"/>
      <c r="AM406" s="210"/>
      <c r="AR406" s="207" t="n">
        <f aca="false">AR404-AR403</f>
        <v>12.3587808333334</v>
      </c>
      <c r="AW406" s="185"/>
      <c r="BB406" s="207" t="n">
        <f aca="false">BB404-BB403</f>
        <v>24.52</v>
      </c>
      <c r="BG406" s="185"/>
      <c r="BL406" s="207" t="n">
        <f aca="false">BL404-BL403</f>
        <v>42.2732980952381</v>
      </c>
      <c r="BQ406" s="185"/>
    </row>
    <row r="407" customFormat="false" ht="12.75" hidden="false" customHeight="false" outlineLevel="0" collapsed="false">
      <c r="B407" s="205"/>
      <c r="C407" s="206" t="s">
        <v>212</v>
      </c>
      <c r="D407" s="203"/>
      <c r="E407" s="211" t="n">
        <f aca="false">E404/E403-1</f>
        <v>0.0932405143267352</v>
      </c>
      <c r="F407" s="211" t="n">
        <f aca="false">F404/F403-1</f>
        <v>0.101037853355053</v>
      </c>
      <c r="G407" s="211" t="n">
        <f aca="false">G404/G403-1</f>
        <v>0.134462980925901</v>
      </c>
      <c r="H407" s="211" t="n">
        <f aca="false">H404/H403-1</f>
        <v>0.435523978685613</v>
      </c>
      <c r="I407" s="211" t="n">
        <f aca="false">I404/I403-1</f>
        <v>0.574186980853338</v>
      </c>
      <c r="J407" s="211"/>
      <c r="K407" s="211" t="n">
        <f aca="false">K404/K403-1</f>
        <v>0.262381412965939</v>
      </c>
      <c r="L407" s="201"/>
      <c r="M407" s="204"/>
      <c r="N407" s="195"/>
      <c r="O407" s="202"/>
      <c r="P407" s="197"/>
      <c r="Q407" s="197"/>
      <c r="R407" s="185"/>
      <c r="S407" s="208"/>
      <c r="T407" s="208"/>
      <c r="U407" s="68"/>
      <c r="W407" s="211" t="n">
        <f aca="false">W404/W403-1</f>
        <v>0.191739559231665</v>
      </c>
      <c r="Y407" s="209"/>
      <c r="AB407" s="185"/>
      <c r="AD407" s="163"/>
      <c r="AE407" s="172"/>
      <c r="AF407" s="163"/>
      <c r="AG407" s="212" t="n">
        <f aca="false">AG404/AG403-1</f>
        <v>0.249142371779135</v>
      </c>
      <c r="AL407" s="185"/>
      <c r="AM407" s="210"/>
      <c r="AR407" s="211" t="n">
        <f aca="false">AR404/AR403-1</f>
        <v>0.165673242241224</v>
      </c>
      <c r="AW407" s="185"/>
      <c r="BB407" s="211" t="n">
        <f aca="false">BB404/BB403-1</f>
        <v>0.435523978685613</v>
      </c>
      <c r="BG407" s="185"/>
      <c r="BL407" s="211" t="n">
        <f aca="false">BL404/BL403-1</f>
        <v>0.676558112941021</v>
      </c>
      <c r="BQ407" s="185"/>
    </row>
    <row r="408" customFormat="false" ht="12.75" hidden="false" customHeight="false" outlineLevel="0" collapsed="false">
      <c r="B408" s="205"/>
      <c r="L408" s="201"/>
      <c r="M408" s="204"/>
      <c r="N408" s="195"/>
      <c r="O408" s="202"/>
      <c r="P408" s="197"/>
      <c r="Q408" s="197"/>
      <c r="R408" s="185"/>
      <c r="S408" s="208"/>
      <c r="T408" s="208"/>
      <c r="U408" s="68"/>
      <c r="AB408" s="185"/>
      <c r="AL408" s="185"/>
      <c r="AM408" s="210"/>
      <c r="AW408" s="185"/>
      <c r="BG408" s="185"/>
      <c r="BQ408" s="185"/>
    </row>
    <row r="409" customFormat="false" ht="12.75" hidden="false" customHeight="false" outlineLevel="0" collapsed="false">
      <c r="B409" s="205"/>
      <c r="C409" s="206" t="s">
        <v>213</v>
      </c>
      <c r="D409" s="203"/>
      <c r="E409" s="213" t="n">
        <f aca="false">(E404-E392)</f>
        <v>36.791918</v>
      </c>
      <c r="F409" s="214" t="n">
        <f aca="false">(F395-F383)</f>
        <v>23.4842426952494</v>
      </c>
      <c r="G409" s="213" t="n">
        <f aca="false">(G395-G383)</f>
        <v>21.0072952000001</v>
      </c>
      <c r="H409" s="213" t="n">
        <f aca="false">(H394-H382)</f>
        <v>19.27</v>
      </c>
      <c r="I409" s="213" t="n">
        <f aca="false">(I394-I382)</f>
        <v>18.070415</v>
      </c>
      <c r="J409" s="213"/>
      <c r="K409" s="213" t="n">
        <f aca="false">(K394-K382)</f>
        <v>50.0507980182709</v>
      </c>
      <c r="L409" s="201"/>
      <c r="M409" s="204"/>
      <c r="N409" s="195"/>
      <c r="O409" s="202"/>
      <c r="P409" s="197"/>
      <c r="Q409" s="197"/>
      <c r="R409" s="185"/>
      <c r="S409" s="208"/>
      <c r="T409" s="208"/>
      <c r="U409" s="68"/>
      <c r="W409" s="213" t="n">
        <f aca="false">(W404-W391)</f>
        <v>34.3083452458301</v>
      </c>
      <c r="AB409" s="185"/>
      <c r="AG409" s="213" t="n">
        <f aca="false">(AG404-AG391)</f>
        <v>38.731815</v>
      </c>
      <c r="AL409" s="215"/>
      <c r="AM409" s="210"/>
      <c r="AR409" s="213" t="n">
        <f aca="false">(AR404-AR391)</f>
        <v>33.5425941666667</v>
      </c>
      <c r="AW409" s="185"/>
      <c r="BB409" s="213" t="n">
        <f aca="false">(BB404-BB391)</f>
        <v>45.7171428571429</v>
      </c>
      <c r="BG409" s="185"/>
      <c r="BL409" s="213" t="n">
        <f aca="false">(BL404-BL391)</f>
        <v>65.59274</v>
      </c>
      <c r="BQ409" s="215"/>
    </row>
    <row r="410" customFormat="false" ht="12.75" hidden="false" customHeight="false" outlineLevel="0" collapsed="false">
      <c r="B410" s="205"/>
      <c r="C410" s="216" t="s">
        <v>214</v>
      </c>
      <c r="D410" s="203"/>
      <c r="E410" s="211" t="n">
        <f aca="false">(E404/E392)-1</f>
        <v>0.26836724876493</v>
      </c>
      <c r="F410" s="211" t="n">
        <f aca="false">(F404/F392)-1</f>
        <v>0.304854989152678</v>
      </c>
      <c r="G410" s="211" t="n">
        <f aca="false">(G404/G392)-1</f>
        <v>0.337855311302</v>
      </c>
      <c r="H410" s="211" t="n">
        <f aca="false">(H404/H392)-1</f>
        <v>1.17558837101984</v>
      </c>
      <c r="I410" s="211" t="n">
        <f aca="false">(I404/I392)-1</f>
        <v>1.18322067923287</v>
      </c>
      <c r="J410" s="213"/>
      <c r="K410" s="211" t="n">
        <f aca="false">(K404/K392)-1</f>
        <v>0.943491743558115</v>
      </c>
      <c r="L410" s="201"/>
      <c r="M410" s="204"/>
      <c r="N410" s="195"/>
      <c r="O410" s="202"/>
      <c r="P410" s="197"/>
      <c r="Q410" s="197"/>
      <c r="R410" s="185"/>
      <c r="S410" s="215"/>
      <c r="T410" s="208"/>
      <c r="U410" s="208"/>
      <c r="V410" s="208"/>
      <c r="W410" s="211" t="n">
        <f aca="false">(W404/W391)-1</f>
        <v>0.804925215067251</v>
      </c>
      <c r="X410" s="208"/>
      <c r="Y410" s="208"/>
      <c r="Z410" s="208"/>
      <c r="AA410" s="208"/>
      <c r="AB410" s="185"/>
      <c r="AC410" s="208"/>
      <c r="AD410" s="208"/>
      <c r="AE410" s="208"/>
      <c r="AF410" s="208"/>
      <c r="AG410" s="211" t="n">
        <f aca="false">(AG404/AG391)-1</f>
        <v>0.839372725608955</v>
      </c>
      <c r="AH410" s="208"/>
      <c r="AI410" s="208"/>
      <c r="AJ410" s="208"/>
      <c r="AK410" s="68"/>
      <c r="AL410" s="215"/>
      <c r="AM410" s="210"/>
      <c r="AN410" s="68"/>
      <c r="AR410" s="211" t="n">
        <f aca="false">(AR404/AR391)-1</f>
        <v>0.627979561663664</v>
      </c>
      <c r="AW410" s="215"/>
      <c r="BB410" s="211" t="n">
        <f aca="false">(BB404/BB391)-1</f>
        <v>1.30237668891421</v>
      </c>
      <c r="BG410" s="215"/>
      <c r="BL410" s="213" t="n">
        <f aca="false">(BL405-BL392)</f>
        <v>-41.9449571428571</v>
      </c>
      <c r="BQ410" s="215"/>
    </row>
    <row r="411" customFormat="false" ht="12.75" hidden="false" customHeight="false" outlineLevel="0" collapsed="false">
      <c r="B411" s="217"/>
      <c r="C411" s="129"/>
      <c r="D411" s="218"/>
      <c r="E411" s="218"/>
      <c r="F411" s="219"/>
      <c r="G411" s="220"/>
      <c r="H411" s="208"/>
      <c r="I411" s="208"/>
      <c r="J411" s="218"/>
      <c r="K411" s="208"/>
      <c r="L411" s="218"/>
      <c r="M411" s="126"/>
      <c r="N411" s="218"/>
      <c r="O411" s="68"/>
      <c r="P411" s="218"/>
      <c r="Q411" s="218"/>
      <c r="R411" s="68"/>
      <c r="S411" s="68"/>
      <c r="T411" s="218"/>
      <c r="U411" s="218"/>
      <c r="V411" s="218"/>
      <c r="W411" s="218"/>
      <c r="X411" s="218"/>
      <c r="Y411" s="220"/>
      <c r="Z411" s="218"/>
      <c r="AA411" s="218"/>
      <c r="AB411" s="68"/>
      <c r="AC411" s="218"/>
      <c r="AD411" s="218"/>
      <c r="AE411" s="218"/>
      <c r="AF411" s="218"/>
      <c r="AG411" s="218"/>
      <c r="AH411" s="218"/>
      <c r="AI411" s="218"/>
      <c r="AJ411" s="218"/>
      <c r="AK411" s="68"/>
      <c r="AL411" s="68"/>
      <c r="AM411" s="25"/>
      <c r="AN411" s="68"/>
      <c r="AW411" s="68"/>
      <c r="BG411" s="68"/>
      <c r="BQ411" s="68"/>
    </row>
    <row r="412" customFormat="false" ht="12.75" hidden="false" customHeight="false" outlineLevel="0" collapsed="false">
      <c r="B412" s="221" t="s">
        <v>158</v>
      </c>
      <c r="C412" s="129"/>
      <c r="D412" s="218"/>
      <c r="E412" s="218"/>
      <c r="F412" s="218"/>
      <c r="G412" s="222"/>
      <c r="H412" s="218"/>
      <c r="I412" s="218"/>
      <c r="J412" s="218"/>
      <c r="K412" s="155"/>
      <c r="L412" s="218"/>
      <c r="M412" s="126"/>
      <c r="N412" s="218"/>
      <c r="O412" s="68"/>
      <c r="P412" s="218"/>
      <c r="Q412" s="218"/>
      <c r="R412" s="68"/>
      <c r="S412" s="68"/>
      <c r="T412" s="218"/>
      <c r="U412" s="218"/>
      <c r="V412" s="218"/>
      <c r="X412" s="218"/>
      <c r="Y412" s="218"/>
      <c r="Z412" s="218"/>
      <c r="AA412" s="218"/>
      <c r="AB412" s="68"/>
      <c r="AC412" s="218"/>
      <c r="AD412" s="218"/>
      <c r="AE412" s="218"/>
      <c r="AF412" s="218"/>
      <c r="AG412" s="218"/>
      <c r="AH412" s="218"/>
      <c r="AI412" s="218"/>
      <c r="AJ412" s="218"/>
      <c r="AK412" s="68"/>
      <c r="AL412" s="68"/>
      <c r="AM412" s="25"/>
      <c r="AN412" s="68"/>
      <c r="AW412" s="68"/>
      <c r="BG412" s="68"/>
      <c r="BQ412" s="68"/>
    </row>
    <row r="413" customFormat="false" ht="12.75" hidden="false" customHeight="false" outlineLevel="0" collapsed="false">
      <c r="B413" s="68"/>
      <c r="C413" s="129"/>
      <c r="D413" s="218"/>
      <c r="E413" s="218"/>
      <c r="F413" s="218"/>
      <c r="G413" s="222"/>
      <c r="H413" s="218"/>
      <c r="I413" s="218"/>
      <c r="J413" s="218"/>
      <c r="K413" s="155"/>
      <c r="L413" s="218"/>
      <c r="M413" s="126"/>
      <c r="N413" s="218"/>
      <c r="O413" s="68"/>
      <c r="P413" s="218"/>
      <c r="Q413" s="218"/>
      <c r="R413" s="68"/>
      <c r="S413" s="68"/>
      <c r="T413" s="218"/>
      <c r="U413" s="218"/>
      <c r="V413" s="218"/>
      <c r="W413" s="218"/>
      <c r="X413" s="218"/>
      <c r="Y413" s="218"/>
      <c r="Z413" s="218"/>
      <c r="AA413" s="218"/>
      <c r="AB413" s="68"/>
      <c r="AC413" s="218"/>
      <c r="AD413" s="218"/>
      <c r="AE413" s="218"/>
      <c r="AF413" s="218"/>
      <c r="AG413" s="218"/>
      <c r="AH413" s="218"/>
      <c r="AI413" s="218"/>
      <c r="AJ413" s="218"/>
      <c r="AK413" s="68"/>
      <c r="AL413" s="68"/>
      <c r="AM413" s="25"/>
      <c r="AN413" s="68"/>
      <c r="AW413" s="68"/>
      <c r="BG413" s="68"/>
      <c r="BQ413" s="68"/>
    </row>
    <row r="414" customFormat="false" ht="12.75" hidden="false" customHeight="false" outlineLevel="0" collapsed="false">
      <c r="D414" s="218"/>
      <c r="E414" s="209"/>
    </row>
    <row r="415" customFormat="false" ht="12.75" hidden="false" customHeight="false" outlineLevel="0" collapsed="false">
      <c r="D415" s="218"/>
    </row>
    <row r="416" customFormat="false" ht="12.75" hidden="false" customHeight="false" outlineLevel="0" collapsed="false">
      <c r="D416" s="218"/>
    </row>
    <row r="417" customFormat="false" ht="12.75" hidden="false" customHeight="false" outlineLevel="0" collapsed="false">
      <c r="D417" s="218"/>
    </row>
    <row r="418" customFormat="false" ht="12.75" hidden="false" customHeight="false" outlineLevel="0" collapsed="false">
      <c r="D418" s="218"/>
    </row>
    <row r="419" customFormat="false" ht="12.75" hidden="false" customHeight="false" outlineLevel="0" collapsed="false">
      <c r="D419" s="218"/>
    </row>
    <row r="420" customFormat="false" ht="12.75" hidden="false" customHeight="false" outlineLevel="0" collapsed="false">
      <c r="D420" s="218"/>
    </row>
    <row r="421" customFormat="false" ht="12.75" hidden="false" customHeight="false" outlineLevel="0" collapsed="false">
      <c r="D421" s="218"/>
    </row>
    <row r="422" customFormat="false" ht="12.75" hidden="false" customHeight="false" outlineLevel="0" collapsed="false">
      <c r="D422" s="218"/>
    </row>
    <row r="423" customFormat="false" ht="12.75" hidden="false" customHeight="false" outlineLevel="0" collapsed="false">
      <c r="D423" s="218"/>
    </row>
    <row r="424" customFormat="false" ht="12.75" hidden="false" customHeight="false" outlineLevel="0" collapsed="false">
      <c r="D424" s="218"/>
    </row>
    <row r="425" customFormat="false" ht="12.75" hidden="false" customHeight="false" outlineLevel="0" collapsed="false">
      <c r="D425" s="218"/>
    </row>
    <row r="426" customFormat="false" ht="12.75" hidden="false" customHeight="false" outlineLevel="0" collapsed="false">
      <c r="D426" s="218"/>
    </row>
    <row r="427" customFormat="false" ht="12.75" hidden="false" customHeight="false" outlineLevel="0" collapsed="false">
      <c r="D427" s="218"/>
    </row>
    <row r="428" customFormat="false" ht="12.75" hidden="false" customHeight="false" outlineLevel="0" collapsed="false">
      <c r="D428" s="218"/>
    </row>
    <row r="429" customFormat="false" ht="12.75" hidden="false" customHeight="false" outlineLevel="0" collapsed="false">
      <c r="D429" s="218"/>
    </row>
    <row r="430" customFormat="false" ht="12.75" hidden="false" customHeight="false" outlineLevel="0" collapsed="false">
      <c r="D430" s="218"/>
    </row>
    <row r="431" customFormat="false" ht="12.75" hidden="false" customHeight="false" outlineLevel="0" collapsed="false">
      <c r="D431" s="218"/>
    </row>
    <row r="432" customFormat="false" ht="12.75" hidden="false" customHeight="false" outlineLevel="0" collapsed="false">
      <c r="D432" s="218"/>
    </row>
    <row r="433" customFormat="false" ht="12.75" hidden="false" customHeight="false" outlineLevel="0" collapsed="false">
      <c r="D433" s="218"/>
    </row>
    <row r="434" customFormat="false" ht="12.75" hidden="false" customHeight="false" outlineLevel="0" collapsed="false">
      <c r="D434" s="218"/>
    </row>
    <row r="435" customFormat="false" ht="12.75" hidden="false" customHeight="false" outlineLevel="0" collapsed="false">
      <c r="D435" s="218"/>
    </row>
    <row r="436" customFormat="false" ht="12.75" hidden="false" customHeight="false" outlineLevel="0" collapsed="false">
      <c r="D436" s="218"/>
    </row>
    <row r="437" customFormat="false" ht="12.75" hidden="false" customHeight="false" outlineLevel="0" collapsed="false">
      <c r="D437" s="218"/>
    </row>
    <row r="438" customFormat="false" ht="12.75" hidden="false" customHeight="false" outlineLevel="0" collapsed="false">
      <c r="D438" s="218"/>
    </row>
    <row r="439" customFormat="false" ht="12.75" hidden="false" customHeight="false" outlineLevel="0" collapsed="false">
      <c r="D439" s="218"/>
    </row>
    <row r="440" customFormat="false" ht="12.75" hidden="false" customHeight="false" outlineLevel="0" collapsed="false">
      <c r="D440" s="218"/>
    </row>
    <row r="441" customFormat="false" ht="12.75" hidden="false" customHeight="false" outlineLevel="0" collapsed="false">
      <c r="D441" s="218"/>
    </row>
    <row r="442" customFormat="false" ht="12.75" hidden="false" customHeight="false" outlineLevel="0" collapsed="false">
      <c r="D442" s="218"/>
    </row>
    <row r="443" customFormat="false" ht="12.75" hidden="false" customHeight="false" outlineLevel="0" collapsed="false">
      <c r="D443" s="218"/>
    </row>
    <row r="444" customFormat="false" ht="12.75" hidden="false" customHeight="false" outlineLevel="0" collapsed="false">
      <c r="D444" s="218"/>
    </row>
    <row r="445" customFormat="false" ht="12.75" hidden="false" customHeight="false" outlineLevel="0" collapsed="false">
      <c r="D445" s="218"/>
    </row>
    <row r="446" customFormat="false" ht="12.75" hidden="false" customHeight="false" outlineLevel="0" collapsed="false">
      <c r="D446" s="218"/>
    </row>
    <row r="447" customFormat="false" ht="12.75" hidden="false" customHeight="false" outlineLevel="0" collapsed="false">
      <c r="D447" s="218"/>
    </row>
    <row r="448" customFormat="false" ht="12.75" hidden="false" customHeight="false" outlineLevel="0" collapsed="false">
      <c r="D448" s="218"/>
    </row>
    <row r="449" customFormat="false" ht="12.75" hidden="false" customHeight="false" outlineLevel="0" collapsed="false">
      <c r="D449" s="218"/>
    </row>
    <row r="450" customFormat="false" ht="12.75" hidden="false" customHeight="false" outlineLevel="0" collapsed="false">
      <c r="D450" s="218"/>
    </row>
    <row r="451" customFormat="false" ht="12.75" hidden="false" customHeight="false" outlineLevel="0" collapsed="false">
      <c r="D451" s="218"/>
    </row>
    <row r="452" customFormat="false" ht="12.75" hidden="false" customHeight="false" outlineLevel="0" collapsed="false">
      <c r="D452" s="218"/>
    </row>
    <row r="453" customFormat="false" ht="12.75" hidden="false" customHeight="false" outlineLevel="0" collapsed="false">
      <c r="D453" s="218"/>
    </row>
    <row r="454" customFormat="false" ht="12.75" hidden="false" customHeight="false" outlineLevel="0" collapsed="false">
      <c r="D454" s="218"/>
    </row>
    <row r="455" customFormat="false" ht="12.75" hidden="false" customHeight="false" outlineLevel="0" collapsed="false">
      <c r="D455" s="218"/>
    </row>
    <row r="456" customFormat="false" ht="12.75" hidden="false" customHeight="false" outlineLevel="0" collapsed="false">
      <c r="D456" s="218"/>
    </row>
    <row r="457" customFormat="false" ht="12.75" hidden="false" customHeight="false" outlineLevel="0" collapsed="false">
      <c r="D457" s="218"/>
    </row>
    <row r="458" customFormat="false" ht="12.75" hidden="false" customHeight="false" outlineLevel="0" collapsed="false">
      <c r="D458" s="218"/>
    </row>
    <row r="459" customFormat="false" ht="12.75" hidden="false" customHeight="false" outlineLevel="0" collapsed="false">
      <c r="D459" s="218"/>
    </row>
    <row r="460" customFormat="false" ht="12.75" hidden="false" customHeight="false" outlineLevel="0" collapsed="false">
      <c r="D460" s="218"/>
    </row>
    <row r="461" customFormat="false" ht="12.75" hidden="false" customHeight="false" outlineLevel="0" collapsed="false">
      <c r="D461" s="218"/>
    </row>
    <row r="462" customFormat="false" ht="12.75" hidden="false" customHeight="false" outlineLevel="0" collapsed="false">
      <c r="D462" s="218"/>
    </row>
    <row r="463" customFormat="false" ht="12.75" hidden="false" customHeight="false" outlineLevel="0" collapsed="false">
      <c r="D463" s="218"/>
    </row>
    <row r="464" customFormat="false" ht="12.75" hidden="false" customHeight="false" outlineLevel="0" collapsed="false">
      <c r="D464" s="223"/>
    </row>
    <row r="465" customFormat="false" ht="12.75" hidden="false" customHeight="false" outlineLevel="0" collapsed="false">
      <c r="D465" s="223"/>
    </row>
    <row r="466" customFormat="false" ht="12.75" hidden="false" customHeight="false" outlineLevel="0" collapsed="false">
      <c r="D466" s="223"/>
    </row>
    <row r="467" customFormat="false" ht="12.75" hidden="false" customHeight="false" outlineLevel="0" collapsed="false">
      <c r="D467" s="223"/>
    </row>
    <row r="468" customFormat="false" ht="12.75" hidden="false" customHeight="false" outlineLevel="0" collapsed="false">
      <c r="D468" s="223"/>
    </row>
    <row r="469" customFormat="false" ht="12.75" hidden="false" customHeight="false" outlineLevel="0" collapsed="false">
      <c r="D469" s="223"/>
    </row>
    <row r="470" customFormat="false" ht="12.75" hidden="false" customHeight="false" outlineLevel="0" collapsed="false">
      <c r="D470" s="223"/>
    </row>
    <row r="471" customFormat="false" ht="12.75" hidden="false" customHeight="false" outlineLevel="0" collapsed="false">
      <c r="D471" s="223"/>
    </row>
    <row r="472" customFormat="false" ht="12.75" hidden="false" customHeight="false" outlineLevel="0" collapsed="false">
      <c r="D472" s="223"/>
    </row>
    <row r="473" customFormat="false" ht="12.75" hidden="false" customHeight="false" outlineLevel="0" collapsed="false">
      <c r="D473" s="223"/>
    </row>
    <row r="474" customFormat="false" ht="12.75" hidden="false" customHeight="false" outlineLevel="0" collapsed="false">
      <c r="D474" s="223"/>
    </row>
    <row r="475" customFormat="false" ht="12.75" hidden="false" customHeight="false" outlineLevel="0" collapsed="false">
      <c r="D475" s="223"/>
    </row>
    <row r="476" customFormat="false" ht="12.75" hidden="false" customHeight="false" outlineLevel="0" collapsed="false">
      <c r="D476" s="223"/>
    </row>
    <row r="477" customFormat="false" ht="12.75" hidden="false" customHeight="false" outlineLevel="0" collapsed="false">
      <c r="D477" s="223"/>
    </row>
    <row r="478" customFormat="false" ht="12.75" hidden="false" customHeight="false" outlineLevel="0" collapsed="false">
      <c r="D478" s="223"/>
    </row>
    <row r="479" customFormat="false" ht="12.75" hidden="false" customHeight="false" outlineLevel="0" collapsed="false">
      <c r="D479" s="223"/>
    </row>
    <row r="480" customFormat="false" ht="12.75" hidden="false" customHeight="false" outlineLevel="0" collapsed="false">
      <c r="D480" s="223"/>
    </row>
    <row r="481" customFormat="false" ht="12.75" hidden="false" customHeight="false" outlineLevel="0" collapsed="false">
      <c r="D481" s="223"/>
    </row>
    <row r="482" customFormat="false" ht="12.75" hidden="false" customHeight="false" outlineLevel="0" collapsed="false">
      <c r="D482" s="223"/>
    </row>
    <row r="483" customFormat="false" ht="12.75" hidden="false" customHeight="false" outlineLevel="0" collapsed="false">
      <c r="D483" s="223"/>
    </row>
    <row r="484" customFormat="false" ht="12.75" hidden="false" customHeight="false" outlineLevel="0" collapsed="false">
      <c r="D484" s="223"/>
    </row>
    <row r="485" customFormat="false" ht="12.75" hidden="false" customHeight="false" outlineLevel="0" collapsed="false">
      <c r="D485" s="223"/>
    </row>
    <row r="486" customFormat="false" ht="12.75" hidden="false" customHeight="false" outlineLevel="0" collapsed="false">
      <c r="D486" s="223"/>
    </row>
    <row r="487" customFormat="false" ht="12.75" hidden="false" customHeight="false" outlineLevel="0" collapsed="false">
      <c r="D487" s="223"/>
    </row>
    <row r="488" customFormat="false" ht="12.75" hidden="false" customHeight="false" outlineLevel="0" collapsed="false">
      <c r="D488" s="223"/>
    </row>
    <row r="489" customFormat="false" ht="12.75" hidden="false" customHeight="false" outlineLevel="0" collapsed="false">
      <c r="D489" s="223"/>
    </row>
    <row r="490" customFormat="false" ht="12.75" hidden="false" customHeight="false" outlineLevel="0" collapsed="false">
      <c r="D490" s="223"/>
    </row>
    <row r="491" customFormat="false" ht="12.75" hidden="false" customHeight="false" outlineLevel="0" collapsed="false">
      <c r="D491" s="223"/>
    </row>
    <row r="492" customFormat="false" ht="12.75" hidden="false" customHeight="false" outlineLevel="0" collapsed="false">
      <c r="D492" s="223"/>
    </row>
    <row r="493" customFormat="false" ht="12.75" hidden="false" customHeight="false" outlineLevel="0" collapsed="false">
      <c r="D493" s="223"/>
    </row>
    <row r="494" customFormat="false" ht="12.75" hidden="false" customHeight="false" outlineLevel="0" collapsed="false">
      <c r="D494" s="223"/>
    </row>
    <row r="495" customFormat="false" ht="12.75" hidden="false" customHeight="false" outlineLevel="0" collapsed="false">
      <c r="D495" s="223"/>
    </row>
    <row r="496" customFormat="false" ht="12.75" hidden="false" customHeight="false" outlineLevel="0" collapsed="false">
      <c r="D496" s="223"/>
    </row>
    <row r="497" customFormat="false" ht="12.75" hidden="false" customHeight="false" outlineLevel="0" collapsed="false">
      <c r="D497" s="223"/>
    </row>
    <row r="498" customFormat="false" ht="12.75" hidden="false" customHeight="false" outlineLevel="0" collapsed="false">
      <c r="D498" s="223"/>
    </row>
    <row r="499" customFormat="false" ht="12.75" hidden="false" customHeight="false" outlineLevel="0" collapsed="false">
      <c r="D499" s="223"/>
    </row>
    <row r="500" customFormat="false" ht="12.75" hidden="false" customHeight="false" outlineLevel="0" collapsed="false">
      <c r="D500" s="223"/>
    </row>
    <row r="501" customFormat="false" ht="12.75" hidden="false" customHeight="false" outlineLevel="0" collapsed="false">
      <c r="D501" s="223"/>
    </row>
    <row r="502" customFormat="false" ht="12.75" hidden="false" customHeight="false" outlineLevel="0" collapsed="false">
      <c r="D502" s="223"/>
    </row>
    <row r="503" customFormat="false" ht="12.75" hidden="false" customHeight="false" outlineLevel="0" collapsed="false">
      <c r="D503" s="223"/>
    </row>
    <row r="504" customFormat="false" ht="12.75" hidden="false" customHeight="false" outlineLevel="0" collapsed="false">
      <c r="D504" s="223"/>
    </row>
    <row r="505" customFormat="false" ht="12.75" hidden="false" customHeight="false" outlineLevel="0" collapsed="false">
      <c r="D505" s="223"/>
    </row>
    <row r="506" customFormat="false" ht="12.75" hidden="false" customHeight="false" outlineLevel="0" collapsed="false">
      <c r="D506" s="223"/>
    </row>
    <row r="507" customFormat="false" ht="12.75" hidden="false" customHeight="false" outlineLevel="0" collapsed="false">
      <c r="D507" s="223"/>
    </row>
    <row r="508" customFormat="false" ht="12.75" hidden="false" customHeight="false" outlineLevel="0" collapsed="false">
      <c r="D508" s="223"/>
    </row>
    <row r="509" customFormat="false" ht="12.75" hidden="false" customHeight="false" outlineLevel="0" collapsed="false">
      <c r="D509" s="223"/>
    </row>
    <row r="510" customFormat="false" ht="12.75" hidden="false" customHeight="false" outlineLevel="0" collapsed="false">
      <c r="D510" s="223"/>
    </row>
    <row r="511" customFormat="false" ht="12.75" hidden="false" customHeight="false" outlineLevel="0" collapsed="false">
      <c r="D511" s="223"/>
    </row>
    <row r="512" customFormat="false" ht="12.75" hidden="false" customHeight="false" outlineLevel="0" collapsed="false">
      <c r="D512" s="223"/>
    </row>
    <row r="513" customFormat="false" ht="12.75" hidden="false" customHeight="false" outlineLevel="0" collapsed="false">
      <c r="D513" s="223"/>
    </row>
    <row r="514" customFormat="false" ht="12.75" hidden="false" customHeight="false" outlineLevel="0" collapsed="false">
      <c r="D514" s="223"/>
    </row>
    <row r="515" customFormat="false" ht="12.75" hidden="false" customHeight="false" outlineLevel="0" collapsed="false">
      <c r="D515" s="223"/>
    </row>
    <row r="516" customFormat="false" ht="12.75" hidden="false" customHeight="false" outlineLevel="0" collapsed="false">
      <c r="D516" s="223"/>
    </row>
    <row r="517" customFormat="false" ht="12.75" hidden="false" customHeight="false" outlineLevel="0" collapsed="false">
      <c r="D517" s="223"/>
    </row>
    <row r="518" customFormat="false" ht="12.75" hidden="false" customHeight="false" outlineLevel="0" collapsed="false">
      <c r="D518" s="223"/>
    </row>
    <row r="519" customFormat="false" ht="12.75" hidden="false" customHeight="false" outlineLevel="0" collapsed="false">
      <c r="D519" s="223"/>
    </row>
    <row r="520" customFormat="false" ht="12.75" hidden="false" customHeight="false" outlineLevel="0" collapsed="false">
      <c r="D520" s="223"/>
    </row>
    <row r="521" customFormat="false" ht="12.75" hidden="false" customHeight="false" outlineLevel="0" collapsed="false">
      <c r="D521" s="223"/>
    </row>
    <row r="522" customFormat="false" ht="12.75" hidden="false" customHeight="false" outlineLevel="0" collapsed="false">
      <c r="D522" s="223"/>
    </row>
    <row r="523" customFormat="false" ht="12.75" hidden="false" customHeight="false" outlineLevel="0" collapsed="false">
      <c r="D523" s="223"/>
    </row>
    <row r="524" customFormat="false" ht="12.75" hidden="false" customHeight="false" outlineLevel="0" collapsed="false">
      <c r="D524" s="223"/>
    </row>
    <row r="525" customFormat="false" ht="12.75" hidden="false" customHeight="false" outlineLevel="0" collapsed="false">
      <c r="D525" s="223"/>
    </row>
    <row r="526" customFormat="false" ht="12.75" hidden="false" customHeight="false" outlineLevel="0" collapsed="false">
      <c r="D526" s="223"/>
    </row>
    <row r="527" customFormat="false" ht="12.75" hidden="false" customHeight="false" outlineLevel="0" collapsed="false">
      <c r="D527" s="223"/>
    </row>
    <row r="528" customFormat="false" ht="12.75" hidden="false" customHeight="false" outlineLevel="0" collapsed="false">
      <c r="D528" s="223"/>
    </row>
    <row r="529" customFormat="false" ht="12.75" hidden="false" customHeight="false" outlineLevel="0" collapsed="false">
      <c r="D529" s="223"/>
    </row>
    <row r="530" customFormat="false" ht="12.75" hidden="false" customHeight="false" outlineLevel="0" collapsed="false">
      <c r="D530" s="223"/>
    </row>
    <row r="531" customFormat="false" ht="12.75" hidden="false" customHeight="false" outlineLevel="0" collapsed="false">
      <c r="D531" s="223"/>
    </row>
    <row r="532" customFormat="false" ht="12.75" hidden="false" customHeight="false" outlineLevel="0" collapsed="false">
      <c r="D532" s="223"/>
    </row>
    <row r="533" customFormat="false" ht="12.75" hidden="false" customHeight="false" outlineLevel="0" collapsed="false">
      <c r="D533" s="223"/>
    </row>
    <row r="534" customFormat="false" ht="12.75" hidden="false" customHeight="false" outlineLevel="0" collapsed="false">
      <c r="D534" s="223"/>
    </row>
    <row r="535" customFormat="false" ht="12.75" hidden="false" customHeight="false" outlineLevel="0" collapsed="false">
      <c r="D535" s="223"/>
    </row>
    <row r="536" customFormat="false" ht="12.75" hidden="false" customHeight="false" outlineLevel="0" collapsed="false">
      <c r="D536" s="223"/>
    </row>
    <row r="537" customFormat="false" ht="12.75" hidden="false" customHeight="false" outlineLevel="0" collapsed="false">
      <c r="D537" s="223"/>
    </row>
    <row r="538" customFormat="false" ht="12.75" hidden="false" customHeight="false" outlineLevel="0" collapsed="false">
      <c r="D538" s="223"/>
    </row>
    <row r="539" customFormat="false" ht="12.75" hidden="false" customHeight="false" outlineLevel="0" collapsed="false">
      <c r="D539" s="223"/>
    </row>
    <row r="540" customFormat="false" ht="12.75" hidden="false" customHeight="false" outlineLevel="0" collapsed="false">
      <c r="D540" s="223"/>
    </row>
    <row r="541" customFormat="false" ht="12.75" hidden="false" customHeight="false" outlineLevel="0" collapsed="false">
      <c r="D541" s="223"/>
    </row>
    <row r="542" customFormat="false" ht="12.75" hidden="false" customHeight="false" outlineLevel="0" collapsed="false">
      <c r="D542" s="223"/>
    </row>
    <row r="543" customFormat="false" ht="12.75" hidden="false" customHeight="false" outlineLevel="0" collapsed="false">
      <c r="D543" s="223"/>
    </row>
    <row r="544" customFormat="false" ht="12.75" hidden="false" customHeight="false" outlineLevel="0" collapsed="false">
      <c r="D544" s="223"/>
    </row>
    <row r="545" customFormat="false" ht="12.75" hidden="false" customHeight="false" outlineLevel="0" collapsed="false">
      <c r="D545" s="223"/>
    </row>
    <row r="546" customFormat="false" ht="12.75" hidden="false" customHeight="false" outlineLevel="0" collapsed="false">
      <c r="D546" s="223"/>
    </row>
    <row r="547" customFormat="false" ht="12.75" hidden="false" customHeight="false" outlineLevel="0" collapsed="false">
      <c r="D547" s="223"/>
    </row>
    <row r="548" customFormat="false" ht="12.75" hidden="false" customHeight="false" outlineLevel="0" collapsed="false">
      <c r="D548" s="223"/>
    </row>
    <row r="549" customFormat="false" ht="12.75" hidden="false" customHeight="false" outlineLevel="0" collapsed="false">
      <c r="D549" s="223"/>
    </row>
    <row r="550" customFormat="false" ht="12.75" hidden="false" customHeight="false" outlineLevel="0" collapsed="false">
      <c r="D550" s="223"/>
    </row>
    <row r="551" customFormat="false" ht="12.75" hidden="false" customHeight="false" outlineLevel="0" collapsed="false">
      <c r="D551" s="223"/>
    </row>
    <row r="552" customFormat="false" ht="12.75" hidden="false" customHeight="false" outlineLevel="0" collapsed="false">
      <c r="D552" s="223"/>
    </row>
    <row r="553" customFormat="false" ht="12.75" hidden="false" customHeight="false" outlineLevel="0" collapsed="false">
      <c r="D553" s="223"/>
    </row>
    <row r="554" customFormat="false" ht="12.75" hidden="false" customHeight="false" outlineLevel="0" collapsed="false">
      <c r="D554" s="223"/>
    </row>
    <row r="555" customFormat="false" ht="12.75" hidden="false" customHeight="false" outlineLevel="0" collapsed="false">
      <c r="D555" s="223"/>
    </row>
    <row r="556" customFormat="false" ht="12.75" hidden="false" customHeight="false" outlineLevel="0" collapsed="false">
      <c r="D556" s="223"/>
    </row>
    <row r="557" customFormat="false" ht="12.75" hidden="false" customHeight="false" outlineLevel="0" collapsed="false">
      <c r="D557" s="223"/>
    </row>
    <row r="558" customFormat="false" ht="12.75" hidden="false" customHeight="false" outlineLevel="0" collapsed="false">
      <c r="D558" s="223"/>
    </row>
    <row r="559" customFormat="false" ht="12.75" hidden="false" customHeight="false" outlineLevel="0" collapsed="false">
      <c r="D559" s="223"/>
    </row>
    <row r="560" customFormat="false" ht="12.75" hidden="false" customHeight="false" outlineLevel="0" collapsed="false">
      <c r="D560" s="223"/>
    </row>
    <row r="561" customFormat="false" ht="12.75" hidden="false" customHeight="false" outlineLevel="0" collapsed="false">
      <c r="D561" s="223"/>
    </row>
    <row r="562" customFormat="false" ht="12.75" hidden="false" customHeight="false" outlineLevel="0" collapsed="false">
      <c r="D562" s="223"/>
    </row>
    <row r="563" customFormat="false" ht="12.75" hidden="false" customHeight="false" outlineLevel="0" collapsed="false">
      <c r="D563" s="223"/>
    </row>
    <row r="564" customFormat="false" ht="12.75" hidden="false" customHeight="false" outlineLevel="0" collapsed="false">
      <c r="D564" s="223"/>
    </row>
    <row r="565" customFormat="false" ht="12.75" hidden="false" customHeight="false" outlineLevel="0" collapsed="false">
      <c r="D565" s="223"/>
    </row>
    <row r="566" customFormat="false" ht="12.75" hidden="false" customHeight="false" outlineLevel="0" collapsed="false">
      <c r="D566" s="223"/>
    </row>
    <row r="567" customFormat="false" ht="12.75" hidden="false" customHeight="false" outlineLevel="0" collapsed="false">
      <c r="D567" s="223"/>
    </row>
    <row r="568" customFormat="false" ht="12.75" hidden="false" customHeight="false" outlineLevel="0" collapsed="false">
      <c r="D568" s="223"/>
    </row>
    <row r="569" customFormat="false" ht="12.75" hidden="false" customHeight="false" outlineLevel="0" collapsed="false">
      <c r="D569" s="223"/>
    </row>
    <row r="570" customFormat="false" ht="12.75" hidden="false" customHeight="false" outlineLevel="0" collapsed="false">
      <c r="D570" s="223"/>
    </row>
    <row r="571" customFormat="false" ht="12.75" hidden="false" customHeight="false" outlineLevel="0" collapsed="false">
      <c r="D571" s="223"/>
    </row>
    <row r="572" customFormat="false" ht="12.75" hidden="false" customHeight="false" outlineLevel="0" collapsed="false">
      <c r="D572" s="223"/>
    </row>
    <row r="573" customFormat="false" ht="12.75" hidden="false" customHeight="false" outlineLevel="0" collapsed="false">
      <c r="D573" s="223"/>
    </row>
    <row r="574" customFormat="false" ht="12.75" hidden="false" customHeight="false" outlineLevel="0" collapsed="false">
      <c r="D574" s="223"/>
    </row>
    <row r="575" customFormat="false" ht="12.75" hidden="false" customHeight="false" outlineLevel="0" collapsed="false">
      <c r="D575" s="223"/>
    </row>
    <row r="576" customFormat="false" ht="12.75" hidden="false" customHeight="false" outlineLevel="0" collapsed="false">
      <c r="D576" s="223"/>
    </row>
    <row r="577" customFormat="false" ht="12.75" hidden="false" customHeight="false" outlineLevel="0" collapsed="false">
      <c r="D577" s="223"/>
    </row>
    <row r="578" customFormat="false" ht="12.75" hidden="false" customHeight="false" outlineLevel="0" collapsed="false">
      <c r="D578" s="223"/>
    </row>
    <row r="579" customFormat="false" ht="12.75" hidden="false" customHeight="false" outlineLevel="0" collapsed="false">
      <c r="D579" s="223"/>
    </row>
    <row r="580" customFormat="false" ht="12.75" hidden="false" customHeight="false" outlineLevel="0" collapsed="false">
      <c r="D580" s="223"/>
    </row>
    <row r="581" customFormat="false" ht="12.75" hidden="false" customHeight="false" outlineLevel="0" collapsed="false">
      <c r="D581" s="223"/>
    </row>
    <row r="582" customFormat="false" ht="12.75" hidden="false" customHeight="false" outlineLevel="0" collapsed="false">
      <c r="D582" s="223"/>
    </row>
    <row r="583" customFormat="false" ht="12.75" hidden="false" customHeight="false" outlineLevel="0" collapsed="false">
      <c r="D583" s="223"/>
    </row>
    <row r="584" customFormat="false" ht="12.75" hidden="false" customHeight="false" outlineLevel="0" collapsed="false">
      <c r="D584" s="223"/>
    </row>
    <row r="585" customFormat="false" ht="12.75" hidden="false" customHeight="false" outlineLevel="0" collapsed="false">
      <c r="D585" s="223"/>
    </row>
    <row r="586" customFormat="false" ht="12.75" hidden="false" customHeight="false" outlineLevel="0" collapsed="false">
      <c r="D586" s="223"/>
    </row>
    <row r="587" customFormat="false" ht="12.75" hidden="false" customHeight="false" outlineLevel="0" collapsed="false">
      <c r="D587" s="223"/>
    </row>
    <row r="588" customFormat="false" ht="12.75" hidden="false" customHeight="false" outlineLevel="0" collapsed="false">
      <c r="D588" s="223"/>
    </row>
    <row r="589" customFormat="false" ht="12.75" hidden="false" customHeight="false" outlineLevel="0" collapsed="false">
      <c r="D589" s="223"/>
    </row>
    <row r="590" customFormat="false" ht="12.75" hidden="false" customHeight="false" outlineLevel="0" collapsed="false">
      <c r="D590" s="223"/>
    </row>
    <row r="591" customFormat="false" ht="12.75" hidden="false" customHeight="false" outlineLevel="0" collapsed="false">
      <c r="D591" s="223"/>
    </row>
    <row r="592" customFormat="false" ht="12.75" hidden="false" customHeight="false" outlineLevel="0" collapsed="false">
      <c r="D592" s="223"/>
    </row>
    <row r="593" customFormat="false" ht="12.75" hidden="false" customHeight="false" outlineLevel="0" collapsed="false">
      <c r="D593" s="223"/>
    </row>
    <row r="594" customFormat="false" ht="12.75" hidden="false" customHeight="false" outlineLevel="0" collapsed="false">
      <c r="D594" s="223"/>
    </row>
    <row r="595" customFormat="false" ht="12.75" hidden="false" customHeight="false" outlineLevel="0" collapsed="false">
      <c r="D595" s="223"/>
    </row>
    <row r="596" customFormat="false" ht="12.75" hidden="false" customHeight="false" outlineLevel="0" collapsed="false">
      <c r="D596" s="223"/>
    </row>
    <row r="597" customFormat="false" ht="12.75" hidden="false" customHeight="false" outlineLevel="0" collapsed="false">
      <c r="D597" s="223"/>
    </row>
    <row r="598" customFormat="false" ht="12.75" hidden="false" customHeight="false" outlineLevel="0" collapsed="false">
      <c r="D598" s="223"/>
    </row>
    <row r="599" customFormat="false" ht="12.75" hidden="false" customHeight="false" outlineLevel="0" collapsed="false">
      <c r="D599" s="223"/>
    </row>
    <row r="600" customFormat="false" ht="12.75" hidden="false" customHeight="false" outlineLevel="0" collapsed="false">
      <c r="D600" s="223"/>
    </row>
    <row r="601" customFormat="false" ht="12.75" hidden="false" customHeight="false" outlineLevel="0" collapsed="false">
      <c r="D601" s="223"/>
    </row>
    <row r="602" customFormat="false" ht="12.75" hidden="false" customHeight="false" outlineLevel="0" collapsed="false">
      <c r="D602" s="223"/>
    </row>
    <row r="603" customFormat="false" ht="12.75" hidden="false" customHeight="false" outlineLevel="0" collapsed="false">
      <c r="D603" s="223"/>
    </row>
    <row r="604" customFormat="false" ht="12.75" hidden="false" customHeight="false" outlineLevel="0" collapsed="false">
      <c r="D604" s="223"/>
    </row>
    <row r="605" customFormat="false" ht="12.75" hidden="false" customHeight="false" outlineLevel="0" collapsed="false">
      <c r="D605" s="223"/>
    </row>
    <row r="606" customFormat="false" ht="12.75" hidden="false" customHeight="false" outlineLevel="0" collapsed="false">
      <c r="D606" s="223"/>
    </row>
    <row r="607" customFormat="false" ht="12.75" hidden="false" customHeight="false" outlineLevel="0" collapsed="false">
      <c r="D607" s="223"/>
    </row>
    <row r="608" customFormat="false" ht="12.75" hidden="false" customHeight="false" outlineLevel="0" collapsed="false">
      <c r="D608" s="223"/>
    </row>
    <row r="609" customFormat="false" ht="12.75" hidden="false" customHeight="false" outlineLevel="0" collapsed="false">
      <c r="D609" s="223"/>
    </row>
    <row r="610" customFormat="false" ht="12.75" hidden="false" customHeight="false" outlineLevel="0" collapsed="false">
      <c r="D610" s="223"/>
    </row>
    <row r="611" customFormat="false" ht="12.75" hidden="false" customHeight="false" outlineLevel="0" collapsed="false">
      <c r="D611" s="223"/>
    </row>
    <row r="612" customFormat="false" ht="12.75" hidden="false" customHeight="false" outlineLevel="0" collapsed="false">
      <c r="D612" s="223"/>
    </row>
    <row r="613" customFormat="false" ht="12.75" hidden="false" customHeight="false" outlineLevel="0" collapsed="false">
      <c r="D613" s="223"/>
    </row>
    <row r="614" customFormat="false" ht="12.75" hidden="false" customHeight="false" outlineLevel="0" collapsed="false">
      <c r="D614" s="223"/>
    </row>
    <row r="615" customFormat="false" ht="12.75" hidden="false" customHeight="false" outlineLevel="0" collapsed="false">
      <c r="D615" s="223"/>
    </row>
    <row r="616" customFormat="false" ht="12.75" hidden="false" customHeight="false" outlineLevel="0" collapsed="false">
      <c r="D616" s="223"/>
    </row>
    <row r="617" customFormat="false" ht="12.75" hidden="false" customHeight="false" outlineLevel="0" collapsed="false">
      <c r="D617" s="223"/>
    </row>
    <row r="618" customFormat="false" ht="12.75" hidden="false" customHeight="false" outlineLevel="0" collapsed="false">
      <c r="D618" s="223"/>
    </row>
    <row r="619" customFormat="false" ht="12.75" hidden="false" customHeight="false" outlineLevel="0" collapsed="false">
      <c r="D619" s="223"/>
    </row>
    <row r="620" customFormat="false" ht="12.75" hidden="false" customHeight="false" outlineLevel="0" collapsed="false">
      <c r="D620" s="223"/>
    </row>
    <row r="621" customFormat="false" ht="12.75" hidden="false" customHeight="false" outlineLevel="0" collapsed="false">
      <c r="D621" s="223"/>
    </row>
    <row r="622" customFormat="false" ht="12.75" hidden="false" customHeight="false" outlineLevel="0" collapsed="false">
      <c r="D622" s="223"/>
    </row>
    <row r="623" customFormat="false" ht="12.75" hidden="false" customHeight="false" outlineLevel="0" collapsed="false">
      <c r="D623" s="223"/>
    </row>
    <row r="624" customFormat="false" ht="12.75" hidden="false" customHeight="false" outlineLevel="0" collapsed="false">
      <c r="D624" s="223"/>
    </row>
    <row r="625" customFormat="false" ht="12.75" hidden="false" customHeight="false" outlineLevel="0" collapsed="false">
      <c r="D625" s="223"/>
    </row>
    <row r="626" customFormat="false" ht="12.75" hidden="false" customHeight="false" outlineLevel="0" collapsed="false">
      <c r="D626" s="223"/>
    </row>
    <row r="627" customFormat="false" ht="12.75" hidden="false" customHeight="false" outlineLevel="0" collapsed="false">
      <c r="D627" s="223"/>
    </row>
    <row r="628" customFormat="false" ht="12.75" hidden="false" customHeight="false" outlineLevel="0" collapsed="false">
      <c r="D628" s="223"/>
    </row>
    <row r="629" customFormat="false" ht="12.75" hidden="false" customHeight="false" outlineLevel="0" collapsed="false">
      <c r="D629" s="223"/>
    </row>
    <row r="630" customFormat="false" ht="12.75" hidden="false" customHeight="false" outlineLevel="0" collapsed="false">
      <c r="D630" s="223"/>
    </row>
    <row r="631" customFormat="false" ht="12.75" hidden="false" customHeight="false" outlineLevel="0" collapsed="false">
      <c r="D631" s="223"/>
    </row>
    <row r="632" customFormat="false" ht="12.75" hidden="false" customHeight="false" outlineLevel="0" collapsed="false">
      <c r="D632" s="223"/>
    </row>
    <row r="633" customFormat="false" ht="12.75" hidden="false" customHeight="false" outlineLevel="0" collapsed="false">
      <c r="D633" s="223"/>
    </row>
    <row r="634" customFormat="false" ht="12.75" hidden="false" customHeight="false" outlineLevel="0" collapsed="false">
      <c r="D634" s="223"/>
    </row>
    <row r="635" customFormat="false" ht="12.75" hidden="false" customHeight="false" outlineLevel="0" collapsed="false">
      <c r="D635" s="223"/>
    </row>
    <row r="636" customFormat="false" ht="12.75" hidden="false" customHeight="false" outlineLevel="0" collapsed="false">
      <c r="D636" s="223"/>
    </row>
    <row r="637" customFormat="false" ht="12.75" hidden="false" customHeight="false" outlineLevel="0" collapsed="false">
      <c r="D637" s="223"/>
    </row>
    <row r="638" customFormat="false" ht="12.75" hidden="false" customHeight="false" outlineLevel="0" collapsed="false">
      <c r="D638" s="223"/>
    </row>
    <row r="639" customFormat="false" ht="12.75" hidden="false" customHeight="false" outlineLevel="0" collapsed="false">
      <c r="D639" s="223"/>
    </row>
    <row r="640" customFormat="false" ht="12.75" hidden="false" customHeight="false" outlineLevel="0" collapsed="false">
      <c r="D640" s="223"/>
    </row>
    <row r="641" customFormat="false" ht="12.75" hidden="false" customHeight="false" outlineLevel="0" collapsed="false">
      <c r="D641" s="223"/>
    </row>
    <row r="642" customFormat="false" ht="12.75" hidden="false" customHeight="false" outlineLevel="0" collapsed="false">
      <c r="D642" s="223"/>
    </row>
    <row r="643" customFormat="false" ht="12.75" hidden="false" customHeight="false" outlineLevel="0" collapsed="false">
      <c r="D643" s="223"/>
    </row>
    <row r="644" customFormat="false" ht="12.75" hidden="false" customHeight="false" outlineLevel="0" collapsed="false">
      <c r="D644" s="223"/>
    </row>
    <row r="645" customFormat="false" ht="12.75" hidden="false" customHeight="false" outlineLevel="0" collapsed="false">
      <c r="D645" s="223"/>
    </row>
    <row r="646" customFormat="false" ht="12.75" hidden="false" customHeight="false" outlineLevel="0" collapsed="false">
      <c r="D646" s="223"/>
    </row>
    <row r="647" customFormat="false" ht="12.75" hidden="false" customHeight="false" outlineLevel="0" collapsed="false">
      <c r="D647" s="223"/>
    </row>
    <row r="648" customFormat="false" ht="12.75" hidden="false" customHeight="false" outlineLevel="0" collapsed="false">
      <c r="D648" s="223"/>
    </row>
    <row r="649" customFormat="false" ht="12.75" hidden="false" customHeight="false" outlineLevel="0" collapsed="false">
      <c r="D649" s="223"/>
    </row>
    <row r="650" customFormat="false" ht="12.75" hidden="false" customHeight="false" outlineLevel="0" collapsed="false">
      <c r="D650" s="223"/>
    </row>
    <row r="651" customFormat="false" ht="12.75" hidden="false" customHeight="false" outlineLevel="0" collapsed="false">
      <c r="D651" s="223"/>
    </row>
    <row r="652" customFormat="false" ht="12.75" hidden="false" customHeight="false" outlineLevel="0" collapsed="false">
      <c r="D652" s="223"/>
    </row>
    <row r="653" customFormat="false" ht="12.75" hidden="false" customHeight="false" outlineLevel="0" collapsed="false">
      <c r="D653" s="223"/>
    </row>
    <row r="654" customFormat="false" ht="12.75" hidden="false" customHeight="false" outlineLevel="0" collapsed="false">
      <c r="D654" s="223"/>
    </row>
    <row r="655" customFormat="false" ht="12.75" hidden="false" customHeight="false" outlineLevel="0" collapsed="false">
      <c r="D655" s="223"/>
    </row>
    <row r="656" customFormat="false" ht="12.75" hidden="false" customHeight="false" outlineLevel="0" collapsed="false">
      <c r="D656" s="223"/>
    </row>
    <row r="657" customFormat="false" ht="12.75" hidden="false" customHeight="false" outlineLevel="0" collapsed="false">
      <c r="D657" s="223"/>
    </row>
    <row r="658" customFormat="false" ht="12.75" hidden="false" customHeight="false" outlineLevel="0" collapsed="false">
      <c r="D658" s="223"/>
    </row>
    <row r="659" customFormat="false" ht="12.75" hidden="false" customHeight="false" outlineLevel="0" collapsed="false">
      <c r="D659" s="223"/>
    </row>
    <row r="660" customFormat="false" ht="12.75" hidden="false" customHeight="false" outlineLevel="0" collapsed="false">
      <c r="D660" s="223"/>
    </row>
    <row r="661" customFormat="false" ht="12.75" hidden="false" customHeight="false" outlineLevel="0" collapsed="false">
      <c r="D661" s="223"/>
    </row>
    <row r="662" customFormat="false" ht="12.75" hidden="false" customHeight="false" outlineLevel="0" collapsed="false">
      <c r="D662" s="223"/>
    </row>
    <row r="663" customFormat="false" ht="12.75" hidden="false" customHeight="false" outlineLevel="0" collapsed="false">
      <c r="D663" s="223"/>
    </row>
    <row r="664" customFormat="false" ht="12.75" hidden="false" customHeight="false" outlineLevel="0" collapsed="false">
      <c r="D664" s="223"/>
    </row>
    <row r="665" customFormat="false" ht="12.75" hidden="false" customHeight="false" outlineLevel="0" collapsed="false">
      <c r="D665" s="223"/>
    </row>
    <row r="666" customFormat="false" ht="12.75" hidden="false" customHeight="false" outlineLevel="0" collapsed="false">
      <c r="D666" s="223"/>
    </row>
    <row r="667" customFormat="false" ht="12.75" hidden="false" customHeight="false" outlineLevel="0" collapsed="false">
      <c r="D667" s="223"/>
    </row>
    <row r="668" customFormat="false" ht="12.75" hidden="false" customHeight="false" outlineLevel="0" collapsed="false">
      <c r="D668" s="223"/>
    </row>
    <row r="669" customFormat="false" ht="12.75" hidden="false" customHeight="false" outlineLevel="0" collapsed="false">
      <c r="D669" s="223"/>
    </row>
    <row r="670" customFormat="false" ht="12.75" hidden="false" customHeight="false" outlineLevel="0" collapsed="false">
      <c r="D670" s="223"/>
    </row>
    <row r="671" customFormat="false" ht="12.75" hidden="false" customHeight="false" outlineLevel="0" collapsed="false">
      <c r="D671" s="223"/>
    </row>
    <row r="672" customFormat="false" ht="12.75" hidden="false" customHeight="false" outlineLevel="0" collapsed="false">
      <c r="D672" s="223"/>
    </row>
    <row r="673" customFormat="false" ht="12.75" hidden="false" customHeight="false" outlineLevel="0" collapsed="false">
      <c r="D673" s="223"/>
    </row>
    <row r="674" customFormat="false" ht="12.75" hidden="false" customHeight="false" outlineLevel="0" collapsed="false">
      <c r="D674" s="223"/>
    </row>
    <row r="675" customFormat="false" ht="12.75" hidden="false" customHeight="false" outlineLevel="0" collapsed="false">
      <c r="D675" s="223"/>
    </row>
    <row r="676" customFormat="false" ht="12.75" hidden="false" customHeight="false" outlineLevel="0" collapsed="false">
      <c r="D676" s="223"/>
    </row>
    <row r="677" customFormat="false" ht="12.75" hidden="false" customHeight="false" outlineLevel="0" collapsed="false">
      <c r="D677" s="223"/>
    </row>
    <row r="678" customFormat="false" ht="12.75" hidden="false" customHeight="false" outlineLevel="0" collapsed="false">
      <c r="D678" s="223"/>
    </row>
    <row r="679" customFormat="false" ht="12.75" hidden="false" customHeight="false" outlineLevel="0" collapsed="false">
      <c r="D679" s="223"/>
    </row>
    <row r="680" customFormat="false" ht="12.75" hidden="false" customHeight="false" outlineLevel="0" collapsed="false">
      <c r="D680" s="223"/>
    </row>
    <row r="681" customFormat="false" ht="12.75" hidden="false" customHeight="false" outlineLevel="0" collapsed="false">
      <c r="D681" s="223"/>
    </row>
    <row r="682" customFormat="false" ht="12.75" hidden="false" customHeight="false" outlineLevel="0" collapsed="false">
      <c r="D682" s="223"/>
    </row>
    <row r="683" customFormat="false" ht="12.75" hidden="false" customHeight="false" outlineLevel="0" collapsed="false">
      <c r="D683" s="223"/>
    </row>
    <row r="684" customFormat="false" ht="12.75" hidden="false" customHeight="false" outlineLevel="0" collapsed="false">
      <c r="D684" s="223"/>
    </row>
    <row r="685" customFormat="false" ht="12.75" hidden="false" customHeight="false" outlineLevel="0" collapsed="false">
      <c r="D685" s="223"/>
    </row>
    <row r="686" customFormat="false" ht="12.75" hidden="false" customHeight="false" outlineLevel="0" collapsed="false">
      <c r="D686" s="223"/>
    </row>
    <row r="687" customFormat="false" ht="12.75" hidden="false" customHeight="false" outlineLevel="0" collapsed="false">
      <c r="D687" s="223"/>
    </row>
    <row r="688" customFormat="false" ht="12.75" hidden="false" customHeight="false" outlineLevel="0" collapsed="false">
      <c r="D688" s="223"/>
    </row>
    <row r="689" customFormat="false" ht="12.75" hidden="false" customHeight="false" outlineLevel="0" collapsed="false">
      <c r="D689" s="223"/>
    </row>
    <row r="690" customFormat="false" ht="12.75" hidden="false" customHeight="false" outlineLevel="0" collapsed="false">
      <c r="D690" s="223"/>
    </row>
    <row r="691" customFormat="false" ht="12.75" hidden="false" customHeight="false" outlineLevel="0" collapsed="false">
      <c r="D691" s="223"/>
    </row>
    <row r="692" customFormat="false" ht="12.75" hidden="false" customHeight="false" outlineLevel="0" collapsed="false">
      <c r="D692" s="223"/>
    </row>
    <row r="693" customFormat="false" ht="12.75" hidden="false" customHeight="false" outlineLevel="0" collapsed="false">
      <c r="D693" s="223"/>
    </row>
    <row r="694" customFormat="false" ht="12.75" hidden="false" customHeight="false" outlineLevel="0" collapsed="false">
      <c r="D694" s="223"/>
    </row>
    <row r="695" customFormat="false" ht="12.75" hidden="false" customHeight="false" outlineLevel="0" collapsed="false">
      <c r="D695" s="223"/>
    </row>
    <row r="696" customFormat="false" ht="12.75" hidden="false" customHeight="false" outlineLevel="0" collapsed="false">
      <c r="D696" s="223"/>
    </row>
    <row r="697" customFormat="false" ht="12.75" hidden="false" customHeight="false" outlineLevel="0" collapsed="false">
      <c r="D697" s="223"/>
    </row>
    <row r="698" customFormat="false" ht="12.75" hidden="false" customHeight="false" outlineLevel="0" collapsed="false">
      <c r="D698" s="223"/>
    </row>
    <row r="699" customFormat="false" ht="12.75" hidden="false" customHeight="false" outlineLevel="0" collapsed="false">
      <c r="D699" s="223"/>
    </row>
    <row r="700" customFormat="false" ht="12.75" hidden="false" customHeight="false" outlineLevel="0" collapsed="false">
      <c r="D700" s="223"/>
    </row>
    <row r="701" customFormat="false" ht="12.75" hidden="false" customHeight="false" outlineLevel="0" collapsed="false">
      <c r="D701" s="223"/>
    </row>
    <row r="702" customFormat="false" ht="12.75" hidden="false" customHeight="false" outlineLevel="0" collapsed="false">
      <c r="D702" s="223"/>
    </row>
    <row r="703" customFormat="false" ht="12.75" hidden="false" customHeight="false" outlineLevel="0" collapsed="false">
      <c r="D703" s="223"/>
    </row>
    <row r="704" customFormat="false" ht="12.75" hidden="false" customHeight="false" outlineLevel="0" collapsed="false">
      <c r="D704" s="223"/>
    </row>
    <row r="705" customFormat="false" ht="12.75" hidden="false" customHeight="false" outlineLevel="0" collapsed="false">
      <c r="D705" s="223"/>
    </row>
    <row r="706" customFormat="false" ht="12.75" hidden="false" customHeight="false" outlineLevel="0" collapsed="false">
      <c r="D706" s="223"/>
    </row>
    <row r="707" customFormat="false" ht="12.75" hidden="false" customHeight="false" outlineLevel="0" collapsed="false">
      <c r="D707" s="223"/>
    </row>
    <row r="708" customFormat="false" ht="12.75" hidden="false" customHeight="false" outlineLevel="0" collapsed="false">
      <c r="D708" s="223"/>
    </row>
    <row r="709" customFormat="false" ht="12.75" hidden="false" customHeight="false" outlineLevel="0" collapsed="false">
      <c r="D709" s="223"/>
    </row>
    <row r="710" customFormat="false" ht="12.75" hidden="false" customHeight="false" outlineLevel="0" collapsed="false">
      <c r="D710" s="223"/>
    </row>
    <row r="711" customFormat="false" ht="12.75" hidden="false" customHeight="false" outlineLevel="0" collapsed="false">
      <c r="D711" s="223"/>
    </row>
    <row r="712" customFormat="false" ht="12.75" hidden="false" customHeight="false" outlineLevel="0" collapsed="false">
      <c r="D712" s="223"/>
    </row>
    <row r="713" customFormat="false" ht="12.75" hidden="false" customHeight="false" outlineLevel="0" collapsed="false">
      <c r="D713" s="223"/>
    </row>
    <row r="714" customFormat="false" ht="12.75" hidden="false" customHeight="false" outlineLevel="0" collapsed="false">
      <c r="D714" s="223"/>
    </row>
    <row r="715" customFormat="false" ht="12.75" hidden="false" customHeight="false" outlineLevel="0" collapsed="false">
      <c r="D715" s="223"/>
    </row>
    <row r="716" customFormat="false" ht="12.75" hidden="false" customHeight="false" outlineLevel="0" collapsed="false">
      <c r="D716" s="223"/>
    </row>
    <row r="717" customFormat="false" ht="12.75" hidden="false" customHeight="false" outlineLevel="0" collapsed="false">
      <c r="D717" s="223"/>
    </row>
    <row r="718" customFormat="false" ht="12.75" hidden="false" customHeight="false" outlineLevel="0" collapsed="false">
      <c r="D718" s="223"/>
    </row>
    <row r="719" customFormat="false" ht="12.75" hidden="false" customHeight="false" outlineLevel="0" collapsed="false">
      <c r="D719" s="223"/>
    </row>
    <row r="720" customFormat="false" ht="12.75" hidden="false" customHeight="false" outlineLevel="0" collapsed="false">
      <c r="D720" s="223"/>
    </row>
    <row r="721" customFormat="false" ht="12.75" hidden="false" customHeight="false" outlineLevel="0" collapsed="false">
      <c r="D721" s="223"/>
    </row>
    <row r="722" customFormat="false" ht="12.75" hidden="false" customHeight="false" outlineLevel="0" collapsed="false">
      <c r="D722" s="223"/>
    </row>
    <row r="723" customFormat="false" ht="12.75" hidden="false" customHeight="false" outlineLevel="0" collapsed="false">
      <c r="D723" s="223"/>
    </row>
    <row r="724" customFormat="false" ht="12.75" hidden="false" customHeight="false" outlineLevel="0" collapsed="false">
      <c r="D724" s="223"/>
    </row>
    <row r="725" customFormat="false" ht="12.75" hidden="false" customHeight="false" outlineLevel="0" collapsed="false">
      <c r="D725" s="224"/>
    </row>
    <row r="726" customFormat="false" ht="12.75" hidden="false" customHeight="false" outlineLevel="0" collapsed="false">
      <c r="D726" s="224"/>
    </row>
    <row r="727" customFormat="false" ht="12.75" hidden="false" customHeight="false" outlineLevel="0" collapsed="false">
      <c r="D727" s="224"/>
    </row>
    <row r="728" customFormat="false" ht="12.75" hidden="false" customHeight="false" outlineLevel="0" collapsed="false">
      <c r="D728" s="224"/>
    </row>
    <row r="729" customFormat="false" ht="12.75" hidden="false" customHeight="false" outlineLevel="0" collapsed="false">
      <c r="D729" s="224"/>
    </row>
    <row r="730" customFormat="false" ht="12.75" hidden="false" customHeight="false" outlineLevel="0" collapsed="false">
      <c r="D730" s="224"/>
    </row>
    <row r="731" customFormat="false" ht="12.75" hidden="false" customHeight="false" outlineLevel="0" collapsed="false">
      <c r="D731" s="224"/>
    </row>
    <row r="732" customFormat="false" ht="12.75" hidden="false" customHeight="false" outlineLevel="0" collapsed="false">
      <c r="D732" s="224"/>
    </row>
    <row r="733" customFormat="false" ht="12.75" hidden="false" customHeight="false" outlineLevel="0" collapsed="false">
      <c r="D733" s="224"/>
    </row>
    <row r="734" customFormat="false" ht="12.75" hidden="false" customHeight="false" outlineLevel="0" collapsed="false">
      <c r="D734" s="224"/>
    </row>
    <row r="735" customFormat="false" ht="12.75" hidden="false" customHeight="false" outlineLevel="0" collapsed="false">
      <c r="D735" s="224"/>
    </row>
    <row r="736" customFormat="false" ht="12.75" hidden="false" customHeight="false" outlineLevel="0" collapsed="false">
      <c r="D736" s="224"/>
    </row>
    <row r="737" customFormat="false" ht="12.75" hidden="false" customHeight="false" outlineLevel="0" collapsed="false">
      <c r="D737" s="224"/>
    </row>
    <row r="738" customFormat="false" ht="12.75" hidden="false" customHeight="false" outlineLevel="0" collapsed="false">
      <c r="D738" s="224"/>
    </row>
    <row r="739" customFormat="false" ht="12.75" hidden="false" customHeight="false" outlineLevel="0" collapsed="false">
      <c r="D739" s="224"/>
    </row>
    <row r="740" customFormat="false" ht="12.75" hidden="false" customHeight="false" outlineLevel="0" collapsed="false">
      <c r="D740" s="224"/>
    </row>
    <row r="741" customFormat="false" ht="12.75" hidden="false" customHeight="false" outlineLevel="0" collapsed="false">
      <c r="D741" s="224"/>
    </row>
    <row r="742" customFormat="false" ht="12.75" hidden="false" customHeight="false" outlineLevel="0" collapsed="false">
      <c r="D742" s="224"/>
    </row>
    <row r="743" customFormat="false" ht="12.75" hidden="false" customHeight="false" outlineLevel="0" collapsed="false">
      <c r="D743" s="224"/>
    </row>
    <row r="744" customFormat="false" ht="12.75" hidden="false" customHeight="false" outlineLevel="0" collapsed="false">
      <c r="D744" s="224"/>
    </row>
    <row r="745" customFormat="false" ht="12.75" hidden="false" customHeight="false" outlineLevel="0" collapsed="false">
      <c r="D745" s="224"/>
    </row>
    <row r="746" customFormat="false" ht="12.75" hidden="false" customHeight="false" outlineLevel="0" collapsed="false">
      <c r="D746" s="224"/>
    </row>
    <row r="747" customFormat="false" ht="12.75" hidden="false" customHeight="false" outlineLevel="0" collapsed="false">
      <c r="D747" s="224"/>
    </row>
    <row r="748" customFormat="false" ht="12.75" hidden="false" customHeight="false" outlineLevel="0" collapsed="false">
      <c r="D748" s="224"/>
    </row>
    <row r="749" customFormat="false" ht="12.75" hidden="false" customHeight="false" outlineLevel="0" collapsed="false">
      <c r="D749" s="224"/>
    </row>
    <row r="750" customFormat="false" ht="12.75" hidden="false" customHeight="false" outlineLevel="0" collapsed="false">
      <c r="D750" s="224"/>
    </row>
    <row r="751" customFormat="false" ht="12.75" hidden="false" customHeight="false" outlineLevel="0" collapsed="false">
      <c r="D751" s="224"/>
    </row>
    <row r="752" customFormat="false" ht="12.75" hidden="false" customHeight="false" outlineLevel="0" collapsed="false">
      <c r="D752" s="224"/>
    </row>
    <row r="753" customFormat="false" ht="12.75" hidden="false" customHeight="false" outlineLevel="0" collapsed="false">
      <c r="D753" s="224"/>
    </row>
    <row r="754" customFormat="false" ht="12.75" hidden="false" customHeight="false" outlineLevel="0" collapsed="false">
      <c r="D754" s="224"/>
    </row>
    <row r="755" customFormat="false" ht="12.75" hidden="false" customHeight="false" outlineLevel="0" collapsed="false">
      <c r="D755" s="224"/>
    </row>
    <row r="756" customFormat="false" ht="12.75" hidden="false" customHeight="false" outlineLevel="0" collapsed="false">
      <c r="D756" s="224"/>
    </row>
    <row r="757" customFormat="false" ht="12.75" hidden="false" customHeight="false" outlineLevel="0" collapsed="false">
      <c r="D757" s="224"/>
    </row>
    <row r="758" customFormat="false" ht="12.75" hidden="false" customHeight="false" outlineLevel="0" collapsed="false">
      <c r="D758" s="224"/>
    </row>
    <row r="759" customFormat="false" ht="12.75" hidden="false" customHeight="false" outlineLevel="0" collapsed="false">
      <c r="D759" s="224"/>
    </row>
    <row r="760" customFormat="false" ht="12.75" hidden="false" customHeight="false" outlineLevel="0" collapsed="false">
      <c r="D760" s="224"/>
    </row>
    <row r="761" customFormat="false" ht="12.75" hidden="false" customHeight="false" outlineLevel="0" collapsed="false">
      <c r="D761" s="224"/>
    </row>
    <row r="762" customFormat="false" ht="12.75" hidden="false" customHeight="false" outlineLevel="0" collapsed="false">
      <c r="D762" s="224"/>
    </row>
    <row r="763" customFormat="false" ht="12.75" hidden="false" customHeight="false" outlineLevel="0" collapsed="false">
      <c r="D763" s="224"/>
    </row>
    <row r="764" customFormat="false" ht="12.75" hidden="false" customHeight="false" outlineLevel="0" collapsed="false">
      <c r="D764" s="224"/>
    </row>
    <row r="765" customFormat="false" ht="12.75" hidden="false" customHeight="false" outlineLevel="0" collapsed="false">
      <c r="D765" s="224"/>
    </row>
    <row r="766" customFormat="false" ht="12.75" hidden="false" customHeight="false" outlineLevel="0" collapsed="false">
      <c r="D766" s="224"/>
    </row>
    <row r="767" customFormat="false" ht="12.75" hidden="false" customHeight="false" outlineLevel="0" collapsed="false">
      <c r="D767" s="224"/>
    </row>
    <row r="768" customFormat="false" ht="12.75" hidden="false" customHeight="false" outlineLevel="0" collapsed="false">
      <c r="D768" s="224"/>
    </row>
    <row r="769" customFormat="false" ht="12.75" hidden="false" customHeight="false" outlineLevel="0" collapsed="false">
      <c r="D769" s="224"/>
    </row>
    <row r="770" customFormat="false" ht="12.75" hidden="false" customHeight="false" outlineLevel="0" collapsed="false">
      <c r="D770" s="224"/>
    </row>
    <row r="771" customFormat="false" ht="12.75" hidden="false" customHeight="false" outlineLevel="0" collapsed="false">
      <c r="D771" s="224"/>
    </row>
    <row r="772" customFormat="false" ht="12.75" hidden="false" customHeight="false" outlineLevel="0" collapsed="false">
      <c r="D772" s="224"/>
    </row>
    <row r="773" customFormat="false" ht="12.75" hidden="false" customHeight="false" outlineLevel="0" collapsed="false">
      <c r="D773" s="224"/>
    </row>
    <row r="774" customFormat="false" ht="12.75" hidden="false" customHeight="false" outlineLevel="0" collapsed="false">
      <c r="D774" s="224"/>
    </row>
    <row r="775" customFormat="false" ht="12.75" hidden="false" customHeight="false" outlineLevel="0" collapsed="false">
      <c r="D775" s="224"/>
    </row>
    <row r="776" customFormat="false" ht="12.75" hidden="false" customHeight="false" outlineLevel="0" collapsed="false">
      <c r="D776" s="224"/>
    </row>
    <row r="777" customFormat="false" ht="12.75" hidden="false" customHeight="false" outlineLevel="0" collapsed="false">
      <c r="D777" s="224"/>
    </row>
    <row r="778" customFormat="false" ht="12.75" hidden="false" customHeight="false" outlineLevel="0" collapsed="false">
      <c r="D778" s="224"/>
    </row>
    <row r="779" customFormat="false" ht="12.75" hidden="false" customHeight="false" outlineLevel="0" collapsed="false">
      <c r="D779" s="224"/>
    </row>
    <row r="780" customFormat="false" ht="12.75" hidden="false" customHeight="false" outlineLevel="0" collapsed="false">
      <c r="D780" s="224"/>
    </row>
    <row r="781" customFormat="false" ht="12.75" hidden="false" customHeight="false" outlineLevel="0" collapsed="false">
      <c r="D781" s="224"/>
    </row>
    <row r="782" customFormat="false" ht="12.75" hidden="false" customHeight="false" outlineLevel="0" collapsed="false">
      <c r="D782" s="224"/>
    </row>
    <row r="783" customFormat="false" ht="12.75" hidden="false" customHeight="false" outlineLevel="0" collapsed="false">
      <c r="D783" s="224"/>
    </row>
    <row r="784" customFormat="false" ht="12.75" hidden="false" customHeight="false" outlineLevel="0" collapsed="false">
      <c r="D784" s="224"/>
    </row>
    <row r="785" customFormat="false" ht="12.75" hidden="false" customHeight="false" outlineLevel="0" collapsed="false">
      <c r="D785" s="224"/>
    </row>
    <row r="786" customFormat="false" ht="12.75" hidden="false" customHeight="false" outlineLevel="0" collapsed="false">
      <c r="D786" s="224"/>
    </row>
    <row r="787" customFormat="false" ht="12.75" hidden="false" customHeight="false" outlineLevel="0" collapsed="false">
      <c r="D787" s="224"/>
    </row>
    <row r="788" customFormat="false" ht="12.75" hidden="false" customHeight="false" outlineLevel="0" collapsed="false">
      <c r="D788" s="224"/>
    </row>
    <row r="789" customFormat="false" ht="12.75" hidden="false" customHeight="false" outlineLevel="0" collapsed="false">
      <c r="D789" s="224"/>
    </row>
    <row r="790" customFormat="false" ht="12.75" hidden="false" customHeight="false" outlineLevel="0" collapsed="false">
      <c r="D790" s="224"/>
    </row>
    <row r="791" customFormat="false" ht="12.75" hidden="false" customHeight="false" outlineLevel="0" collapsed="false">
      <c r="D791" s="224"/>
    </row>
    <row r="792" customFormat="false" ht="12.75" hidden="false" customHeight="false" outlineLevel="0" collapsed="false">
      <c r="D792" s="224"/>
    </row>
    <row r="793" customFormat="false" ht="12.75" hidden="false" customHeight="false" outlineLevel="0" collapsed="false">
      <c r="D793" s="224"/>
    </row>
    <row r="794" customFormat="false" ht="12.75" hidden="false" customHeight="false" outlineLevel="0" collapsed="false">
      <c r="D794" s="224"/>
    </row>
    <row r="795" customFormat="false" ht="12.75" hidden="false" customHeight="false" outlineLevel="0" collapsed="false">
      <c r="D795" s="224"/>
    </row>
    <row r="796" customFormat="false" ht="12.75" hidden="false" customHeight="false" outlineLevel="0" collapsed="false">
      <c r="D796" s="224"/>
    </row>
    <row r="797" customFormat="false" ht="12.75" hidden="false" customHeight="false" outlineLevel="0" collapsed="false">
      <c r="D797" s="224"/>
    </row>
    <row r="798" customFormat="false" ht="12.75" hidden="false" customHeight="false" outlineLevel="0" collapsed="false">
      <c r="D798" s="224"/>
    </row>
    <row r="799" customFormat="false" ht="12.75" hidden="false" customHeight="false" outlineLevel="0" collapsed="false">
      <c r="D799" s="224"/>
    </row>
    <row r="800" customFormat="false" ht="12.75" hidden="false" customHeight="false" outlineLevel="0" collapsed="false">
      <c r="D800" s="224"/>
    </row>
    <row r="801" customFormat="false" ht="12.75" hidden="false" customHeight="false" outlineLevel="0" collapsed="false">
      <c r="D801" s="224"/>
    </row>
    <row r="802" customFormat="false" ht="12.75" hidden="false" customHeight="false" outlineLevel="0" collapsed="false">
      <c r="D802" s="224"/>
    </row>
    <row r="803" customFormat="false" ht="12.75" hidden="false" customHeight="false" outlineLevel="0" collapsed="false">
      <c r="D803" s="224"/>
    </row>
    <row r="804" customFormat="false" ht="12.75" hidden="false" customHeight="false" outlineLevel="0" collapsed="false">
      <c r="D804" s="224"/>
    </row>
    <row r="805" customFormat="false" ht="12.75" hidden="false" customHeight="false" outlineLevel="0" collapsed="false">
      <c r="D805" s="224"/>
    </row>
    <row r="806" customFormat="false" ht="12.75" hidden="false" customHeight="false" outlineLevel="0" collapsed="false">
      <c r="D806" s="224"/>
    </row>
    <row r="807" customFormat="false" ht="12.75" hidden="false" customHeight="false" outlineLevel="0" collapsed="false">
      <c r="D807" s="224"/>
    </row>
    <row r="808" customFormat="false" ht="12.75" hidden="false" customHeight="false" outlineLevel="0" collapsed="false">
      <c r="D808" s="224"/>
    </row>
    <row r="809" customFormat="false" ht="12.75" hidden="false" customHeight="false" outlineLevel="0" collapsed="false">
      <c r="D809" s="224"/>
    </row>
    <row r="810" customFormat="false" ht="12.75" hidden="false" customHeight="false" outlineLevel="0" collapsed="false">
      <c r="D810" s="224"/>
    </row>
    <row r="811" customFormat="false" ht="12.75" hidden="false" customHeight="false" outlineLevel="0" collapsed="false">
      <c r="D811" s="224"/>
    </row>
    <row r="812" customFormat="false" ht="12.75" hidden="false" customHeight="false" outlineLevel="0" collapsed="false">
      <c r="D812" s="224"/>
    </row>
    <row r="813" customFormat="false" ht="12.75" hidden="false" customHeight="false" outlineLevel="0" collapsed="false">
      <c r="D813" s="224"/>
    </row>
    <row r="814" customFormat="false" ht="12.75" hidden="false" customHeight="false" outlineLevel="0" collapsed="false">
      <c r="D814" s="224"/>
    </row>
    <row r="815" customFormat="false" ht="12.75" hidden="false" customHeight="false" outlineLevel="0" collapsed="false">
      <c r="D815" s="224"/>
    </row>
    <row r="816" customFormat="false" ht="12.75" hidden="false" customHeight="false" outlineLevel="0" collapsed="false">
      <c r="D816" s="224"/>
    </row>
    <row r="817" customFormat="false" ht="12.75" hidden="false" customHeight="false" outlineLevel="0" collapsed="false">
      <c r="D817" s="224"/>
    </row>
    <row r="818" customFormat="false" ht="12.75" hidden="false" customHeight="false" outlineLevel="0" collapsed="false">
      <c r="D818" s="224"/>
    </row>
    <row r="819" customFormat="false" ht="12.75" hidden="false" customHeight="false" outlineLevel="0" collapsed="false">
      <c r="D819" s="224"/>
    </row>
    <row r="820" customFormat="false" ht="12.75" hidden="false" customHeight="false" outlineLevel="0" collapsed="false">
      <c r="D820" s="224"/>
    </row>
    <row r="821" customFormat="false" ht="12.75" hidden="false" customHeight="false" outlineLevel="0" collapsed="false">
      <c r="D821" s="224"/>
    </row>
    <row r="822" customFormat="false" ht="12.75" hidden="false" customHeight="false" outlineLevel="0" collapsed="false">
      <c r="D822" s="224"/>
    </row>
    <row r="823" customFormat="false" ht="12.75" hidden="false" customHeight="false" outlineLevel="0" collapsed="false">
      <c r="D823" s="224"/>
    </row>
    <row r="824" customFormat="false" ht="12.75" hidden="false" customHeight="false" outlineLevel="0" collapsed="false">
      <c r="D824" s="224"/>
    </row>
    <row r="825" customFormat="false" ht="12.75" hidden="false" customHeight="false" outlineLevel="0" collapsed="false">
      <c r="D825" s="224"/>
    </row>
    <row r="826" customFormat="false" ht="12.75" hidden="false" customHeight="false" outlineLevel="0" collapsed="false">
      <c r="D826" s="224"/>
    </row>
    <row r="827" customFormat="false" ht="12.75" hidden="false" customHeight="false" outlineLevel="0" collapsed="false">
      <c r="D827" s="224"/>
    </row>
    <row r="828" customFormat="false" ht="12.75" hidden="false" customHeight="false" outlineLevel="0" collapsed="false">
      <c r="D828" s="224"/>
    </row>
    <row r="829" customFormat="false" ht="12.75" hidden="false" customHeight="false" outlineLevel="0" collapsed="false">
      <c r="D829" s="224"/>
    </row>
    <row r="830" customFormat="false" ht="12.75" hidden="false" customHeight="false" outlineLevel="0" collapsed="false">
      <c r="D830" s="224"/>
    </row>
    <row r="831" customFormat="false" ht="12.75" hidden="false" customHeight="false" outlineLevel="0" collapsed="false">
      <c r="D831" s="224"/>
    </row>
    <row r="832" customFormat="false" ht="12.75" hidden="false" customHeight="false" outlineLevel="0" collapsed="false">
      <c r="D832" s="224"/>
    </row>
    <row r="833" customFormat="false" ht="12.75" hidden="false" customHeight="false" outlineLevel="0" collapsed="false">
      <c r="D833" s="224"/>
    </row>
    <row r="834" customFormat="false" ht="12.75" hidden="false" customHeight="false" outlineLevel="0" collapsed="false">
      <c r="D834" s="224"/>
    </row>
    <row r="835" customFormat="false" ht="12.75" hidden="false" customHeight="false" outlineLevel="0" collapsed="false">
      <c r="D835" s="224"/>
    </row>
    <row r="836" customFormat="false" ht="12.75" hidden="false" customHeight="false" outlineLevel="0" collapsed="false">
      <c r="D836" s="224"/>
    </row>
    <row r="837" customFormat="false" ht="12.75" hidden="false" customHeight="false" outlineLevel="0" collapsed="false">
      <c r="D837" s="224"/>
    </row>
    <row r="838" customFormat="false" ht="12.75" hidden="false" customHeight="false" outlineLevel="0" collapsed="false">
      <c r="D838" s="224"/>
    </row>
    <row r="839" customFormat="false" ht="12.75" hidden="false" customHeight="false" outlineLevel="0" collapsed="false">
      <c r="D839" s="224"/>
    </row>
    <row r="840" customFormat="false" ht="12.75" hidden="false" customHeight="false" outlineLevel="0" collapsed="false">
      <c r="D840" s="224"/>
    </row>
    <row r="841" customFormat="false" ht="12.75" hidden="false" customHeight="false" outlineLevel="0" collapsed="false">
      <c r="D841" s="224"/>
    </row>
    <row r="842" customFormat="false" ht="12.75" hidden="false" customHeight="false" outlineLevel="0" collapsed="false">
      <c r="D842" s="224"/>
    </row>
    <row r="843" customFormat="false" ht="12.75" hidden="false" customHeight="false" outlineLevel="0" collapsed="false">
      <c r="D843" s="224"/>
    </row>
    <row r="844" customFormat="false" ht="12.75" hidden="false" customHeight="false" outlineLevel="0" collapsed="false">
      <c r="D844" s="224"/>
    </row>
    <row r="845" customFormat="false" ht="12.75" hidden="false" customHeight="false" outlineLevel="0" collapsed="false">
      <c r="D845" s="224"/>
    </row>
    <row r="846" customFormat="false" ht="12.75" hidden="false" customHeight="false" outlineLevel="0" collapsed="false">
      <c r="D846" s="224"/>
    </row>
    <row r="847" customFormat="false" ht="12.75" hidden="false" customHeight="false" outlineLevel="0" collapsed="false">
      <c r="D847" s="224"/>
    </row>
    <row r="848" customFormat="false" ht="12.75" hidden="false" customHeight="false" outlineLevel="0" collapsed="false">
      <c r="D848" s="224"/>
    </row>
    <row r="849" customFormat="false" ht="12.75" hidden="false" customHeight="false" outlineLevel="0" collapsed="false">
      <c r="D849" s="224"/>
    </row>
    <row r="850" customFormat="false" ht="12.75" hidden="false" customHeight="false" outlineLevel="0" collapsed="false">
      <c r="D850" s="224"/>
    </row>
    <row r="851" customFormat="false" ht="12.75" hidden="false" customHeight="false" outlineLevel="0" collapsed="false">
      <c r="D851" s="224"/>
    </row>
    <row r="852" customFormat="false" ht="12.75" hidden="false" customHeight="false" outlineLevel="0" collapsed="false">
      <c r="D852" s="224"/>
    </row>
    <row r="853" customFormat="false" ht="12.75" hidden="false" customHeight="false" outlineLevel="0" collapsed="false">
      <c r="D853" s="224"/>
    </row>
    <row r="854" customFormat="false" ht="12.75" hidden="false" customHeight="false" outlineLevel="0" collapsed="false">
      <c r="D854" s="224"/>
    </row>
    <row r="855" customFormat="false" ht="12.75" hidden="false" customHeight="false" outlineLevel="0" collapsed="false">
      <c r="D855" s="224"/>
    </row>
    <row r="856" customFormat="false" ht="12.75" hidden="false" customHeight="false" outlineLevel="0" collapsed="false">
      <c r="D856" s="224"/>
    </row>
    <row r="857" customFormat="false" ht="12.75" hidden="false" customHeight="false" outlineLevel="0" collapsed="false">
      <c r="D857" s="224"/>
    </row>
    <row r="858" customFormat="false" ht="12.75" hidden="false" customHeight="false" outlineLevel="0" collapsed="false">
      <c r="D858" s="224"/>
    </row>
    <row r="859" customFormat="false" ht="12.75" hidden="false" customHeight="false" outlineLevel="0" collapsed="false">
      <c r="D859" s="224"/>
    </row>
    <row r="860" customFormat="false" ht="12.75" hidden="false" customHeight="false" outlineLevel="0" collapsed="false">
      <c r="D860" s="224"/>
    </row>
    <row r="861" customFormat="false" ht="12.75" hidden="false" customHeight="false" outlineLevel="0" collapsed="false">
      <c r="D861" s="224"/>
    </row>
    <row r="862" customFormat="false" ht="12.75" hidden="false" customHeight="false" outlineLevel="0" collapsed="false">
      <c r="D862" s="224"/>
    </row>
    <row r="863" customFormat="false" ht="12.75" hidden="false" customHeight="false" outlineLevel="0" collapsed="false">
      <c r="D863" s="224"/>
    </row>
    <row r="864" customFormat="false" ht="12.75" hidden="false" customHeight="false" outlineLevel="0" collapsed="false">
      <c r="D864" s="224"/>
    </row>
    <row r="865" customFormat="false" ht="12.75" hidden="false" customHeight="false" outlineLevel="0" collapsed="false">
      <c r="D865" s="224"/>
    </row>
    <row r="866" customFormat="false" ht="12.75" hidden="false" customHeight="false" outlineLevel="0" collapsed="false">
      <c r="D866" s="224"/>
    </row>
    <row r="867" customFormat="false" ht="12.75" hidden="false" customHeight="false" outlineLevel="0" collapsed="false">
      <c r="D867" s="224"/>
    </row>
    <row r="868" customFormat="false" ht="12.75" hidden="false" customHeight="false" outlineLevel="0" collapsed="false">
      <c r="D868" s="224"/>
    </row>
    <row r="869" customFormat="false" ht="12.75" hidden="false" customHeight="false" outlineLevel="0" collapsed="false">
      <c r="D869" s="224"/>
    </row>
    <row r="870" customFormat="false" ht="12.75" hidden="false" customHeight="false" outlineLevel="0" collapsed="false">
      <c r="D870" s="224"/>
    </row>
    <row r="871" customFormat="false" ht="12.75" hidden="false" customHeight="false" outlineLevel="0" collapsed="false">
      <c r="D871" s="224"/>
    </row>
    <row r="872" customFormat="false" ht="12.75" hidden="false" customHeight="false" outlineLevel="0" collapsed="false">
      <c r="D872" s="224"/>
    </row>
    <row r="873" customFormat="false" ht="12.75" hidden="false" customHeight="false" outlineLevel="0" collapsed="false">
      <c r="D873" s="224"/>
    </row>
    <row r="874" customFormat="false" ht="12.75" hidden="false" customHeight="false" outlineLevel="0" collapsed="false">
      <c r="D874" s="224"/>
    </row>
    <row r="875" customFormat="false" ht="12.75" hidden="false" customHeight="false" outlineLevel="0" collapsed="false">
      <c r="D875" s="224"/>
    </row>
    <row r="876" customFormat="false" ht="12.75" hidden="false" customHeight="false" outlineLevel="0" collapsed="false">
      <c r="D876" s="224"/>
    </row>
    <row r="877" customFormat="false" ht="12.75" hidden="false" customHeight="false" outlineLevel="0" collapsed="false">
      <c r="D877" s="224"/>
    </row>
    <row r="878" customFormat="false" ht="12.75" hidden="false" customHeight="false" outlineLevel="0" collapsed="false">
      <c r="D878" s="224"/>
    </row>
    <row r="879" customFormat="false" ht="12.75" hidden="false" customHeight="false" outlineLevel="0" collapsed="false">
      <c r="D879" s="224"/>
    </row>
    <row r="880" customFormat="false" ht="12.75" hidden="false" customHeight="false" outlineLevel="0" collapsed="false">
      <c r="D880" s="224"/>
    </row>
    <row r="881" customFormat="false" ht="12.75" hidden="false" customHeight="false" outlineLevel="0" collapsed="false">
      <c r="D881" s="224"/>
    </row>
    <row r="882" customFormat="false" ht="12.75" hidden="false" customHeight="false" outlineLevel="0" collapsed="false">
      <c r="D882" s="224"/>
    </row>
    <row r="883" customFormat="false" ht="12.75" hidden="false" customHeight="false" outlineLevel="0" collapsed="false">
      <c r="D883" s="224"/>
    </row>
    <row r="884" customFormat="false" ht="12.75" hidden="false" customHeight="false" outlineLevel="0" collapsed="false">
      <c r="D884" s="224"/>
    </row>
    <row r="885" customFormat="false" ht="12.75" hidden="false" customHeight="false" outlineLevel="0" collapsed="false">
      <c r="D885" s="224"/>
    </row>
    <row r="886" customFormat="false" ht="12.75" hidden="false" customHeight="false" outlineLevel="0" collapsed="false">
      <c r="D886" s="224"/>
    </row>
    <row r="887" customFormat="false" ht="12.75" hidden="false" customHeight="false" outlineLevel="0" collapsed="false">
      <c r="D887" s="224"/>
    </row>
    <row r="888" customFormat="false" ht="12.75" hidden="false" customHeight="false" outlineLevel="0" collapsed="false">
      <c r="D888" s="224"/>
    </row>
    <row r="889" customFormat="false" ht="12.75" hidden="false" customHeight="false" outlineLevel="0" collapsed="false">
      <c r="D889" s="224"/>
    </row>
    <row r="890" customFormat="false" ht="12.75" hidden="false" customHeight="false" outlineLevel="0" collapsed="false">
      <c r="D890" s="224"/>
    </row>
    <row r="891" customFormat="false" ht="12.75" hidden="false" customHeight="false" outlineLevel="0" collapsed="false">
      <c r="D891" s="224"/>
    </row>
    <row r="892" customFormat="false" ht="12.75" hidden="false" customHeight="false" outlineLevel="0" collapsed="false">
      <c r="D892" s="224"/>
    </row>
    <row r="893" customFormat="false" ht="12.75" hidden="false" customHeight="false" outlineLevel="0" collapsed="false">
      <c r="D893" s="224"/>
    </row>
    <row r="894" customFormat="false" ht="12.75" hidden="false" customHeight="false" outlineLevel="0" collapsed="false">
      <c r="D894" s="224"/>
    </row>
    <row r="895" customFormat="false" ht="12.75" hidden="false" customHeight="false" outlineLevel="0" collapsed="false">
      <c r="D895" s="224"/>
    </row>
    <row r="896" customFormat="false" ht="12.75" hidden="false" customHeight="false" outlineLevel="0" collapsed="false">
      <c r="D896" s="224"/>
    </row>
    <row r="897" customFormat="false" ht="12.75" hidden="false" customHeight="false" outlineLevel="0" collapsed="false">
      <c r="D897" s="224"/>
    </row>
    <row r="898" customFormat="false" ht="12.75" hidden="false" customHeight="false" outlineLevel="0" collapsed="false">
      <c r="D898" s="224"/>
    </row>
    <row r="899" customFormat="false" ht="12.75" hidden="false" customHeight="false" outlineLevel="0" collapsed="false">
      <c r="D899" s="224"/>
    </row>
    <row r="900" customFormat="false" ht="12.75" hidden="false" customHeight="false" outlineLevel="0" collapsed="false">
      <c r="D900" s="224"/>
    </row>
    <row r="901" customFormat="false" ht="12.75" hidden="false" customHeight="false" outlineLevel="0" collapsed="false">
      <c r="D901" s="224"/>
    </row>
    <row r="902" customFormat="false" ht="12.75" hidden="false" customHeight="false" outlineLevel="0" collapsed="false">
      <c r="D902" s="224"/>
    </row>
    <row r="903" customFormat="false" ht="12.75" hidden="false" customHeight="false" outlineLevel="0" collapsed="false">
      <c r="D903" s="224"/>
    </row>
    <row r="904" customFormat="false" ht="12.75" hidden="false" customHeight="false" outlineLevel="0" collapsed="false">
      <c r="D904" s="224"/>
    </row>
    <row r="905" customFormat="false" ht="12.75" hidden="false" customHeight="false" outlineLevel="0" collapsed="false">
      <c r="D905" s="224"/>
    </row>
    <row r="906" customFormat="false" ht="12.75" hidden="false" customHeight="false" outlineLevel="0" collapsed="false">
      <c r="D906" s="224"/>
    </row>
    <row r="907" customFormat="false" ht="12.75" hidden="false" customHeight="false" outlineLevel="0" collapsed="false">
      <c r="D907" s="224"/>
    </row>
    <row r="908" customFormat="false" ht="12.75" hidden="false" customHeight="false" outlineLevel="0" collapsed="false">
      <c r="D908" s="224"/>
    </row>
    <row r="909" customFormat="false" ht="12.75" hidden="false" customHeight="false" outlineLevel="0" collapsed="false">
      <c r="D909" s="224"/>
    </row>
    <row r="910" customFormat="false" ht="12.75" hidden="false" customHeight="false" outlineLevel="0" collapsed="false">
      <c r="D910" s="224"/>
    </row>
    <row r="911" customFormat="false" ht="12.75" hidden="false" customHeight="false" outlineLevel="0" collapsed="false">
      <c r="D911" s="224"/>
    </row>
    <row r="912" customFormat="false" ht="12.75" hidden="false" customHeight="false" outlineLevel="0" collapsed="false">
      <c r="D912" s="224"/>
    </row>
    <row r="913" customFormat="false" ht="12.75" hidden="false" customHeight="false" outlineLevel="0" collapsed="false">
      <c r="D913" s="224"/>
    </row>
    <row r="914" customFormat="false" ht="12.75" hidden="false" customHeight="false" outlineLevel="0" collapsed="false">
      <c r="D914" s="224"/>
    </row>
    <row r="915" customFormat="false" ht="12.75" hidden="false" customHeight="false" outlineLevel="0" collapsed="false">
      <c r="D915" s="224"/>
    </row>
    <row r="916" customFormat="false" ht="12.75" hidden="false" customHeight="false" outlineLevel="0" collapsed="false">
      <c r="D916" s="224"/>
    </row>
    <row r="917" customFormat="false" ht="12.75" hidden="false" customHeight="false" outlineLevel="0" collapsed="false">
      <c r="D917" s="224"/>
    </row>
    <row r="918" customFormat="false" ht="12.75" hidden="false" customHeight="false" outlineLevel="0" collapsed="false">
      <c r="D918" s="224"/>
    </row>
    <row r="919" customFormat="false" ht="12.75" hidden="false" customHeight="false" outlineLevel="0" collapsed="false">
      <c r="D919" s="224"/>
    </row>
    <row r="920" customFormat="false" ht="12.75" hidden="false" customHeight="false" outlineLevel="0" collapsed="false">
      <c r="D920" s="224"/>
    </row>
    <row r="921" customFormat="false" ht="12.75" hidden="false" customHeight="false" outlineLevel="0" collapsed="false">
      <c r="D921" s="224"/>
    </row>
    <row r="922" customFormat="false" ht="12.75" hidden="false" customHeight="false" outlineLevel="0" collapsed="false">
      <c r="D922" s="224"/>
    </row>
    <row r="923" customFormat="false" ht="12.75" hidden="false" customHeight="false" outlineLevel="0" collapsed="false">
      <c r="D923" s="224"/>
    </row>
    <row r="924" customFormat="false" ht="12.75" hidden="false" customHeight="false" outlineLevel="0" collapsed="false">
      <c r="D924" s="224"/>
    </row>
    <row r="925" customFormat="false" ht="12.75" hidden="false" customHeight="false" outlineLevel="0" collapsed="false">
      <c r="D925" s="224"/>
    </row>
    <row r="926" customFormat="false" ht="12.75" hidden="false" customHeight="false" outlineLevel="0" collapsed="false">
      <c r="D926" s="224"/>
    </row>
    <row r="927" customFormat="false" ht="12.75" hidden="false" customHeight="false" outlineLevel="0" collapsed="false">
      <c r="D927" s="224"/>
    </row>
    <row r="928" customFormat="false" ht="12.75" hidden="false" customHeight="false" outlineLevel="0" collapsed="false">
      <c r="D928" s="224"/>
    </row>
    <row r="929" customFormat="false" ht="12.75" hidden="false" customHeight="false" outlineLevel="0" collapsed="false">
      <c r="D929" s="224"/>
    </row>
    <row r="930" customFormat="false" ht="12.75" hidden="false" customHeight="false" outlineLevel="0" collapsed="false">
      <c r="D930" s="224"/>
    </row>
    <row r="931" customFormat="false" ht="12.75" hidden="false" customHeight="false" outlineLevel="0" collapsed="false">
      <c r="D931" s="224"/>
    </row>
    <row r="932" customFormat="false" ht="12.75" hidden="false" customHeight="false" outlineLevel="0" collapsed="false">
      <c r="D932" s="224"/>
    </row>
    <row r="933" customFormat="false" ht="12.75" hidden="false" customHeight="false" outlineLevel="0" collapsed="false">
      <c r="D933" s="224"/>
    </row>
    <row r="934" customFormat="false" ht="12.75" hidden="false" customHeight="false" outlineLevel="0" collapsed="false">
      <c r="D934" s="224"/>
    </row>
    <row r="935" customFormat="false" ht="12.75" hidden="false" customHeight="false" outlineLevel="0" collapsed="false">
      <c r="D935" s="224"/>
    </row>
    <row r="936" customFormat="false" ht="12.75" hidden="false" customHeight="false" outlineLevel="0" collapsed="false">
      <c r="D936" s="224"/>
    </row>
    <row r="937" customFormat="false" ht="12.75" hidden="false" customHeight="false" outlineLevel="0" collapsed="false">
      <c r="D937" s="224"/>
    </row>
    <row r="938" customFormat="false" ht="12.75" hidden="false" customHeight="false" outlineLevel="0" collapsed="false">
      <c r="D938" s="224"/>
    </row>
    <row r="939" customFormat="false" ht="12.75" hidden="false" customHeight="false" outlineLevel="0" collapsed="false">
      <c r="D939" s="224"/>
    </row>
    <row r="940" customFormat="false" ht="12.75" hidden="false" customHeight="false" outlineLevel="0" collapsed="false">
      <c r="D940" s="224"/>
    </row>
    <row r="941" customFormat="false" ht="12.75" hidden="false" customHeight="false" outlineLevel="0" collapsed="false">
      <c r="D941" s="224"/>
    </row>
    <row r="942" customFormat="false" ht="12.75" hidden="false" customHeight="false" outlineLevel="0" collapsed="false">
      <c r="D942" s="224"/>
    </row>
    <row r="943" customFormat="false" ht="12.75" hidden="false" customHeight="false" outlineLevel="0" collapsed="false">
      <c r="D943" s="224"/>
    </row>
    <row r="944" customFormat="false" ht="12.75" hidden="false" customHeight="false" outlineLevel="0" collapsed="false">
      <c r="D944" s="224"/>
    </row>
    <row r="945" customFormat="false" ht="12.75" hidden="false" customHeight="false" outlineLevel="0" collapsed="false">
      <c r="D945" s="224"/>
    </row>
    <row r="946" customFormat="false" ht="12.75" hidden="false" customHeight="false" outlineLevel="0" collapsed="false">
      <c r="D946" s="224"/>
    </row>
    <row r="947" customFormat="false" ht="12.75" hidden="false" customHeight="false" outlineLevel="0" collapsed="false">
      <c r="D947" s="224"/>
    </row>
    <row r="948" customFormat="false" ht="12.75" hidden="false" customHeight="false" outlineLevel="0" collapsed="false">
      <c r="D948" s="224"/>
    </row>
    <row r="949" customFormat="false" ht="12.75" hidden="false" customHeight="false" outlineLevel="0" collapsed="false">
      <c r="D949" s="224"/>
    </row>
    <row r="950" customFormat="false" ht="12.75" hidden="false" customHeight="false" outlineLevel="0" collapsed="false">
      <c r="D950" s="224"/>
    </row>
    <row r="951" customFormat="false" ht="12.75" hidden="false" customHeight="false" outlineLevel="0" collapsed="false">
      <c r="D951" s="224"/>
    </row>
    <row r="952" customFormat="false" ht="12.75" hidden="false" customHeight="false" outlineLevel="0" collapsed="false">
      <c r="D952" s="224"/>
    </row>
    <row r="953" customFormat="false" ht="12.75" hidden="false" customHeight="false" outlineLevel="0" collapsed="false">
      <c r="D953" s="224"/>
    </row>
    <row r="954" customFormat="false" ht="12.75" hidden="false" customHeight="false" outlineLevel="0" collapsed="false">
      <c r="D954" s="224"/>
    </row>
    <row r="955" customFormat="false" ht="12.75" hidden="false" customHeight="false" outlineLevel="0" collapsed="false">
      <c r="D955" s="224"/>
    </row>
    <row r="956" customFormat="false" ht="12.75" hidden="false" customHeight="false" outlineLevel="0" collapsed="false">
      <c r="D956" s="224"/>
    </row>
    <row r="957" customFormat="false" ht="12.75" hidden="false" customHeight="false" outlineLevel="0" collapsed="false">
      <c r="D957" s="224"/>
    </row>
    <row r="958" customFormat="false" ht="12.75" hidden="false" customHeight="false" outlineLevel="0" collapsed="false">
      <c r="D958" s="224"/>
    </row>
    <row r="959" customFormat="false" ht="12.75" hidden="false" customHeight="false" outlineLevel="0" collapsed="false">
      <c r="D959" s="224"/>
    </row>
    <row r="960" customFormat="false" ht="12.75" hidden="false" customHeight="false" outlineLevel="0" collapsed="false">
      <c r="D960" s="224"/>
    </row>
    <row r="961" customFormat="false" ht="12.75" hidden="false" customHeight="false" outlineLevel="0" collapsed="false">
      <c r="D961" s="224"/>
    </row>
    <row r="962" customFormat="false" ht="12.75" hidden="false" customHeight="false" outlineLevel="0" collapsed="false">
      <c r="D962" s="224"/>
    </row>
    <row r="963" customFormat="false" ht="12.75" hidden="false" customHeight="false" outlineLevel="0" collapsed="false">
      <c r="D963" s="224"/>
    </row>
    <row r="964" customFormat="false" ht="12.75" hidden="false" customHeight="false" outlineLevel="0" collapsed="false">
      <c r="D964" s="224"/>
    </row>
    <row r="965" customFormat="false" ht="12.75" hidden="false" customHeight="false" outlineLevel="0" collapsed="false">
      <c r="D965" s="224"/>
    </row>
    <row r="966" customFormat="false" ht="12.75" hidden="false" customHeight="false" outlineLevel="0" collapsed="false">
      <c r="D966" s="224"/>
    </row>
    <row r="967" customFormat="false" ht="12.75" hidden="false" customHeight="false" outlineLevel="0" collapsed="false">
      <c r="D967" s="224"/>
    </row>
    <row r="968" customFormat="false" ht="12.75" hidden="false" customHeight="false" outlineLevel="0" collapsed="false">
      <c r="D968" s="224"/>
    </row>
    <row r="969" customFormat="false" ht="12.75" hidden="false" customHeight="false" outlineLevel="0" collapsed="false">
      <c r="D969" s="224"/>
    </row>
    <row r="970" customFormat="false" ht="12.75" hidden="false" customHeight="false" outlineLevel="0" collapsed="false">
      <c r="D970" s="224"/>
    </row>
    <row r="971" customFormat="false" ht="12.75" hidden="false" customHeight="false" outlineLevel="0" collapsed="false">
      <c r="D971" s="224"/>
    </row>
    <row r="972" customFormat="false" ht="12.75" hidden="false" customHeight="false" outlineLevel="0" collapsed="false">
      <c r="D972" s="224"/>
    </row>
    <row r="973" customFormat="false" ht="12.75" hidden="false" customHeight="false" outlineLevel="0" collapsed="false">
      <c r="D973" s="224"/>
    </row>
    <row r="974" customFormat="false" ht="12.75" hidden="false" customHeight="false" outlineLevel="0" collapsed="false">
      <c r="D974" s="224"/>
    </row>
    <row r="975" customFormat="false" ht="12.75" hidden="false" customHeight="false" outlineLevel="0" collapsed="false">
      <c r="D975" s="224"/>
    </row>
    <row r="976" customFormat="false" ht="12.75" hidden="false" customHeight="false" outlineLevel="0" collapsed="false">
      <c r="D976" s="224"/>
    </row>
    <row r="977" customFormat="false" ht="12.75" hidden="false" customHeight="false" outlineLevel="0" collapsed="false">
      <c r="D977" s="224"/>
    </row>
    <row r="978" customFormat="false" ht="12.75" hidden="false" customHeight="false" outlineLevel="0" collapsed="false">
      <c r="D978" s="224"/>
    </row>
    <row r="979" customFormat="false" ht="12.75" hidden="false" customHeight="false" outlineLevel="0" collapsed="false">
      <c r="D979" s="224"/>
    </row>
    <row r="980" customFormat="false" ht="12.75" hidden="false" customHeight="false" outlineLevel="0" collapsed="false">
      <c r="D980" s="224"/>
    </row>
    <row r="981" customFormat="false" ht="12.75" hidden="false" customHeight="false" outlineLevel="0" collapsed="false">
      <c r="D981" s="224"/>
    </row>
    <row r="982" customFormat="false" ht="12.75" hidden="false" customHeight="false" outlineLevel="0" collapsed="false">
      <c r="D982" s="224"/>
    </row>
    <row r="983" customFormat="false" ht="12.75" hidden="false" customHeight="false" outlineLevel="0" collapsed="false">
      <c r="D983" s="224"/>
    </row>
    <row r="984" customFormat="false" ht="12.75" hidden="false" customHeight="false" outlineLevel="0" collapsed="false">
      <c r="D984" s="224"/>
    </row>
    <row r="985" customFormat="false" ht="12.75" hidden="false" customHeight="false" outlineLevel="0" collapsed="false">
      <c r="D985" s="224"/>
    </row>
    <row r="986" customFormat="false" ht="12.75" hidden="false" customHeight="false" outlineLevel="0" collapsed="false">
      <c r="D986" s="224"/>
    </row>
    <row r="987" customFormat="false" ht="12.75" hidden="false" customHeight="false" outlineLevel="0" collapsed="false">
      <c r="D987" s="224"/>
    </row>
    <row r="988" customFormat="false" ht="12.75" hidden="false" customHeight="false" outlineLevel="0" collapsed="false">
      <c r="D988" s="224"/>
    </row>
    <row r="989" customFormat="false" ht="12.75" hidden="false" customHeight="false" outlineLevel="0" collapsed="false">
      <c r="D989" s="224"/>
    </row>
    <row r="990" customFormat="false" ht="12.75" hidden="false" customHeight="false" outlineLevel="0" collapsed="false">
      <c r="D990" s="224"/>
    </row>
    <row r="991" customFormat="false" ht="12.75" hidden="false" customHeight="false" outlineLevel="0" collapsed="false">
      <c r="D991" s="224"/>
    </row>
    <row r="992" customFormat="false" ht="12.75" hidden="false" customHeight="false" outlineLevel="0" collapsed="false">
      <c r="D992" s="224"/>
    </row>
    <row r="993" customFormat="false" ht="12.75" hidden="false" customHeight="false" outlineLevel="0" collapsed="false">
      <c r="D993" s="224"/>
    </row>
    <row r="994" customFormat="false" ht="12.75" hidden="false" customHeight="false" outlineLevel="0" collapsed="false">
      <c r="D994" s="224"/>
    </row>
    <row r="995" customFormat="false" ht="12.75" hidden="false" customHeight="false" outlineLevel="0" collapsed="false">
      <c r="D995" s="224"/>
    </row>
    <row r="996" customFormat="false" ht="12.75" hidden="false" customHeight="false" outlineLevel="0" collapsed="false">
      <c r="D996" s="224"/>
    </row>
    <row r="997" customFormat="false" ht="12.75" hidden="false" customHeight="false" outlineLevel="0" collapsed="false">
      <c r="D997" s="224"/>
    </row>
    <row r="998" customFormat="false" ht="12.75" hidden="false" customHeight="false" outlineLevel="0" collapsed="false">
      <c r="D998" s="224"/>
    </row>
    <row r="999" customFormat="false" ht="12.75" hidden="false" customHeight="false" outlineLevel="0" collapsed="false">
      <c r="D999" s="224"/>
    </row>
    <row r="1000" customFormat="false" ht="12.75" hidden="false" customHeight="false" outlineLevel="0" collapsed="false">
      <c r="D1000" s="224"/>
    </row>
    <row r="1001" customFormat="false" ht="12.75" hidden="false" customHeight="false" outlineLevel="0" collapsed="false">
      <c r="D1001" s="224"/>
    </row>
    <row r="1002" customFormat="false" ht="12.75" hidden="false" customHeight="false" outlineLevel="0" collapsed="false">
      <c r="D1002" s="224"/>
    </row>
    <row r="1003" customFormat="false" ht="12.75" hidden="false" customHeight="false" outlineLevel="0" collapsed="false">
      <c r="D1003" s="224"/>
    </row>
    <row r="1004" customFormat="false" ht="12.75" hidden="false" customHeight="false" outlineLevel="0" collapsed="false">
      <c r="D1004" s="224"/>
    </row>
    <row r="1005" customFormat="false" ht="12.75" hidden="false" customHeight="false" outlineLevel="0" collapsed="false">
      <c r="D1005" s="224"/>
    </row>
    <row r="1006" customFormat="false" ht="12.75" hidden="false" customHeight="false" outlineLevel="0" collapsed="false">
      <c r="D1006" s="224"/>
    </row>
    <row r="1007" customFormat="false" ht="12.75" hidden="false" customHeight="false" outlineLevel="0" collapsed="false">
      <c r="D1007" s="224"/>
    </row>
    <row r="1008" customFormat="false" ht="12.75" hidden="false" customHeight="false" outlineLevel="0" collapsed="false">
      <c r="D1008" s="224"/>
    </row>
    <row r="1009" customFormat="false" ht="12.75" hidden="false" customHeight="false" outlineLevel="0" collapsed="false">
      <c r="D1009" s="224"/>
    </row>
    <row r="1010" customFormat="false" ht="12.75" hidden="false" customHeight="false" outlineLevel="0" collapsed="false">
      <c r="D1010" s="224"/>
    </row>
    <row r="1011" customFormat="false" ht="12.75" hidden="false" customHeight="false" outlineLevel="0" collapsed="false">
      <c r="D1011" s="224"/>
    </row>
    <row r="1012" customFormat="false" ht="12.75" hidden="false" customHeight="false" outlineLevel="0" collapsed="false">
      <c r="D1012" s="224"/>
    </row>
    <row r="1013" customFormat="false" ht="12.75" hidden="false" customHeight="false" outlineLevel="0" collapsed="false">
      <c r="D1013" s="224"/>
    </row>
    <row r="1014" customFormat="false" ht="12.75" hidden="false" customHeight="false" outlineLevel="0" collapsed="false">
      <c r="D1014" s="224"/>
    </row>
    <row r="1015" customFormat="false" ht="12.75" hidden="false" customHeight="false" outlineLevel="0" collapsed="false">
      <c r="D1015" s="224"/>
    </row>
    <row r="1016" customFormat="false" ht="12.75" hidden="false" customHeight="false" outlineLevel="0" collapsed="false">
      <c r="D1016" s="224"/>
    </row>
    <row r="1017" customFormat="false" ht="12.75" hidden="false" customHeight="false" outlineLevel="0" collapsed="false">
      <c r="D1017" s="224"/>
    </row>
    <row r="1018" customFormat="false" ht="12.75" hidden="false" customHeight="false" outlineLevel="0" collapsed="false">
      <c r="D1018" s="224"/>
    </row>
    <row r="1019" customFormat="false" ht="12.75" hidden="false" customHeight="false" outlineLevel="0" collapsed="false">
      <c r="D1019" s="224"/>
    </row>
    <row r="1020" customFormat="false" ht="12.75" hidden="false" customHeight="false" outlineLevel="0" collapsed="false">
      <c r="D1020" s="224"/>
    </row>
    <row r="1021" customFormat="false" ht="12.75" hidden="false" customHeight="false" outlineLevel="0" collapsed="false">
      <c r="D1021" s="224"/>
    </row>
    <row r="1022" customFormat="false" ht="12.75" hidden="false" customHeight="false" outlineLevel="0" collapsed="false">
      <c r="D1022" s="224"/>
    </row>
    <row r="1023" customFormat="false" ht="12.75" hidden="false" customHeight="false" outlineLevel="0" collapsed="false">
      <c r="D1023" s="224"/>
    </row>
    <row r="1024" customFormat="false" ht="12.75" hidden="false" customHeight="false" outlineLevel="0" collapsed="false">
      <c r="D1024" s="224"/>
    </row>
    <row r="1025" customFormat="false" ht="12.75" hidden="false" customHeight="false" outlineLevel="0" collapsed="false">
      <c r="D1025" s="224"/>
    </row>
  </sheetData>
  <conditionalFormatting sqref="M30:M398">
    <cfRule type="cellIs" priority="2" operator="lessThan" aboveAverage="0" equalAverage="0" bottom="0" percent="0" rank="0" text="" dxfId="5">
      <formula>0</formula>
    </cfRule>
  </conditionalFormatting>
  <printOptions headings="false" gridLines="tru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ba62f585-b40f-4ab9-bafe-39150f03d124}" enabled="1" method="Standard" siteId="{cbac7005-02c1-43eb-b497-e6492d1b2dd8}" contentBits="0" removed="0"/>
</clbl:labelList>
</file>

<file path=docProps/app.xml><?xml version="1.0" encoding="utf-8"?>
<Properties xmlns="http://schemas.openxmlformats.org/officeDocument/2006/extended-properties" xmlns:vt="http://schemas.openxmlformats.org/officeDocument/2006/docPropsVTypes">
  <Template/>
  <TotalTime>6</TotalTime>
  <Application>LibreOffice/25.2.4.3$MacOSX_AARCH64 LibreOffice_project/33e196637044ead23f5c3226cde09b47731f7e27</Application>
  <AppVersion>15.0000</AppVersion>
  <Company>Department for Business, Energy and Industrial Strategy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2000-02-07T17:56:19Z</dcterms:created>
  <dc:creator/>
  <dc:description/>
  <dc:language>en-GB</dc:language>
  <cp:lastModifiedBy/>
  <cp:lastPrinted>2022-08-16T09:34:53Z</cp:lastPrinted>
  <dcterms:modified xsi:type="dcterms:W3CDTF">2026-03-25T22:51:04Z</dcterms:modified>
  <cp:revision>1</cp:revision>
  <dc:subject>Energy Prices</dc:subject>
  <dc:title>Typical retail prices of petroleum products and a crude oil price index</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ActionId">
    <vt:lpwstr>479451fe-9482-4d51-b3a4-0000fa1438f1</vt:lpwstr>
  </property>
  <property fmtid="{D5CDD505-2E9C-101B-9397-08002B2CF9AE}" pid="3" name="MSIP_Label_ba62f585-b40f-4ab9-bafe-39150f03d124_ContentBits">
    <vt:lpwstr>0</vt:lpwstr>
  </property>
  <property fmtid="{D5CDD505-2E9C-101B-9397-08002B2CF9AE}" pid="4" name="MSIP_Label_ba62f585-b40f-4ab9-bafe-39150f03d124_Enabled">
    <vt:lpwstr>true</vt:lpwstr>
  </property>
  <property fmtid="{D5CDD505-2E9C-101B-9397-08002B2CF9AE}" pid="5" name="MSIP_Label_ba62f585-b40f-4ab9-bafe-39150f03d124_Method">
    <vt:lpwstr>Standard</vt:lpwstr>
  </property>
  <property fmtid="{D5CDD505-2E9C-101B-9397-08002B2CF9AE}" pid="6" name="MSIP_Label_ba62f585-b40f-4ab9-bafe-39150f03d124_Name">
    <vt:lpwstr>OFFICIAL</vt:lpwstr>
  </property>
  <property fmtid="{D5CDD505-2E9C-101B-9397-08002B2CF9AE}" pid="7" name="MSIP_Label_ba62f585-b40f-4ab9-bafe-39150f03d124_SetDate">
    <vt:lpwstr>2019-09-23T11:39:11Z</vt:lpwstr>
  </property>
  <property fmtid="{D5CDD505-2E9C-101B-9397-08002B2CF9AE}" pid="8" name="MSIP_Label_ba62f585-b40f-4ab9-bafe-39150f03d124_SiteId">
    <vt:lpwstr>cbac7005-02c1-43eb-b497-e6492d1b2dd8</vt:lpwstr>
  </property>
</Properties>
</file>